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條件與假設" sheetId="1" state="visible" r:id="rId3"/>
    <sheet name="P_精選案件" sheetId="2" state="visible" r:id="rId4"/>
    <sheet name="A_總表" sheetId="3" state="visible" r:id="rId5"/>
    <sheet name="B_優先案詳情" sheetId="4" state="visible" r:id="rId6"/>
    <sheet name="C_待確認清單" sheetId="5" state="visible" r:id="rId7"/>
    <sheet name="D_捷運距離" sheetId="6" state="visible" r:id="rId8"/>
    <sheet name="E_591篩選紀錄" sheetId="7" state="visible" r:id="rId9"/>
    <sheet name="F_尚揚物調表" sheetId="8" state="visible" r:id="rId10"/>
    <sheet name="G_傑森愛華0923清單" sheetId="9" state="visible" r:id="rId11"/>
    <sheet name="H_搜尋範圍與來源" sheetId="10" state="visible" r:id="rId12"/>
  </sheets>
  <definedNames>
    <definedName function="false" hidden="true" localSheetId="2" name="_xlnm._FilterDatabase" vbProcedure="false">A_總表!$A$1:$AF$81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<sst xmlns="http://schemas.openxmlformats.org/spreadsheetml/2006/main" count="4594" uniqueCount="1768">
  <si>
    <r>
      <rPr>
        <b val="true"/>
        <sz val="14"/>
        <rFont val="Noto Sans CJK SC"/>
        <family val="2"/>
      </rPr>
      <t xml:space="preserve">秀泰新辦公室（總部）選址分析 — </t>
    </r>
    <r>
      <rPr>
        <b val="true"/>
        <sz val="14"/>
        <rFont val="Arial"/>
        <family val="0"/>
        <charset val="1"/>
      </rPr>
      <t xml:space="preserve">2026-09-24 </t>
    </r>
    <r>
      <rPr>
        <b val="true"/>
        <sz val="14"/>
        <rFont val="Noto Sans CJK SC"/>
        <family val="2"/>
      </rPr>
      <t xml:space="preserve">新條件重跑</t>
    </r>
  </si>
  <si>
    <r>
      <rPr>
        <i val="true"/>
        <sz val="9"/>
        <color rgb="FF666666"/>
        <rFont val="Noto Sans CJK SC"/>
        <family val="2"/>
      </rPr>
      <t xml:space="preserve">資料日期：</t>
    </r>
    <r>
      <rPr>
        <i val="true"/>
        <sz val="9"/>
        <color rgb="FF666666"/>
        <rFont val="Arial"/>
        <family val="0"/>
        <charset val="1"/>
      </rPr>
      <t xml:space="preserve">2026-09-24</t>
    </r>
    <r>
      <rPr>
        <i val="true"/>
        <sz val="9"/>
        <color rgb="FF666666"/>
        <rFont val="Noto Sans CJK SC"/>
        <family val="2"/>
      </rPr>
      <t xml:space="preserve">。所有數字照來源原文；未揭露的欄位留空並以淺橘底標示，不估算。藍字＝輸入值，黑字＝公式。</t>
    </r>
  </si>
  <si>
    <t xml:space="preserve">項目</t>
  </si>
  <si>
    <t xml:space="preserve">數值</t>
  </si>
  <si>
    <t xml:space="preserve">說明</t>
  </si>
  <si>
    <t xml:space="preserve">實坪門檻（坪，主建物＋附屬，不含公設）</t>
  </si>
  <si>
    <r>
      <rPr>
        <sz val="10"/>
        <color rgb="FF000000"/>
        <rFont val="Noto Sans CJK SC"/>
        <family val="2"/>
      </rPr>
      <t xml:space="preserve">使用者條件：「實際」坪數約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坪起</t>
    </r>
  </si>
  <si>
    <t xml:space="preserve">理想月租上限（元，含稅）</t>
  </si>
  <si>
    <r>
      <rPr>
        <sz val="10"/>
        <color rgb="FF000000"/>
        <rFont val="Noto Sans CJK SC"/>
        <family val="2"/>
      </rPr>
      <t xml:space="preserve">使用者條件：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萬內</t>
    </r>
  </si>
  <si>
    <t xml:space="preserve">月租硬上限（元，含稅）</t>
  </si>
  <si>
    <r>
      <rPr>
        <sz val="10"/>
        <color rgb="FF000000"/>
        <rFont val="Noto Sans CJK SC"/>
        <family val="2"/>
      </rPr>
      <t xml:space="preserve">使用者條件：左右不要超過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</t>
    </r>
  </si>
  <si>
    <t xml:space="preserve">捷運步行門檻（分鐘）</t>
  </si>
  <si>
    <r>
      <rPr>
        <sz val="10"/>
        <color rgb="FF000000"/>
        <rFont val="Noto Sans CJK SC"/>
        <family val="2"/>
      </rPr>
      <t xml:space="preserve">捷運以綠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松山新店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／紅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淡水信義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／藍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板南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為主；步行分＝直線距離</t>
    </r>
    <r>
      <rPr>
        <sz val="10"/>
        <color rgb="FF000000"/>
        <rFont val="Arial"/>
        <family val="0"/>
        <charset val="1"/>
      </rPr>
      <t xml:space="preserve">×1.3÷80m</t>
    </r>
  </si>
  <si>
    <t xml:space="preserve">營業稅率</t>
  </si>
  <si>
    <r>
      <rPr>
        <sz val="10"/>
        <color rgb="FF000000"/>
        <rFont val="Noto Sans CJK SC"/>
        <family val="2"/>
      </rPr>
      <t xml:space="preserve">未稅價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換算含稅</t>
    </r>
  </si>
  <si>
    <t xml:space="preserve">分級規則</t>
  </si>
  <si>
    <t xml:space="preserve">第一優先</t>
  </si>
  <si>
    <r>
      <rPr>
        <sz val="10"/>
        <color rgb="FF000000"/>
        <rFont val="Noto Sans CJK SC"/>
        <family val="2"/>
      </rPr>
      <t xml:space="preserve">實坪≥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（有謄本／物調表／房仲頁分項）＋ 月租≤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萬 ＋ 五區內 ＋ 綠紅藍線步行≤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</t>
    </r>
  </si>
  <si>
    <t xml:space="preserve">第二優先</t>
  </si>
  <si>
    <r>
      <rPr>
        <sz val="10"/>
        <color rgb="FF000000"/>
        <rFont val="Noto Sans CJK SC"/>
        <family val="2"/>
      </rPr>
      <t xml:space="preserve">實坪≥</t>
    </r>
    <r>
      <rPr>
        <sz val="10"/>
        <color rgb="FF000000"/>
        <rFont val="Arial"/>
        <family val="0"/>
        <charset val="1"/>
      </rPr>
      <t xml:space="preserve">220 </t>
    </r>
    <r>
      <rPr>
        <sz val="10"/>
        <color rgb="FF000000"/>
        <rFont val="Noto Sans CJK SC"/>
        <family val="2"/>
      </rPr>
      <t xml:space="preserve">已確認 ＋ 月租≤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萬；捷運可為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分（標示）</t>
    </r>
  </si>
  <si>
    <t xml:space="preserve">待確認實坪</t>
  </si>
  <si>
    <r>
      <rPr>
        <sz val="10"/>
        <color rgb="FF000000"/>
        <rFont val="Noto Sans CJK SC"/>
        <family val="2"/>
      </rPr>
      <t xml:space="preserve">權狀≥</t>
    </r>
    <r>
      <rPr>
        <sz val="10"/>
        <color rgb="FF000000"/>
        <rFont val="Arial"/>
        <family val="0"/>
        <charset val="1"/>
      </rPr>
      <t xml:space="preserve">240</t>
    </r>
    <r>
      <rPr>
        <sz val="10"/>
        <color rgb="FF000000"/>
        <rFont val="Noto Sans CJK SC"/>
        <family val="2"/>
      </rPr>
      <t xml:space="preserve">坪、月租≤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萬、交通可，但實坪未揭露 → 需向仲介索取謄本／物調表</t>
    </r>
  </si>
  <si>
    <t xml:space="preserve">不符合</t>
  </si>
  <si>
    <r>
      <rPr>
        <sz val="10"/>
        <color rgb="FF000000"/>
        <rFont val="Noto Sans CJK SC"/>
        <family val="2"/>
      </rPr>
      <t xml:space="preserve">實坪</t>
    </r>
    <r>
      <rPr>
        <sz val="10"/>
        <color rgb="FF000000"/>
        <rFont val="Arial"/>
        <family val="0"/>
        <charset val="1"/>
      </rPr>
      <t xml:space="preserve">&lt;220</t>
    </r>
    <r>
      <rPr>
        <sz val="10"/>
        <color rgb="FF000000"/>
        <rFont val="Noto Sans CJK SC"/>
        <family val="2"/>
      </rPr>
      <t xml:space="preserve">、權狀</t>
    </r>
    <r>
      <rPr>
        <sz val="10"/>
        <color rgb="FF000000"/>
        <rFont val="Arial"/>
        <family val="0"/>
        <charset val="1"/>
      </rPr>
      <t xml:space="preserve">&lt;240</t>
    </r>
    <r>
      <rPr>
        <sz val="10"/>
        <color rgb="FF000000"/>
        <rFont val="Noto Sans CJK SC"/>
        <family val="2"/>
      </rPr>
      <t xml:space="preserve">且無分項、月租</t>
    </r>
    <r>
      <rPr>
        <sz val="10"/>
        <color rgb="FF000000"/>
        <rFont val="Arial"/>
        <family val="0"/>
        <charset val="1"/>
      </rPr>
      <t xml:space="preserve">&gt;55</t>
    </r>
    <r>
      <rPr>
        <sz val="10"/>
        <color rgb="FF000000"/>
        <rFont val="Noto Sans CJK SC"/>
        <family val="2"/>
      </rPr>
      <t xml:space="preserve">萬、地下室／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樓、非五區、大直、附近無綠紅藍線</t>
    </r>
  </si>
  <si>
    <t xml:space="preserve">本輪結果</t>
  </si>
  <si>
    <t xml:space="preserve">合計</t>
  </si>
  <si>
    <t xml:space="preserve">分頁說明</t>
  </si>
  <si>
    <r>
      <rPr>
        <sz val="10"/>
        <color rgb="FF000000"/>
        <rFont val="Arial"/>
        <family val="0"/>
        <charset val="1"/>
      </rPr>
      <t xml:space="preserve">A_</t>
    </r>
    <r>
      <rPr>
        <sz val="10"/>
        <color rgb="FF000000"/>
        <rFont val="Noto Sans CJK SC"/>
        <family val="2"/>
      </rPr>
      <t xml:space="preserve">總表</t>
    </r>
  </si>
  <si>
    <t xml:space="preserve">全部案件（新增＋上一版），依新條件分級排序；含公式驗算欄</t>
  </si>
  <si>
    <r>
      <rPr>
        <sz val="10"/>
        <color rgb="FF000000"/>
        <rFont val="Arial"/>
        <family val="0"/>
        <charset val="1"/>
      </rPr>
      <t xml:space="preserve">B_</t>
    </r>
    <r>
      <rPr>
        <sz val="10"/>
        <color rgb="FF000000"/>
        <rFont val="Noto Sans CJK SC"/>
        <family val="2"/>
      </rPr>
      <t xml:space="preserve">優先案詳情</t>
    </r>
  </si>
  <si>
    <t xml:space="preserve">第一／第二優先與待確認案的完整資料、來源、聯絡人、缺漏</t>
  </si>
  <si>
    <r>
      <rPr>
        <sz val="10"/>
        <color rgb="FF000000"/>
        <rFont val="Arial"/>
        <family val="0"/>
        <charset val="1"/>
      </rPr>
      <t xml:space="preserve">C_</t>
    </r>
    <r>
      <rPr>
        <sz val="10"/>
        <color rgb="FF000000"/>
        <rFont val="Noto Sans CJK SC"/>
        <family val="2"/>
      </rPr>
      <t xml:space="preserve">待確認清單</t>
    </r>
  </si>
  <si>
    <t xml:space="preserve">每一案還缺什麼、該問誰</t>
  </si>
  <si>
    <r>
      <rPr>
        <sz val="10"/>
        <color rgb="FF000000"/>
        <rFont val="Arial"/>
        <family val="0"/>
        <charset val="1"/>
      </rPr>
      <t xml:space="preserve">D_</t>
    </r>
    <r>
      <rPr>
        <sz val="10"/>
        <color rgb="FF000000"/>
        <rFont val="Noto Sans CJK SC"/>
        <family val="2"/>
      </rPr>
      <t xml:space="preserve">捷運距離</t>
    </r>
  </si>
  <si>
    <t xml:space="preserve">每案最近綠／紅／藍線站、距離與計算依據</t>
  </si>
  <si>
    <r>
      <rPr>
        <sz val="10"/>
        <color rgb="FF000000"/>
        <rFont val="Arial"/>
        <family val="0"/>
        <charset val="1"/>
      </rPr>
      <t xml:space="preserve">E_591</t>
    </r>
    <r>
      <rPr>
        <sz val="10"/>
        <color rgb="FF000000"/>
        <rFont val="Noto Sans CJK SC"/>
        <family val="2"/>
      </rPr>
      <t xml:space="preserve">篩選紀錄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</si>
  <si>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商辦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筆逐筆對應到案號</t>
    </r>
  </si>
  <si>
    <r>
      <rPr>
        <sz val="10"/>
        <color rgb="FF000000"/>
        <rFont val="Arial"/>
        <family val="0"/>
        <charset val="1"/>
      </rPr>
      <t xml:space="preserve">F_</t>
    </r>
    <r>
      <rPr>
        <sz val="10"/>
        <color rgb="FF000000"/>
        <rFont val="Noto Sans CJK SC"/>
        <family val="2"/>
      </rPr>
      <t xml:space="preserve">尚揚物調表</t>
    </r>
  </si>
  <si>
    <r>
      <rPr>
        <sz val="10"/>
        <color rgb="FF000000"/>
        <rFont val="Noto Sans CJK SC"/>
        <family val="2"/>
      </rPr>
      <t xml:space="preserve">尚揚國際提供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份物調表原文數字</t>
    </r>
  </si>
  <si>
    <r>
      <rPr>
        <sz val="10"/>
        <color rgb="FF000000"/>
        <rFont val="Arial"/>
        <family val="0"/>
        <charset val="1"/>
      </rPr>
      <t xml:space="preserve">G_</t>
    </r>
    <r>
      <rPr>
        <sz val="10"/>
        <color rgb="FF000000"/>
        <rFont val="Noto Sans CJK SC"/>
        <family val="2"/>
      </rPr>
      <t xml:space="preserve">傑森愛華</t>
    </r>
    <r>
      <rPr>
        <sz val="10"/>
        <color rgb="FF000000"/>
        <rFont val="Arial"/>
        <family val="0"/>
        <charset val="1"/>
      </rPr>
      <t xml:space="preserve">0923</t>
    </r>
    <r>
      <rPr>
        <sz val="10"/>
        <color rgb="FF000000"/>
        <rFont val="Noto Sans CJK SC"/>
        <family val="2"/>
      </rPr>
      <t xml:space="preserve">清單</t>
    </r>
  </si>
  <si>
    <r>
      <rPr>
        <sz val="10"/>
        <color rgb="FF000000"/>
        <rFont val="Noto Sans CJK SC"/>
        <family val="2"/>
      </rPr>
      <t xml:space="preserve">傑森愛華 </t>
    </r>
    <r>
      <rPr>
        <sz val="10"/>
        <color rgb="FF000000"/>
        <rFont val="Arial"/>
        <family val="0"/>
        <charset val="1"/>
      </rPr>
      <t xml:space="preserve">2026/9/23 </t>
    </r>
    <r>
      <rPr>
        <sz val="10"/>
        <color rgb="FF000000"/>
        <rFont val="Noto Sans CJK SC"/>
        <family val="2"/>
      </rPr>
      <t xml:space="preserve">清單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筆原文＋對應</t>
    </r>
  </si>
  <si>
    <r>
      <rPr>
        <sz val="10"/>
        <color rgb="FF000000"/>
        <rFont val="Arial"/>
        <family val="0"/>
        <charset val="1"/>
      </rPr>
      <t xml:space="preserve">H_</t>
    </r>
    <r>
      <rPr>
        <sz val="10"/>
        <color rgb="FF000000"/>
        <rFont val="Noto Sans CJK SC"/>
        <family val="2"/>
      </rPr>
      <t xml:space="preserve">搜尋範圍與來源</t>
    </r>
  </si>
  <si>
    <t xml:space="preserve">各網站搜尋條件、筆數、被擋情形</t>
  </si>
  <si>
    <r>
      <rPr>
        <sz val="10"/>
        <color rgb="FF000000"/>
        <rFont val="Arial"/>
        <family val="0"/>
        <charset val="1"/>
      </rPr>
      <t xml:space="preserve">P_</t>
    </r>
    <r>
      <rPr>
        <sz val="10"/>
        <color rgb="FF000000"/>
        <rFont val="Noto Sans CJK SC"/>
        <family val="2"/>
      </rPr>
      <t xml:space="preserve">精選案件</t>
    </r>
  </si>
  <si>
    <r>
      <rPr>
        <sz val="10"/>
        <color rgb="FF000000"/>
        <rFont val="Arial"/>
        <family val="0"/>
        <charset val="1"/>
      </rPr>
      <t xml:space="preserve">Kevina </t>
    </r>
    <r>
      <rPr>
        <sz val="10"/>
        <color rgb="FF000000"/>
        <rFont val="Noto Sans CJK SC"/>
        <family val="2"/>
      </rPr>
      <t xml:space="preserve">指定的精選案件（</t>
    </r>
    <r>
      <rPr>
        <sz val="10"/>
        <color rgb="FF000000"/>
        <rFont val="Arial"/>
        <family val="0"/>
        <charset val="1"/>
      </rPr>
      <t xml:space="preserve">9/30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10/12 </t>
    </r>
    <r>
      <rPr>
        <sz val="10"/>
        <color rgb="FF000000"/>
        <rFont val="Noto Sans CJK SC"/>
        <family val="2"/>
      </rPr>
      <t xml:space="preserve">提供；</t>
    </r>
    <r>
      <rPr>
        <sz val="10"/>
        <color rgb="FF000000"/>
        <rFont val="Arial"/>
        <family val="0"/>
        <charset val="1"/>
      </rPr>
      <t xml:space="preserve">10/12 </t>
    </r>
    <r>
      <rPr>
        <sz val="10"/>
        <color rgb="FF000000"/>
        <rFont val="Noto Sans CJK SC"/>
        <family val="2"/>
      </rPr>
      <t xml:space="preserve">重新查核刊登狀態）並排比較，含未達條件的案件與原因</t>
    </r>
  </si>
  <si>
    <r>
      <rPr>
        <b val="true"/>
        <sz val="14"/>
        <rFont val="Arial"/>
        <family val="0"/>
        <charset val="1"/>
      </rPr>
      <t xml:space="preserve">Kevina </t>
    </r>
    <r>
      <rPr>
        <b val="true"/>
        <sz val="14"/>
        <rFont val="Noto Sans CJK SC"/>
        <family val="2"/>
      </rPr>
      <t xml:space="preserve">推薦的 </t>
    </r>
    <r>
      <rPr>
        <b val="true"/>
        <sz val="14"/>
        <rFont val="Arial"/>
        <family val="0"/>
        <charset val="1"/>
      </rPr>
      <t xml:space="preserve">18 </t>
    </r>
    <r>
      <rPr>
        <b val="true"/>
        <sz val="14"/>
        <rFont val="Noto Sans CJK SC"/>
        <family val="2"/>
      </rPr>
      <t xml:space="preserve">案 — 並排比較</t>
    </r>
  </si>
  <si>
    <r>
      <rPr>
        <i val="true"/>
        <sz val="9"/>
        <color rgb="FF666666"/>
        <rFont val="Noto Sans CJK SC"/>
        <family val="2"/>
      </rPr>
      <t xml:space="preserve">依使用者指定的連結整理（</t>
    </r>
    <r>
      <rPr>
        <i val="true"/>
        <sz val="9"/>
        <color rgb="FF666666"/>
        <rFont val="Arial"/>
        <family val="0"/>
        <charset val="1"/>
      </rPr>
      <t xml:space="preserve">9/30 </t>
    </r>
    <r>
      <rPr>
        <i val="true"/>
        <sz val="9"/>
        <color rgb="FF666666"/>
        <rFont val="Noto Sans CJK SC"/>
        <family val="2"/>
      </rPr>
      <t xml:space="preserve">給 </t>
    </r>
    <r>
      <rPr>
        <i val="true"/>
        <sz val="9"/>
        <color rgb="FF666666"/>
        <rFont val="Arial"/>
        <family val="0"/>
        <charset val="1"/>
      </rPr>
      <t xml:space="preserve">8 </t>
    </r>
    <r>
      <rPr>
        <i val="true"/>
        <sz val="9"/>
        <color rgb="FF666666"/>
        <rFont val="Noto Sans CJK SC"/>
        <family val="2"/>
      </rPr>
      <t xml:space="preserve">個、</t>
    </r>
    <r>
      <rPr>
        <i val="true"/>
        <sz val="9"/>
        <color rgb="FF666666"/>
        <rFont val="Arial"/>
        <family val="0"/>
        <charset val="1"/>
      </rPr>
      <t xml:space="preserve">10/12 </t>
    </r>
    <r>
      <rPr>
        <i val="true"/>
        <sz val="9"/>
        <color rgb="FF666666"/>
        <rFont val="Noto Sans CJK SC"/>
        <family val="2"/>
      </rPr>
      <t xml:space="preserve">再給 </t>
    </r>
    <r>
      <rPr>
        <i val="true"/>
        <sz val="9"/>
        <color rgb="FF666666"/>
        <rFont val="Arial"/>
        <family val="0"/>
        <charset val="1"/>
      </rPr>
      <t xml:space="preserve">12 </t>
    </r>
    <r>
      <rPr>
        <i val="true"/>
        <sz val="9"/>
        <color rgb="FF666666"/>
        <rFont val="Noto Sans CJK SC"/>
        <family val="2"/>
      </rPr>
      <t xml:space="preserve">個，其中 </t>
    </r>
    <r>
      <rPr>
        <i val="true"/>
        <sz val="9"/>
        <color rgb="FF666666"/>
        <rFont val="Arial"/>
        <family val="0"/>
        <charset val="1"/>
      </rPr>
      <t xml:space="preserve">2 </t>
    </r>
    <r>
      <rPr>
        <i val="true"/>
        <sz val="9"/>
        <color rgb="FF666666"/>
        <rFont val="Noto Sans CJK SC"/>
        <family val="2"/>
      </rPr>
      <t xml:space="preserve">個與既有案同戶）；</t>
    </r>
    <r>
      <rPr>
        <i val="true"/>
        <sz val="9"/>
        <color rgb="FF666666"/>
        <rFont val="Arial"/>
        <family val="0"/>
        <charset val="1"/>
      </rPr>
      <t xml:space="preserve">10/12 </t>
    </r>
    <r>
      <rPr>
        <i val="true"/>
        <sz val="9"/>
        <color rgb="FF666666"/>
        <rFont val="Noto Sans CJK SC"/>
        <family val="2"/>
      </rPr>
      <t xml:space="preserve">全部重新查核刊登狀態。分級仍依原條件，未達條件的案件排在後面，原因見最後一欄。藍字＝來源原文數字，黑字＝公式；淺橘底＝未揭露／有變動。月總成本只在管理費有數字時計算。</t>
    </r>
  </si>
  <si>
    <t xml:space="preserve">案號</t>
  </si>
  <si>
    <t xml:space="preserve">案名</t>
  </si>
  <si>
    <t xml:space="preserve">分級</t>
  </si>
  <si>
    <t xml:space="preserve">行政區</t>
  </si>
  <si>
    <t xml:space="preserve">地址</t>
  </si>
  <si>
    <t xml:space="preserve">樓層</t>
  </si>
  <si>
    <t xml:space="preserve">權狀坪</t>
  </si>
  <si>
    <r>
      <rPr>
        <b val="true"/>
        <sz val="10"/>
        <color rgb="FFFFFFFF"/>
        <rFont val="Noto Sans CJK SC"/>
        <family val="2"/>
      </rPr>
      <t xml:space="preserve">實坪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主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Noto Sans CJK SC"/>
        <family val="2"/>
      </rPr>
      <t xml:space="preserve">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</si>
  <si>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月租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含稅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</si>
  <si>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租金原文／稅別</t>
  </si>
  <si>
    <r>
      <rPr>
        <b val="true"/>
        <sz val="10"/>
        <color rgb="FFFFFFFF"/>
        <rFont val="Noto Sans CJK SC"/>
        <family val="2"/>
      </rPr>
      <t xml:space="preserve">管理費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</si>
  <si>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月總成本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公式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</si>
  <si>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每權狀坪月租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公式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</si>
  <si>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實坪≥門檻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公式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</si>
  <si>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租金級距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公式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</si>
  <si>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最近綠紅藍站</t>
  </si>
  <si>
    <t xml:space="preserve">路線</t>
  </si>
  <si>
    <r>
      <rPr>
        <b val="true"/>
        <sz val="10"/>
        <color rgb="FFFFFFFF"/>
        <rFont val="Noto Sans CJK SC"/>
        <family val="2"/>
      </rPr>
      <t xml:space="preserve">距離</t>
    </r>
    <r>
      <rPr>
        <b val="true"/>
        <sz val="10"/>
        <color rgb="FFFFFFFF"/>
        <rFont val="Arial"/>
        <family val="0"/>
        <charset val="1"/>
      </rPr>
      <t xml:space="preserve">(m)</t>
    </r>
  </si>
  <si>
    <r>
      <rPr>
        <b val="true"/>
        <sz val="10"/>
        <color rgb="FFFFFFFF"/>
        <rFont val="Noto Sans CJK SC"/>
        <family val="2"/>
      </rPr>
      <t xml:space="preserve">步行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</si>
  <si>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捷運判定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公式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</si>
  <si>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屋況／廁所</t>
  </si>
  <si>
    <t xml:space="preserve">租期</t>
  </si>
  <si>
    <t xml:space="preserve">押金</t>
  </si>
  <si>
    <t xml:space="preserve">刊登查核</t>
  </si>
  <si>
    <t xml:space="preserve">缺漏／待確認</t>
  </si>
  <si>
    <t xml:space="preserve">聯絡人</t>
  </si>
  <si>
    <t xml:space="preserve">您提供的連結</t>
  </si>
  <si>
    <r>
      <rPr>
        <b val="true"/>
        <sz val="10"/>
        <color rgb="FFFFFFFF"/>
        <rFont val="Arial"/>
        <family val="0"/>
        <charset val="1"/>
      </rPr>
      <t xml:space="preserve">Google </t>
    </r>
    <r>
      <rPr>
        <b val="true"/>
        <sz val="10"/>
        <color rgb="FFFFFFFF"/>
        <rFont val="Noto Sans CJK SC"/>
        <family val="2"/>
      </rPr>
      <t xml:space="preserve">地圖</t>
    </r>
  </si>
  <si>
    <t xml:space="preserve">判定說明（未達條件原因）</t>
  </si>
  <si>
    <t xml:space="preserve">N04</t>
  </si>
  <si>
    <t xml:space="preserve">信義大樓 10F</t>
  </si>
  <si>
    <t xml:space="preserve">信義</t>
  </si>
  <si>
    <t xml:space="preserve">松仁路（信義大樓）</t>
  </si>
  <si>
    <t xml:space="preserve">10F/23F</t>
  </si>
  <si>
    <r>
      <rPr>
        <sz val="10"/>
        <color rgb="FF000000"/>
        <rFont val="Arial"/>
        <family val="0"/>
        <charset val="1"/>
      </rPr>
      <t xml:space="preserve">480,000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591 21537848</t>
    </r>
    <r>
      <rPr>
        <sz val="10"/>
        <color rgb="FF000000"/>
        <rFont val="Noto Sans CJK SC"/>
        <family val="2"/>
      </rPr>
      <t xml:space="preserve">，稅別未寫）；同戶信義房屋刊登</t>
    </r>
    <r>
      <rPr>
        <sz val="10"/>
        <color rgb="FF000000"/>
        <rFont val="Arial"/>
        <family val="0"/>
        <charset val="1"/>
      </rPr>
      <t xml:space="preserve">577,885</t>
    </r>
    <r>
      <rPr>
        <sz val="10"/>
        <color rgb="FF000000"/>
        <rFont val="Noto Sans CJK SC"/>
        <family val="2"/>
      </rPr>
      <t xml:space="preserve">；⚠ </t>
    </r>
    <r>
      <rPr>
        <sz val="10"/>
        <color rgb="FF000000"/>
        <rFont val="Arial"/>
        <family val="0"/>
        <charset val="1"/>
      </rPr>
      <t xml:space="preserve">9/30 591 21537848 </t>
    </r>
    <r>
      <rPr>
        <sz val="10"/>
        <color rgb="FF000000"/>
        <rFont val="Noto Sans CJK SC"/>
        <family val="2"/>
      </rPr>
      <t xml:space="preserve">已下架，信義 </t>
    </r>
    <r>
      <rPr>
        <sz val="10"/>
        <color rgb="FF000000"/>
        <rFont val="Arial"/>
        <family val="0"/>
        <charset val="1"/>
      </rPr>
      <t xml:space="preserve">C904200 </t>
    </r>
    <r>
      <rPr>
        <sz val="10"/>
        <color rgb="FF000000"/>
        <rFont val="Noto Sans CJK SC"/>
        <family val="2"/>
      </rPr>
      <t xml:space="preserve">現刊 </t>
    </r>
    <r>
      <rPr>
        <sz val="10"/>
        <color rgb="FF000000"/>
        <rFont val="Arial"/>
        <family val="0"/>
        <charset val="1"/>
      </rPr>
      <t xml:space="preserve">577,885</t>
    </r>
  </si>
  <si>
    <t xml:space="preserve">象山</t>
  </si>
  <si>
    <t xml:space="preserve">紅</t>
  </si>
  <si>
    <r>
      <rPr>
        <sz val="10"/>
        <color rgb="FF000000"/>
        <rFont val="Noto Sans CJK SC"/>
        <family val="2"/>
      </rPr>
      <t xml:space="preserve">廁所新：廁所為新裝修（信義房屋 </t>
    </r>
    <r>
      <rPr>
        <sz val="10"/>
        <color rgb="FF000000"/>
        <rFont val="Arial"/>
        <family val="0"/>
        <charset val="1"/>
      </rPr>
      <t xml:space="preserve">C904200 </t>
    </r>
    <r>
      <rPr>
        <sz val="10"/>
        <color rgb="FF000000"/>
        <rFont val="Noto Sans CJK SC"/>
        <family val="2"/>
      </rPr>
      <t xml:space="preserve">照片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：檯面式洗手台、木紋隔間）；辦公區天花為開放式未封板。</t>
    </r>
  </si>
  <si>
    <r>
      <rPr>
        <sz val="10"/>
        <color rgb="FF000000"/>
        <rFont val="Arial"/>
        <family val="0"/>
        <charset val="1"/>
      </rPr>
      <t xml:space="preserve">591</t>
    </r>
    <r>
      <rPr>
        <sz val="10"/>
        <color rgb="FF000000"/>
        <rFont val="Noto Sans CJK SC"/>
        <family val="2"/>
      </rPr>
      <t xml:space="preserve">：兩年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</si>
  <si>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</si>
  <si>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9/30</t>
    </r>
    <r>
      <rPr>
        <sz val="10"/>
        <color rgb="FF000000"/>
        <rFont val="Noto Sans CJK SC"/>
        <family val="2"/>
      </rPr>
      <t xml:space="preserve">：信義 </t>
    </r>
    <r>
      <rPr>
        <sz val="10"/>
        <color rgb="FF000000"/>
        <rFont val="Arial"/>
        <family val="0"/>
        <charset val="1"/>
      </rPr>
      <t xml:space="preserve">C904200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577,885</t>
    </r>
    <r>
      <rPr>
        <sz val="10"/>
        <color rgb="FF000000"/>
        <rFont val="Noto Sans CJK SC"/>
        <family val="2"/>
      </rPr>
      <t xml:space="preserve">／權狀</t>
    </r>
    <r>
      <rPr>
        <sz val="10"/>
        <color rgb="FF000000"/>
        <rFont val="Arial"/>
        <family val="0"/>
        <charset val="1"/>
      </rPr>
      <t xml:space="preserve">330.22</t>
    </r>
    <r>
      <rPr>
        <sz val="10"/>
        <color rgb="FF000000"/>
        <rFont val="Noto Sans CJK SC"/>
        <family val="2"/>
      </rPr>
      <t xml:space="preserve">坪（與前次相同）；⚠ </t>
    </r>
    <r>
      <rPr>
        <sz val="10"/>
        <color rgb="FF000000"/>
        <rFont val="Arial"/>
        <family val="0"/>
        <charset val="1"/>
      </rPr>
      <t xml:space="preserve">591 21537848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48</t>
    </r>
    <r>
      <rPr>
        <sz val="10"/>
        <color rgb="FF000000"/>
        <rFont val="Noto Sans CJK SC"/>
        <family val="2"/>
      </rPr>
      <t xml:space="preserve">萬）已下架；</t>
    </r>
    <r>
      <rPr>
        <sz val="10"/>
        <color rgb="FF000000"/>
        <rFont val="Arial"/>
        <family val="0"/>
        <charset val="1"/>
      </rPr>
      <t xml:space="preserve">10/12 </t>
    </r>
    <r>
      <rPr>
        <sz val="10"/>
        <color rgb="FF000000"/>
        <rFont val="Noto Sans CJK SC"/>
        <family val="2"/>
      </rPr>
      <t xml:space="preserve">再查：信義 </t>
    </r>
    <r>
      <rPr>
        <sz val="10"/>
        <color rgb="FF000000"/>
        <rFont val="Arial"/>
        <family val="0"/>
        <charset val="1"/>
      </rPr>
      <t xml:space="preserve">C904200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577,885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591 21537848 </t>
    </r>
    <r>
      <rPr>
        <sz val="10"/>
        <color rgb="FF000000"/>
        <rFont val="Noto Sans CJK SC"/>
        <family val="2"/>
      </rPr>
      <t xml:space="preserve">仍下架</t>
    </r>
  </si>
  <si>
    <r>
      <rPr>
        <sz val="10"/>
        <color rgb="FF000000"/>
        <rFont val="Arial"/>
        <family val="0"/>
        <charset val="1"/>
      </rPr>
      <t xml:space="preserve">591 48</t>
    </r>
    <r>
      <rPr>
        <sz val="10"/>
        <color rgb="FF000000"/>
        <rFont val="Noto Sans CJK SC"/>
        <family val="2"/>
      </rPr>
      <t xml:space="preserve">萬刊登已下架（</t>
    </r>
    <r>
      <rPr>
        <sz val="10"/>
        <color rgb="FF000000"/>
        <rFont val="Arial"/>
        <family val="0"/>
        <charset val="1"/>
      </rPr>
      <t xml:space="preserve">9/30</t>
    </r>
    <r>
      <rPr>
        <sz val="10"/>
        <color rgb="FF000000"/>
        <rFont val="Noto Sans CJK SC"/>
        <family val="2"/>
      </rPr>
      <t xml:space="preserve">），現存刊登為信義 </t>
    </r>
    <r>
      <rPr>
        <sz val="10"/>
        <color rgb="FF000000"/>
        <rFont val="Arial"/>
        <family val="0"/>
        <charset val="1"/>
      </rPr>
      <t xml:space="preserve">577,885</t>
    </r>
    <r>
      <rPr>
        <sz val="10"/>
        <color rgb="FF000000"/>
        <rFont val="Noto Sans CJK SC"/>
        <family val="2"/>
      </rPr>
      <t xml:space="preserve">（超過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萬）；租金稅別未寫；兩方報價不同</t>
    </r>
  </si>
  <si>
    <r>
      <rPr>
        <sz val="10"/>
        <color rgb="FF000000"/>
        <rFont val="Noto Sans CJK SC"/>
        <family val="2"/>
      </rPr>
      <t xml:space="preserve">傑森愛華 張先生 </t>
    </r>
    <r>
      <rPr>
        <sz val="10"/>
        <color rgb="FF000000"/>
        <rFont val="Arial"/>
        <family val="0"/>
        <charset val="1"/>
      </rPr>
      <t xml:space="preserve">0931-330-823</t>
    </r>
  </si>
  <si>
    <t xml:space="preserve">開啟</t>
  </si>
  <si>
    <t xml:space="preserve">開啟地圖</t>
  </si>
  <si>
    <r>
      <rPr>
        <sz val="10"/>
        <color rgb="FF000000"/>
        <rFont val="Noto Sans CJK SC"/>
        <family val="2"/>
      </rPr>
      <t xml:space="preserve">坪數符合；實坪</t>
    </r>
    <r>
      <rPr>
        <sz val="10"/>
        <color rgb="FF000000"/>
        <rFont val="Arial"/>
        <family val="0"/>
        <charset val="1"/>
      </rPr>
      <t xml:space="preserve">300.43 · </t>
    </r>
    <r>
      <rPr>
        <sz val="10"/>
        <color rgb="FF000000"/>
        <rFont val="Noto Sans CJK SC"/>
        <family val="2"/>
      </rPr>
      <t xml:space="preserve">月租</t>
    </r>
    <r>
      <rPr>
        <sz val="10"/>
        <color rgb="FF000000"/>
        <rFont val="Arial"/>
        <family val="0"/>
        <charset val="1"/>
      </rPr>
      <t xml:space="preserve">48.0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捷運象山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紅</t>
    </r>
    <r>
      <rPr>
        <sz val="10"/>
        <color rgb="FF000000"/>
        <rFont val="Arial"/>
        <family val="0"/>
        <charset val="1"/>
      </rPr>
      <t xml:space="preserve">) 16</t>
    </r>
    <r>
      <rPr>
        <sz val="10"/>
        <color rgb="FF000000"/>
        <rFont val="Noto Sans CJK SC"/>
        <family val="2"/>
      </rPr>
      <t xml:space="preserve">分（</t>
    </r>
    <r>
      <rPr>
        <sz val="10"/>
        <color rgb="FF000000"/>
        <rFont val="Arial"/>
        <family val="0"/>
        <charset val="1"/>
      </rPr>
      <t xml:space="preserve">&gt;10</t>
    </r>
    <r>
      <rPr>
        <sz val="10"/>
        <color rgb="FF000000"/>
        <rFont val="Noto Sans CJK SC"/>
        <family val="2"/>
      </rPr>
      <t xml:space="preserve">分）</t>
    </r>
  </si>
  <si>
    <t xml:space="preserve">N08</t>
  </si>
  <si>
    <t xml:space="preserve">松江路 3F（松江南京站）</t>
  </si>
  <si>
    <t xml:space="preserve">中山</t>
  </si>
  <si>
    <t xml:space="preserve">松江路</t>
  </si>
  <si>
    <t xml:space="preserve">3F/12F</t>
  </si>
  <si>
    <r>
      <rPr>
        <sz val="10"/>
        <color rgb="FF000000"/>
        <rFont val="Arial"/>
        <family val="0"/>
        <charset val="1"/>
      </rPr>
      <t xml:space="preserve">515,083 </t>
    </r>
    <r>
      <rPr>
        <sz val="10"/>
        <color rgb="FF000000"/>
        <rFont val="Noto Sans CJK SC"/>
        <family val="2"/>
      </rPr>
      <t xml:space="preserve">未含營業稅（</t>
    </r>
    <r>
      <rPr>
        <sz val="10"/>
        <color rgb="FF000000"/>
        <rFont val="Arial"/>
        <family val="0"/>
        <charset val="1"/>
      </rPr>
      <t xml:space="preserve">591 21635155</t>
    </r>
    <r>
      <rPr>
        <sz val="10"/>
        <color rgb="FF000000"/>
        <rFont val="Noto Sans CJK SC"/>
        <family val="2"/>
      </rPr>
      <t xml:space="preserve">）→ 含稅 </t>
    </r>
    <r>
      <rPr>
        <sz val="10"/>
        <color rgb="FF000000"/>
        <rFont val="Arial"/>
        <family val="0"/>
        <charset val="1"/>
      </rPr>
      <t xml:space="preserve">540,837</t>
    </r>
  </si>
  <si>
    <t xml:space="preserve">松江南京</t>
  </si>
  <si>
    <t xml:space="preserve">綠</t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</si>
  <si>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張照片（捷運出口），室內與廁所都沒有拍。需現勘。</t>
    </r>
  </si>
  <si>
    <t xml:space="preserve">一年</t>
  </si>
  <si>
    <t xml:space="preserve">面議</t>
  </si>
  <si>
    <r>
      <rPr>
        <sz val="10"/>
        <color rgb="FF000000"/>
        <rFont val="Arial"/>
        <family val="0"/>
        <charset val="1"/>
      </rPr>
      <t xml:space="preserve">9/30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591 22017413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515,083</t>
    </r>
    <r>
      <rPr>
        <sz val="10"/>
        <color rgb="FF000000"/>
        <rFont val="Noto Sans CJK SC"/>
        <family val="2"/>
      </rPr>
      <t xml:space="preserve">（未稅）／</t>
    </r>
    <r>
      <rPr>
        <sz val="10"/>
        <color rgb="FF000000"/>
        <rFont val="Arial"/>
        <family val="0"/>
        <charset val="1"/>
      </rPr>
      <t xml:space="preserve">302.99</t>
    </r>
    <r>
      <rPr>
        <sz val="10"/>
        <color rgb="FF000000"/>
        <rFont val="Noto Sans CJK SC"/>
        <family val="2"/>
      </rPr>
      <t xml:space="preserve">坪；同戶 </t>
    </r>
    <r>
      <rPr>
        <sz val="10"/>
        <color rgb="FF000000"/>
        <rFont val="Arial"/>
        <family val="0"/>
        <charset val="1"/>
      </rPr>
      <t xml:space="preserve">21635155 </t>
    </r>
    <r>
      <rPr>
        <sz val="10"/>
        <color rgb="FF000000"/>
        <rFont val="Noto Sans CJK SC"/>
        <family val="2"/>
      </rPr>
      <t xml:space="preserve">也仍刊登；</t>
    </r>
    <r>
      <rPr>
        <sz val="10"/>
        <color rgb="FF000000"/>
        <rFont val="Arial"/>
        <family val="0"/>
        <charset val="1"/>
      </rPr>
      <t xml:space="preserve">10/12 </t>
    </r>
    <r>
      <rPr>
        <sz val="10"/>
        <color rgb="FF000000"/>
        <rFont val="Noto Sans CJK SC"/>
        <family val="2"/>
      </rPr>
      <t xml:space="preserve">再查：</t>
    </r>
    <r>
      <rPr>
        <sz val="10"/>
        <color rgb="FF000000"/>
        <rFont val="Arial"/>
        <family val="0"/>
        <charset val="1"/>
      </rPr>
      <t xml:space="preserve">22017413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21635155 </t>
    </r>
    <r>
      <rPr>
        <sz val="10"/>
        <color rgb="FF000000"/>
        <rFont val="Noto Sans CJK SC"/>
        <family val="2"/>
      </rPr>
      <t xml:space="preserve">仍刊登，</t>
    </r>
    <r>
      <rPr>
        <sz val="10"/>
        <color rgb="FF000000"/>
        <rFont val="Arial"/>
        <family val="0"/>
        <charset val="1"/>
      </rPr>
      <t xml:space="preserve">515,083</t>
    </r>
  </si>
  <si>
    <t xml:space="preserve">實坪未揭露；管理費未提供；廁所需現勘</t>
  </si>
  <si>
    <r>
      <rPr>
        <sz val="10"/>
        <color rgb="FF000000"/>
        <rFont val="Noto Sans CJK SC"/>
        <family val="2"/>
      </rPr>
      <t xml:space="preserve">東家國際 蔡泳翰 </t>
    </r>
    <r>
      <rPr>
        <sz val="10"/>
        <color rgb="FF000000"/>
        <rFont val="Arial"/>
        <family val="0"/>
        <charset val="1"/>
      </rPr>
      <t xml:space="preserve">0912-816-677</t>
    </r>
    <r>
      <rPr>
        <sz val="10"/>
        <color rgb="FF000000"/>
        <rFont val="Noto Sans CJK SC"/>
        <family val="2"/>
      </rPr>
      <t xml:space="preserve">；兆淇 鄭先生 </t>
    </r>
    <r>
      <rPr>
        <sz val="10"/>
        <color rgb="FF000000"/>
        <rFont val="Arial"/>
        <family val="0"/>
        <charset val="1"/>
      </rPr>
      <t xml:space="preserve">0960-539-161</t>
    </r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</si>
  <si>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302</t>
    </r>
    <r>
      <rPr>
        <sz val="10"/>
        <color rgb="FF000000"/>
        <rFont val="Noto Sans CJK SC"/>
        <family val="2"/>
      </rPr>
      <t xml:space="preserve">坪）；已符合：月租</t>
    </r>
    <r>
      <rPr>
        <sz val="10"/>
        <color rgb="FF000000"/>
        <rFont val="Arial"/>
        <family val="0"/>
        <charset val="1"/>
      </rPr>
      <t xml:space="preserve">54.1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松江南京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綠</t>
    </r>
    <r>
      <rPr>
        <sz val="10"/>
        <color rgb="FF000000"/>
        <rFont val="Arial"/>
        <family val="0"/>
        <charset val="1"/>
      </rPr>
      <t xml:space="preserve">) 3</t>
    </r>
    <r>
      <rPr>
        <sz val="10"/>
        <color rgb="FF000000"/>
        <rFont val="Noto Sans CJK SC"/>
        <family val="2"/>
      </rPr>
      <t xml:space="preserve">分</t>
    </r>
  </si>
  <si>
    <t xml:space="preserve">S11</t>
  </si>
  <si>
    <t xml:space="preserve">八德大樓 5F（出租285.67坪）</t>
  </si>
  <si>
    <t xml:space="preserve">八德路二段</t>
  </si>
  <si>
    <t xml:space="preserve">5F/12F</t>
  </si>
  <si>
    <r>
      <rPr>
        <sz val="10"/>
        <color rgb="FF000000"/>
        <rFont val="Arial"/>
        <family val="0"/>
        <charset val="1"/>
      </rPr>
      <t xml:space="preserve">428,505</t>
    </r>
    <r>
      <rPr>
        <sz val="10"/>
        <color rgb="FF000000"/>
        <rFont val="Noto Sans CJK SC"/>
        <family val="2"/>
      </rPr>
      <t xml:space="preserve">（信義刊登）；</t>
    </r>
    <r>
      <rPr>
        <sz val="10"/>
        <color rgb="FF000000"/>
        <rFont val="Arial"/>
        <family val="0"/>
        <charset val="1"/>
      </rPr>
      <t xml:space="preserve">591 21804249 285</t>
    </r>
    <r>
      <rPr>
        <sz val="10"/>
        <color rgb="FF000000"/>
        <rFont val="Noto Sans CJK SC"/>
        <family val="2"/>
      </rPr>
      <t xml:space="preserve">坪 </t>
    </r>
    <r>
      <rPr>
        <sz val="10"/>
        <color rgb="FF000000"/>
        <rFont val="Arial"/>
        <family val="0"/>
        <charset val="1"/>
      </rPr>
      <t xml:space="preserve">427,500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1,500/</t>
    </r>
    <r>
      <rPr>
        <sz val="10"/>
        <color rgb="FF000000"/>
        <rFont val="Noto Sans CJK SC"/>
        <family val="2"/>
      </rPr>
      <t xml:space="preserve">坪）</t>
    </r>
  </si>
  <si>
    <t xml:space="preserve">忠孝復興</t>
  </si>
  <si>
    <t xml:space="preserve">藍</t>
  </si>
  <si>
    <r>
      <rPr>
        <sz val="10"/>
        <color rgb="FF000000"/>
        <rFont val="Noto Sans CJK SC"/>
        <family val="2"/>
      </rPr>
      <t xml:space="preserve">廁所新：廁所新裝修（信義 </t>
    </r>
    <r>
      <rPr>
        <sz val="10"/>
        <color rgb="FF000000"/>
        <rFont val="Arial"/>
        <family val="0"/>
        <charset val="1"/>
      </rPr>
      <t xml:space="preserve">CZ05585 </t>
    </r>
    <r>
      <rPr>
        <sz val="10"/>
        <color rgb="FF000000"/>
        <rFont val="Noto Sans CJK SC"/>
        <family val="2"/>
      </rPr>
      <t xml:space="preserve">照片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：石材檯面、新式小便斗、木紋隔間）；茶水間新（照片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）；電梯廳石材。</t>
    </r>
  </si>
  <si>
    <r>
      <rPr>
        <sz val="10"/>
        <color rgb="FF000000"/>
        <rFont val="Arial"/>
        <family val="0"/>
        <charset val="1"/>
      </rPr>
      <t xml:space="preserve">9/30</t>
    </r>
    <r>
      <rPr>
        <sz val="10"/>
        <color rgb="FF000000"/>
        <rFont val="Noto Sans CJK SC"/>
        <family val="2"/>
      </rPr>
      <t xml:space="preserve">：信義 </t>
    </r>
    <r>
      <rPr>
        <sz val="10"/>
        <color rgb="FF000000"/>
        <rFont val="Arial"/>
        <family val="0"/>
        <charset val="1"/>
      </rPr>
      <t xml:space="preserve">CZ05585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428,505</t>
    </r>
    <r>
      <rPr>
        <sz val="10"/>
        <color rgb="FF000000"/>
        <rFont val="Noto Sans CJK SC"/>
        <family val="2"/>
      </rPr>
      <t xml:space="preserve">／出租</t>
    </r>
    <r>
      <rPr>
        <sz val="10"/>
        <color rgb="FF000000"/>
        <rFont val="Arial"/>
        <family val="0"/>
        <charset val="1"/>
      </rPr>
      <t xml:space="preserve">285.67</t>
    </r>
    <r>
      <rPr>
        <sz val="10"/>
        <color rgb="FF000000"/>
        <rFont val="Noto Sans CJK SC"/>
        <family val="2"/>
      </rPr>
      <t xml:space="preserve">坪（與前次相同）；</t>
    </r>
    <r>
      <rPr>
        <sz val="10"/>
        <color rgb="FF000000"/>
        <rFont val="Arial"/>
        <family val="0"/>
        <charset val="1"/>
      </rPr>
      <t xml:space="preserve">10/12 </t>
    </r>
    <r>
      <rPr>
        <sz val="10"/>
        <color rgb="FF000000"/>
        <rFont val="Noto Sans CJK SC"/>
        <family val="2"/>
      </rPr>
      <t xml:space="preserve">再查：</t>
    </r>
    <r>
      <rPr>
        <sz val="10"/>
        <color rgb="FF000000"/>
        <rFont val="Arial"/>
        <family val="0"/>
        <charset val="1"/>
      </rPr>
      <t xml:space="preserve">CZ05585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428,505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285.67</t>
    </r>
    <r>
      <rPr>
        <sz val="10"/>
        <color rgb="FF000000"/>
        <rFont val="Noto Sans CJK SC"/>
        <family val="2"/>
      </rPr>
      <t xml:space="preserve">坪</t>
    </r>
  </si>
  <si>
    <t xml:space="preserve">出租部分實坪未揭露；稅別未寫</t>
  </si>
  <si>
    <r>
      <rPr>
        <sz val="10"/>
        <color rgb="FF000000"/>
        <rFont val="Noto Sans CJK SC"/>
        <family val="2"/>
      </rPr>
      <t xml:space="preserve">信義 林嘉君 </t>
    </r>
    <r>
      <rPr>
        <sz val="10"/>
        <color rgb="FF000000"/>
        <rFont val="Arial"/>
        <family val="0"/>
        <charset val="1"/>
      </rPr>
      <t xml:space="preserve">0912-313-517</t>
    </r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</si>
  <si>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285.67</t>
    </r>
    <r>
      <rPr>
        <sz val="10"/>
        <color rgb="FF000000"/>
        <rFont val="Noto Sans CJK SC"/>
        <family val="2"/>
      </rPr>
      <t xml:space="preserve">坪）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捷運忠孝復興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藍</t>
    </r>
    <r>
      <rPr>
        <sz val="10"/>
        <color rgb="FF000000"/>
        <rFont val="Arial"/>
        <family val="0"/>
        <charset val="1"/>
      </rPr>
      <t xml:space="preserve">) 11</t>
    </r>
    <r>
      <rPr>
        <sz val="10"/>
        <color rgb="FF000000"/>
        <rFont val="Noto Sans CJK SC"/>
        <family val="2"/>
      </rPr>
      <t xml:space="preserve">分（</t>
    </r>
    <r>
      <rPr>
        <sz val="10"/>
        <color rgb="FF000000"/>
        <rFont val="Arial"/>
        <family val="0"/>
        <charset val="1"/>
      </rPr>
      <t xml:space="preserve">&gt;10</t>
    </r>
    <r>
      <rPr>
        <sz val="10"/>
        <color rgb="FF000000"/>
        <rFont val="Noto Sans CJK SC"/>
        <family val="2"/>
      </rPr>
      <t xml:space="preserve">分）；已符合：月租</t>
    </r>
    <r>
      <rPr>
        <sz val="10"/>
        <color rgb="FF000000"/>
        <rFont val="Arial"/>
        <family val="0"/>
        <charset val="1"/>
      </rPr>
      <t xml:space="preserve">42.9</t>
    </r>
    <r>
      <rPr>
        <sz val="10"/>
        <color rgb="FF000000"/>
        <rFont val="Noto Sans CJK SC"/>
        <family val="2"/>
      </rPr>
      <t xml:space="preserve">萬</t>
    </r>
  </si>
  <si>
    <t xml:space="preserve">N10</t>
  </si>
  <si>
    <t xml:space="preserve">光復北路11巷 2F（南京三民站）</t>
  </si>
  <si>
    <t xml:space="preserve">松山</t>
  </si>
  <si>
    <r>
      <rPr>
        <sz val="10"/>
        <color rgb="FF000000"/>
        <rFont val="Noto Sans CJK SC"/>
        <family val="2"/>
      </rPr>
      <t xml:space="preserve">光復北路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巷</t>
    </r>
  </si>
  <si>
    <t xml:space="preserve">2F/14F</t>
  </si>
  <si>
    <r>
      <rPr>
        <sz val="10"/>
        <color rgb="FF000000"/>
        <rFont val="Arial"/>
        <family val="0"/>
        <charset val="1"/>
      </rPr>
      <t xml:space="preserve">509,400 </t>
    </r>
    <r>
      <rPr>
        <sz val="10"/>
        <color rgb="FF000000"/>
        <rFont val="Noto Sans CJK SC"/>
        <family val="2"/>
      </rPr>
      <t xml:space="preserve">未稅（</t>
    </r>
    <r>
      <rPr>
        <sz val="10"/>
        <color rgb="FF000000"/>
        <rFont val="Arial"/>
        <family val="0"/>
        <charset val="1"/>
      </rPr>
      <t xml:space="preserve">591 22062249</t>
    </r>
    <r>
      <rPr>
        <sz val="10"/>
        <color rgb="FF000000"/>
        <rFont val="Noto Sans CJK SC"/>
        <family val="2"/>
      </rPr>
      <t xml:space="preserve">、傑森愛華清單第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頁）→ 含稅 </t>
    </r>
    <r>
      <rPr>
        <sz val="10"/>
        <color rgb="FF000000"/>
        <rFont val="Arial"/>
        <family val="0"/>
        <charset val="1"/>
      </rPr>
      <t xml:space="preserve">534,870</t>
    </r>
  </si>
  <si>
    <t xml:space="preserve">南京三民</t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</si>
  <si>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張（空室、捷運站），沒有拍廁所。需現勘。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</si>
  <si>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</si>
  <si>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個月</t>
    </r>
  </si>
  <si>
    <r>
      <rPr>
        <sz val="10"/>
        <color rgb="FF000000"/>
        <rFont val="Arial"/>
        <family val="0"/>
        <charset val="1"/>
      </rPr>
      <t xml:space="preserve">9/30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591 22062249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509,400</t>
    </r>
    <r>
      <rPr>
        <sz val="10"/>
        <color rgb="FF000000"/>
        <rFont val="Noto Sans CJK SC"/>
        <family val="2"/>
      </rPr>
      <t xml:space="preserve">（未稅）／</t>
    </r>
    <r>
      <rPr>
        <sz val="10"/>
        <color rgb="FF000000"/>
        <rFont val="Arial"/>
        <family val="0"/>
        <charset val="1"/>
      </rPr>
      <t xml:space="preserve">283</t>
    </r>
    <r>
      <rPr>
        <sz val="10"/>
        <color rgb="FF000000"/>
        <rFont val="Noto Sans CJK SC"/>
        <family val="2"/>
      </rPr>
      <t xml:space="preserve">坪（與前次相同）；</t>
    </r>
    <r>
      <rPr>
        <sz val="10"/>
        <color rgb="FF000000"/>
        <rFont val="Arial"/>
        <family val="0"/>
        <charset val="1"/>
      </rPr>
      <t xml:space="preserve">10/12 </t>
    </r>
    <r>
      <rPr>
        <sz val="10"/>
        <color rgb="FF000000"/>
        <rFont val="Noto Sans CJK SC"/>
        <family val="2"/>
      </rPr>
      <t xml:space="preserve">再查：</t>
    </r>
    <r>
      <rPr>
        <sz val="10"/>
        <color rgb="FF000000"/>
        <rFont val="Arial"/>
        <family val="0"/>
        <charset val="1"/>
      </rPr>
      <t xml:space="preserve">22062249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509,400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283</t>
    </r>
    <r>
      <rPr>
        <sz val="10"/>
        <color rgb="FF000000"/>
        <rFont val="Noto Sans CJK SC"/>
        <family val="2"/>
      </rPr>
      <t xml:space="preserve">坪</t>
    </r>
  </si>
  <si>
    <t xml:space="preserve">實坪未揭露；大樓名稱為推定；管理費未提供；廁所需現勘</t>
  </si>
  <si>
    <r>
      <rPr>
        <sz val="10"/>
        <color rgb="FF000000"/>
        <rFont val="Noto Sans CJK SC"/>
        <family val="2"/>
      </rPr>
      <t xml:space="preserve">易信國際 王先生 </t>
    </r>
    <r>
      <rPr>
        <sz val="10"/>
        <color rgb="FF000000"/>
        <rFont val="Arial"/>
        <family val="0"/>
        <charset val="1"/>
      </rPr>
      <t xml:space="preserve">0955-866-400</t>
    </r>
    <r>
      <rPr>
        <sz val="10"/>
        <color rgb="FF000000"/>
        <rFont val="Noto Sans CJK SC"/>
        <family val="2"/>
      </rPr>
      <t xml:space="preserve">；傑森愛華 張先生 </t>
    </r>
    <r>
      <rPr>
        <sz val="10"/>
        <color rgb="FF000000"/>
        <rFont val="Arial"/>
        <family val="0"/>
        <charset val="1"/>
      </rPr>
      <t xml:space="preserve">0931-330823</t>
    </r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</si>
  <si>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283</t>
    </r>
    <r>
      <rPr>
        <sz val="10"/>
        <color rgb="FF000000"/>
        <rFont val="Noto Sans CJK SC"/>
        <family val="2"/>
      </rPr>
      <t xml:space="preserve">坪）；已符合：月租</t>
    </r>
    <r>
      <rPr>
        <sz val="10"/>
        <color rgb="FF000000"/>
        <rFont val="Arial"/>
        <family val="0"/>
        <charset val="1"/>
      </rPr>
      <t xml:space="preserve">53.5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南京三民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綠</t>
    </r>
    <r>
      <rPr>
        <sz val="10"/>
        <color rgb="FF000000"/>
        <rFont val="Arial"/>
        <family val="0"/>
        <charset val="1"/>
      </rPr>
      <t xml:space="preserve">) 2</t>
    </r>
    <r>
      <rPr>
        <sz val="10"/>
        <color rgb="FF000000"/>
        <rFont val="Noto Sans CJK SC"/>
        <family val="2"/>
      </rPr>
      <t xml:space="preserve">分</t>
    </r>
  </si>
  <si>
    <t xml:space="preserve">N15</t>
  </si>
  <si>
    <t xml:space="preserve">民生東路二段 6F（仲介稱使用約226坪）</t>
  </si>
  <si>
    <t xml:space="preserve">民生東路二段</t>
  </si>
  <si>
    <t xml:space="preserve">6F/12F</t>
  </si>
  <si>
    <r>
      <rPr>
        <sz val="10"/>
        <color rgb="FF000000"/>
        <rFont val="Arial"/>
        <family val="0"/>
        <charset val="1"/>
      </rPr>
      <t xml:space="preserve">483,395 </t>
    </r>
    <r>
      <rPr>
        <sz val="10"/>
        <color rgb="FF000000"/>
        <rFont val="Noto Sans CJK SC"/>
        <family val="2"/>
      </rPr>
      <t xml:space="preserve">未含稅（</t>
    </r>
    <r>
      <rPr>
        <sz val="10"/>
        <color rgb="FF000000"/>
        <rFont val="Arial"/>
        <family val="0"/>
        <charset val="1"/>
      </rPr>
      <t xml:space="preserve">591 21595066</t>
    </r>
    <r>
      <rPr>
        <sz val="10"/>
        <color rgb="FF000000"/>
        <rFont val="Noto Sans CJK SC"/>
        <family val="2"/>
      </rPr>
      <t xml:space="preserve">）→ 含稅 </t>
    </r>
    <r>
      <rPr>
        <sz val="10"/>
        <color rgb="FF000000"/>
        <rFont val="Arial"/>
        <family val="0"/>
        <charset val="1"/>
      </rPr>
      <t xml:space="preserve">507,565</t>
    </r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</si>
  <si>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橘</t>
    </r>
    <r>
      <rPr>
        <sz val="10"/>
        <color rgb="FF000000"/>
        <rFont val="Arial"/>
        <family val="0"/>
        <charset val="1"/>
      </rPr>
      <t xml:space="preserve">) 188m</t>
    </r>
  </si>
  <si>
    <r>
      <rPr>
        <sz val="10"/>
        <color rgb="FF000000"/>
        <rFont val="Noto Sans CJK SC"/>
        <family val="2"/>
      </rPr>
      <t xml:space="preserve">廁所新：廁所為新裝修（</t>
    </r>
    <r>
      <rPr>
        <sz val="10"/>
        <color rgb="FF000000"/>
        <rFont val="Arial"/>
        <family val="0"/>
        <charset val="1"/>
      </rPr>
      <t xml:space="preserve">591 21985150 </t>
    </r>
    <r>
      <rPr>
        <sz val="10"/>
        <color rgb="FF000000"/>
        <rFont val="Noto Sans CJK SC"/>
        <family val="2"/>
      </rPr>
      <t xml:space="preserve">照片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：深色石材牆面、檯面式洗手台、新式小便斗）；辦公區天花有部分線材外露待整理；同戶 </t>
    </r>
    <r>
      <rPr>
        <sz val="10"/>
        <color rgb="FF000000"/>
        <rFont val="Arial"/>
        <family val="0"/>
        <charset val="1"/>
      </rPr>
      <t xml:space="preserve">591 21812612 </t>
    </r>
    <r>
      <rPr>
        <sz val="10"/>
        <color rgb="FF000000"/>
        <rFont val="Noto Sans CJK SC"/>
        <family val="2"/>
      </rPr>
      <t xml:space="preserve">內文寫「廁所設於室內」。</t>
    </r>
  </si>
  <si>
    <r>
      <rPr>
        <sz val="10"/>
        <color rgb="FF000000"/>
        <rFont val="Noto Sans CJK SC"/>
        <family val="2"/>
      </rPr>
      <t xml:space="preserve">兩年～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</si>
  <si>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9/30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591 21985150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483,395</t>
    </r>
    <r>
      <rPr>
        <sz val="10"/>
        <color rgb="FF000000"/>
        <rFont val="Noto Sans CJK SC"/>
        <family val="2"/>
      </rPr>
      <t xml:space="preserve">／使用約</t>
    </r>
    <r>
      <rPr>
        <sz val="10"/>
        <color rgb="FF000000"/>
        <rFont val="Arial"/>
        <family val="0"/>
        <charset val="1"/>
      </rPr>
      <t xml:space="preserve">226</t>
    </r>
    <r>
      <rPr>
        <sz val="10"/>
        <color rgb="FF000000"/>
        <rFont val="Noto Sans CJK SC"/>
        <family val="2"/>
      </rPr>
      <t xml:space="preserve">坪（與前次相同）；同戶 </t>
    </r>
    <r>
      <rPr>
        <sz val="10"/>
        <color rgb="FF000000"/>
        <rFont val="Arial"/>
        <family val="0"/>
        <charset val="1"/>
      </rPr>
      <t xml:space="preserve">21595066 </t>
    </r>
    <r>
      <rPr>
        <sz val="10"/>
        <color rgb="FF000000"/>
        <rFont val="Noto Sans CJK SC"/>
        <family val="2"/>
      </rPr>
      <t xml:space="preserve">也仍刊登；</t>
    </r>
    <r>
      <rPr>
        <sz val="10"/>
        <color rgb="FF000000"/>
        <rFont val="Arial"/>
        <family val="0"/>
        <charset val="1"/>
      </rPr>
      <t xml:space="preserve">10/12 </t>
    </r>
    <r>
      <rPr>
        <sz val="10"/>
        <color rgb="FF000000"/>
        <rFont val="Noto Sans CJK SC"/>
        <family val="2"/>
      </rPr>
      <t xml:space="preserve">再查：</t>
    </r>
    <r>
      <rPr>
        <sz val="10"/>
        <color rgb="FF000000"/>
        <rFont val="Arial"/>
        <family val="0"/>
        <charset val="1"/>
      </rPr>
      <t xml:space="preserve">21985150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483,395</t>
    </r>
    <r>
      <rPr>
        <sz val="10"/>
        <color rgb="FF000000"/>
        <rFont val="Noto Sans CJK SC"/>
        <family val="2"/>
      </rPr>
      <t xml:space="preserve">；使用者另給同戶 </t>
    </r>
    <r>
      <rPr>
        <sz val="10"/>
        <color rgb="FF000000"/>
        <rFont val="Arial"/>
        <family val="0"/>
        <charset val="1"/>
      </rPr>
      <t xml:space="preserve">591 21812612</t>
    </r>
    <r>
      <rPr>
        <sz val="10"/>
        <color rgb="FF000000"/>
        <rFont val="Noto Sans CJK SC"/>
        <family val="2"/>
      </rPr>
      <t xml:space="preserve">（易信，</t>
    </r>
    <r>
      <rPr>
        <sz val="10"/>
        <color rgb="FF000000"/>
        <rFont val="Arial"/>
        <family val="0"/>
        <charset val="1"/>
      </rPr>
      <t xml:space="preserve">483,395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255</t>
    </r>
    <r>
      <rPr>
        <sz val="10"/>
        <color rgb="FF000000"/>
        <rFont val="Noto Sans CJK SC"/>
        <family val="2"/>
      </rPr>
      <t xml:space="preserve">坪權狀）；⚠ 原「未含稅」依據 </t>
    </r>
    <r>
      <rPr>
        <sz val="10"/>
        <color rgb="FF000000"/>
        <rFont val="Arial"/>
        <family val="0"/>
        <charset val="1"/>
      </rPr>
      <t xml:space="preserve">591 21595066 </t>
    </r>
    <r>
      <rPr>
        <sz val="10"/>
        <color rgb="FF000000"/>
        <rFont val="Noto Sans CJK SC"/>
        <family val="2"/>
      </rPr>
      <t xml:space="preserve">已下架，現存兩筆都沒寫稅別</t>
    </r>
  </si>
  <si>
    <r>
      <rPr>
        <sz val="10"/>
        <color rgb="FF000000"/>
        <rFont val="Noto Sans CJK SC"/>
        <family val="2"/>
      </rPr>
      <t xml:space="preserve">實坪只有仲介口述；綠紅藍捷運距離未確認（概略座標推算松江南京約</t>
    </r>
    <r>
      <rPr>
        <sz val="10"/>
        <color rgb="FF000000"/>
        <rFont val="Arial"/>
        <family val="0"/>
        <charset val="1"/>
      </rPr>
      <t xml:space="preserve">780m</t>
    </r>
    <r>
      <rPr>
        <sz val="10"/>
        <color rgb="FF000000"/>
        <rFont val="Noto Sans CJK SC"/>
        <family val="2"/>
      </rPr>
      <t xml:space="preserve">）；稅別依據（</t>
    </r>
    <r>
      <rPr>
        <sz val="10"/>
        <color rgb="FF000000"/>
        <rFont val="Arial"/>
        <family val="0"/>
        <charset val="1"/>
      </rPr>
      <t xml:space="preserve">591 21595066</t>
    </r>
    <r>
      <rPr>
        <sz val="10"/>
        <color rgb="FF000000"/>
        <rFont val="Noto Sans CJK SC"/>
        <family val="2"/>
      </rPr>
      <t xml:space="preserve">「未含稅」）已下架，現存刊登未寫稅別</t>
    </r>
  </si>
  <si>
    <r>
      <rPr>
        <sz val="10"/>
        <color rgb="FF000000"/>
        <rFont val="Noto Sans CJK SC"/>
        <family val="2"/>
      </rPr>
      <t xml:space="preserve">弘浥 張先生 </t>
    </r>
    <r>
      <rPr>
        <sz val="10"/>
        <color rgb="FF000000"/>
        <rFont val="Arial"/>
        <family val="0"/>
        <charset val="1"/>
      </rPr>
      <t xml:space="preserve">0920-323-930</t>
    </r>
    <r>
      <rPr>
        <sz val="10"/>
        <color rgb="FF000000"/>
        <rFont val="Noto Sans CJK SC"/>
        <family val="2"/>
      </rPr>
      <t xml:space="preserve">；易信國際 王先生 </t>
    </r>
    <r>
      <rPr>
        <sz val="10"/>
        <color rgb="FF000000"/>
        <rFont val="Arial"/>
        <family val="0"/>
        <charset val="1"/>
      </rPr>
      <t xml:space="preserve">0955-866-400</t>
    </r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</si>
  <si>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255.18</t>
    </r>
    <r>
      <rPr>
        <sz val="10"/>
        <color rgb="FF000000"/>
        <rFont val="Noto Sans CJK SC"/>
        <family val="2"/>
      </rPr>
      <t xml:space="preserve">坪）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綠紅藍捷運距離未確認（最近 行天宮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橘</t>
    </r>
    <r>
      <rPr>
        <sz val="10"/>
        <color rgb="FF000000"/>
        <rFont val="Arial"/>
        <family val="0"/>
        <charset val="1"/>
      </rPr>
      <t xml:space="preserve">) 188m</t>
    </r>
    <r>
      <rPr>
        <sz val="10"/>
        <color rgb="FF000000"/>
        <rFont val="Noto Sans CJK SC"/>
        <family val="2"/>
      </rPr>
      <t xml:space="preserve">）；已符合：月租</t>
    </r>
    <r>
      <rPr>
        <sz val="10"/>
        <color rgb="FF000000"/>
        <rFont val="Arial"/>
        <family val="0"/>
        <charset val="1"/>
      </rPr>
      <t xml:space="preserve">50.8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</t>
    </r>
  </si>
  <si>
    <t xml:space="preserve">S06</t>
  </si>
  <si>
    <t xml:space="preserve">八德大樓 7F（出租254.06坪）</t>
  </si>
  <si>
    <t xml:space="preserve">7F/12F</t>
  </si>
  <si>
    <r>
      <rPr>
        <sz val="10"/>
        <color rgb="FF000000"/>
        <rFont val="Arial"/>
        <family val="0"/>
        <charset val="1"/>
      </rPr>
      <t xml:space="preserve">381,090</t>
    </r>
    <r>
      <rPr>
        <sz val="10"/>
        <color rgb="FF000000"/>
        <rFont val="Noto Sans CJK SC"/>
        <family val="2"/>
      </rPr>
      <t xml:space="preserve">（信義刊登）；</t>
    </r>
    <r>
      <rPr>
        <sz val="10"/>
        <color rgb="FF000000"/>
        <rFont val="Arial"/>
        <family val="0"/>
        <charset val="1"/>
      </rPr>
      <t xml:space="preserve">591 22053377 254</t>
    </r>
    <r>
      <rPr>
        <sz val="10"/>
        <color rgb="FF000000"/>
        <rFont val="Noto Sans CJK SC"/>
        <family val="2"/>
      </rPr>
      <t xml:space="preserve">坪 </t>
    </r>
    <r>
      <rPr>
        <sz val="10"/>
        <color rgb="FF000000"/>
        <rFont val="Arial"/>
        <family val="0"/>
        <charset val="1"/>
      </rPr>
      <t xml:space="preserve">381,000</t>
    </r>
  </si>
  <si>
    <r>
      <rPr>
        <sz val="10"/>
        <color rgb="FF000000"/>
        <rFont val="Noto Sans CJK SC"/>
        <family val="2"/>
      </rPr>
      <t xml:space="preserve">廁所新：與 </t>
    </r>
    <r>
      <rPr>
        <sz val="10"/>
        <color rgb="FF000000"/>
        <rFont val="Arial"/>
        <family val="0"/>
        <charset val="1"/>
      </rPr>
      <t xml:space="preserve">S11 </t>
    </r>
    <r>
      <rPr>
        <sz val="10"/>
        <color rgb="FF000000"/>
        <rFont val="Noto Sans CJK SC"/>
        <family val="2"/>
      </rPr>
      <t xml:space="preserve">同棟同規格：廁所新裝修（信義 </t>
    </r>
    <r>
      <rPr>
        <sz val="10"/>
        <color rgb="FF000000"/>
        <rFont val="Arial"/>
        <family val="0"/>
        <charset val="1"/>
      </rPr>
      <t xml:space="preserve">CZ05587 </t>
    </r>
    <r>
      <rPr>
        <sz val="10"/>
        <color rgb="FF000000"/>
        <rFont val="Noto Sans CJK SC"/>
        <family val="2"/>
      </rPr>
      <t xml:space="preserve">照片 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）、茶水間新（照片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</si>
  <si>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9/30</t>
    </r>
    <r>
      <rPr>
        <sz val="10"/>
        <color rgb="FF000000"/>
        <rFont val="Noto Sans CJK SC"/>
        <family val="2"/>
      </rPr>
      <t xml:space="preserve">：信義 </t>
    </r>
    <r>
      <rPr>
        <sz val="10"/>
        <color rgb="FF000000"/>
        <rFont val="Arial"/>
        <family val="0"/>
        <charset val="1"/>
      </rPr>
      <t xml:space="preserve">CZ05587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381,090</t>
    </r>
    <r>
      <rPr>
        <sz val="10"/>
        <color rgb="FF000000"/>
        <rFont val="Noto Sans CJK SC"/>
        <family val="2"/>
      </rPr>
      <t xml:space="preserve">／出租</t>
    </r>
    <r>
      <rPr>
        <sz val="10"/>
        <color rgb="FF000000"/>
        <rFont val="Arial"/>
        <family val="0"/>
        <charset val="1"/>
      </rPr>
      <t xml:space="preserve">254.06</t>
    </r>
    <r>
      <rPr>
        <sz val="10"/>
        <color rgb="FF000000"/>
        <rFont val="Noto Sans CJK SC"/>
        <family val="2"/>
      </rPr>
      <t xml:space="preserve">坪（與前次相同）；</t>
    </r>
    <r>
      <rPr>
        <sz val="10"/>
        <color rgb="FF000000"/>
        <rFont val="Arial"/>
        <family val="0"/>
        <charset val="1"/>
      </rPr>
      <t xml:space="preserve">10/12 </t>
    </r>
    <r>
      <rPr>
        <sz val="10"/>
        <color rgb="FF000000"/>
        <rFont val="Noto Sans CJK SC"/>
        <family val="2"/>
      </rPr>
      <t xml:space="preserve">再查：</t>
    </r>
    <r>
      <rPr>
        <sz val="10"/>
        <color rgb="FF000000"/>
        <rFont val="Arial"/>
        <family val="0"/>
        <charset val="1"/>
      </rPr>
      <t xml:space="preserve">CZ05587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381,090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254.06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</si>
  <si>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254.06</t>
    </r>
    <r>
      <rPr>
        <sz val="10"/>
        <color rgb="FF000000"/>
        <rFont val="Noto Sans CJK SC"/>
        <family val="2"/>
      </rPr>
      <t xml:space="preserve">坪）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捷運忠孝復興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藍</t>
    </r>
    <r>
      <rPr>
        <sz val="10"/>
        <color rgb="FF000000"/>
        <rFont val="Arial"/>
        <family val="0"/>
        <charset val="1"/>
      </rPr>
      <t xml:space="preserve">) 11</t>
    </r>
    <r>
      <rPr>
        <sz val="10"/>
        <color rgb="FF000000"/>
        <rFont val="Noto Sans CJK SC"/>
        <family val="2"/>
      </rPr>
      <t xml:space="preserve">分（</t>
    </r>
    <r>
      <rPr>
        <sz val="10"/>
        <color rgb="FF000000"/>
        <rFont val="Arial"/>
        <family val="0"/>
        <charset val="1"/>
      </rPr>
      <t xml:space="preserve">&gt;10</t>
    </r>
    <r>
      <rPr>
        <sz val="10"/>
        <color rgb="FF000000"/>
        <rFont val="Noto Sans CJK SC"/>
        <family val="2"/>
      </rPr>
      <t xml:space="preserve">分）；已符合：月租</t>
    </r>
    <r>
      <rPr>
        <sz val="10"/>
        <color rgb="FF000000"/>
        <rFont val="Arial"/>
        <family val="0"/>
        <charset val="1"/>
      </rPr>
      <t xml:space="preserve">38.1</t>
    </r>
    <r>
      <rPr>
        <sz val="10"/>
        <color rgb="FF000000"/>
        <rFont val="Noto Sans CJK SC"/>
        <family val="2"/>
      </rPr>
      <t xml:space="preserve">萬</t>
    </r>
  </si>
  <si>
    <t xml:space="preserve">N09</t>
  </si>
  <si>
    <t xml:space="preserve">長春路 8F（松江南京站）</t>
  </si>
  <si>
    <t xml:space="preserve">長春路</t>
  </si>
  <si>
    <t xml:space="preserve">8F/12F</t>
  </si>
  <si>
    <r>
      <rPr>
        <sz val="10"/>
        <color rgb="FF000000"/>
        <rFont val="Arial"/>
        <family val="0"/>
        <charset val="1"/>
      </rPr>
      <t xml:space="preserve">480,035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591 22061922</t>
    </r>
    <r>
      <rPr>
        <sz val="10"/>
        <color rgb="FF000000"/>
        <rFont val="Noto Sans CJK SC"/>
        <family val="2"/>
      </rPr>
      <t xml:space="preserve">，稅別未寫）</t>
    </r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</si>
  <si>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張皆為辦公區（開放式天花、地毯），沒有拍廁所。需現勘。</t>
    </r>
  </si>
  <si>
    <t xml:space="preserve">兩年</t>
  </si>
  <si>
    <r>
      <rPr>
        <sz val="10"/>
        <color rgb="FF000000"/>
        <rFont val="Arial"/>
        <family val="0"/>
        <charset val="1"/>
      </rPr>
      <t xml:space="preserve">9/30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591 22061922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480,035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253</t>
    </r>
    <r>
      <rPr>
        <sz val="10"/>
        <color rgb="FF000000"/>
        <rFont val="Noto Sans CJK SC"/>
        <family val="2"/>
      </rPr>
      <t xml:space="preserve">坪（與前次相同）；</t>
    </r>
    <r>
      <rPr>
        <sz val="10"/>
        <color rgb="FF000000"/>
        <rFont val="Arial"/>
        <family val="0"/>
        <charset val="1"/>
      </rPr>
      <t xml:space="preserve">10/12 </t>
    </r>
    <r>
      <rPr>
        <sz val="10"/>
        <color rgb="FF000000"/>
        <rFont val="Noto Sans CJK SC"/>
        <family val="2"/>
      </rPr>
      <t xml:space="preserve">再查：</t>
    </r>
    <r>
      <rPr>
        <sz val="10"/>
        <color rgb="FF000000"/>
        <rFont val="Arial"/>
        <family val="0"/>
        <charset val="1"/>
      </rPr>
      <t xml:space="preserve">22061922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480,035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253</t>
    </r>
    <r>
      <rPr>
        <sz val="10"/>
        <color rgb="FF000000"/>
        <rFont val="Noto Sans CJK SC"/>
        <family val="2"/>
      </rPr>
      <t xml:space="preserve">坪</t>
    </r>
  </si>
  <si>
    <t xml:space="preserve">實坪未揭露；租金稅別未寫；管理費未提供；廁所需現勘</t>
  </si>
  <si>
    <r>
      <rPr>
        <sz val="10"/>
        <color rgb="FF000000"/>
        <rFont val="Noto Sans CJK SC"/>
        <family val="2"/>
      </rPr>
      <t xml:space="preserve">易信國際 王先生 </t>
    </r>
    <r>
      <rPr>
        <sz val="10"/>
        <color rgb="FF000000"/>
        <rFont val="Arial"/>
        <family val="0"/>
        <charset val="1"/>
      </rPr>
      <t xml:space="preserve">0955-866-400</t>
    </r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</si>
  <si>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253</t>
    </r>
    <r>
      <rPr>
        <sz val="10"/>
        <color rgb="FF000000"/>
        <rFont val="Noto Sans CJK SC"/>
        <family val="2"/>
      </rPr>
      <t xml:space="preserve">坪）；已符合：月租</t>
    </r>
    <r>
      <rPr>
        <sz val="10"/>
        <color rgb="FF000000"/>
        <rFont val="Arial"/>
        <family val="0"/>
        <charset val="1"/>
      </rPr>
      <t xml:space="preserve">48.0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松江南京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綠</t>
    </r>
    <r>
      <rPr>
        <sz val="10"/>
        <color rgb="FF000000"/>
        <rFont val="Arial"/>
        <family val="0"/>
        <charset val="1"/>
      </rPr>
      <t xml:space="preserve">) 6</t>
    </r>
    <r>
      <rPr>
        <sz val="10"/>
        <color rgb="FF000000"/>
        <rFont val="Noto Sans CJK SC"/>
        <family val="2"/>
      </rPr>
      <t xml:space="preserve">分</t>
    </r>
  </si>
  <si>
    <t xml:space="preserve">N27</t>
  </si>
  <si>
    <t xml:space="preserve">南京東路五段 3F（南京三民站）</t>
  </si>
  <si>
    <t xml:space="preserve">南京東路五段</t>
  </si>
  <si>
    <t xml:space="preserve">3F/16F</t>
  </si>
  <si>
    <r>
      <rPr>
        <sz val="10"/>
        <color rgb="FF000000"/>
        <rFont val="Arial"/>
        <family val="0"/>
        <charset val="1"/>
      </rPr>
      <t xml:space="preserve">534,754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591 22061968</t>
    </r>
    <r>
      <rPr>
        <sz val="10"/>
        <color rgb="FF000000"/>
        <rFont val="Noto Sans CJK SC"/>
        <family val="2"/>
      </rPr>
      <t xml:space="preserve">，稅別未寫；若為未稅，含稅</t>
    </r>
    <r>
      <rPr>
        <sz val="10"/>
        <color rgb="FF000000"/>
        <rFont val="Arial"/>
        <family val="0"/>
        <charset val="1"/>
      </rPr>
      <t xml:space="preserve">561,492</t>
    </r>
    <r>
      <rPr>
        <sz val="10"/>
        <color rgb="FF000000"/>
        <rFont val="Noto Sans CJK SC"/>
        <family val="2"/>
      </rPr>
      <t xml:space="preserve">將超過上限）</t>
    </r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</si>
  <si>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張（辦公區、外觀），沒有拍廁所。需現勘。</t>
    </r>
  </si>
  <si>
    <r>
      <rPr>
        <sz val="10"/>
        <color rgb="FF000000"/>
        <rFont val="Arial"/>
        <family val="0"/>
        <charset val="1"/>
      </rPr>
      <t xml:space="preserve">9/30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591 22061968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534,754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243</t>
    </r>
    <r>
      <rPr>
        <sz val="10"/>
        <color rgb="FF000000"/>
        <rFont val="Noto Sans CJK SC"/>
        <family val="2"/>
      </rPr>
      <t xml:space="preserve">坪（與前次相同）；</t>
    </r>
    <r>
      <rPr>
        <sz val="10"/>
        <color rgb="FF000000"/>
        <rFont val="Arial"/>
        <family val="0"/>
        <charset val="1"/>
      </rPr>
      <t xml:space="preserve">10/12 </t>
    </r>
    <r>
      <rPr>
        <sz val="10"/>
        <color rgb="FF000000"/>
        <rFont val="Noto Sans CJK SC"/>
        <family val="2"/>
      </rPr>
      <t xml:space="preserve">再查：</t>
    </r>
    <r>
      <rPr>
        <sz val="10"/>
        <color rgb="FF000000"/>
        <rFont val="Arial"/>
        <family val="0"/>
        <charset val="1"/>
      </rPr>
      <t xml:space="preserve">22061968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534,754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243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</si>
  <si>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實坪未揭露；稅別未寫（未稅則超過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萬）；廁所需現勘</t>
    </r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</si>
  <si>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243</t>
    </r>
    <r>
      <rPr>
        <sz val="10"/>
        <color rgb="FF000000"/>
        <rFont val="Noto Sans CJK SC"/>
        <family val="2"/>
      </rPr>
      <t xml:space="preserve">坪）；已符合：月租</t>
    </r>
    <r>
      <rPr>
        <sz val="10"/>
        <color rgb="FF000000"/>
        <rFont val="Arial"/>
        <family val="0"/>
        <charset val="1"/>
      </rPr>
      <t xml:space="preserve">53.5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南京三民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綠</t>
    </r>
    <r>
      <rPr>
        <sz val="10"/>
        <color rgb="FF000000"/>
        <rFont val="Arial"/>
        <family val="0"/>
        <charset val="1"/>
      </rPr>
      <t xml:space="preserve">) 1</t>
    </r>
    <r>
      <rPr>
        <sz val="10"/>
        <color rgb="FF000000"/>
        <rFont val="Noto Sans CJK SC"/>
        <family val="2"/>
      </rPr>
      <t xml:space="preserve">分</t>
    </r>
  </si>
  <si>
    <t xml:space="preserve">D</t>
  </si>
  <si>
    <t xml:space="preserve">敦化財經大樓 4F之1</t>
  </si>
  <si>
    <r>
      <rPr>
        <sz val="10"/>
        <color rgb="FF000000"/>
        <rFont val="Noto Sans CJK SC"/>
        <family val="2"/>
      </rPr>
      <t xml:space="preserve">敦化北路</t>
    </r>
    <r>
      <rPr>
        <sz val="10"/>
        <color rgb="FF000000"/>
        <rFont val="Arial"/>
        <family val="0"/>
        <charset val="1"/>
      </rPr>
      <t xml:space="preserve">214</t>
    </r>
    <r>
      <rPr>
        <sz val="10"/>
        <color rgb="FF000000"/>
        <rFont val="Noto Sans CJK SC"/>
        <family val="2"/>
      </rPr>
      <t xml:space="preserve">號</t>
    </r>
  </si>
  <si>
    <t xml:space="preserve">4F/11F(B2)</t>
  </si>
  <si>
    <r>
      <rPr>
        <sz val="10"/>
        <color rgb="FF000000"/>
        <rFont val="Arial"/>
        <family val="0"/>
        <charset val="1"/>
      </rPr>
      <t xml:space="preserve">440,140 </t>
    </r>
    <r>
      <rPr>
        <sz val="10"/>
        <color rgb="FF000000"/>
        <rFont val="Noto Sans CJK SC"/>
        <family val="2"/>
      </rPr>
      <t xml:space="preserve">含稅（尚揚物調表）；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同戶 </t>
    </r>
    <r>
      <rPr>
        <sz val="10"/>
        <color rgb="FF000000"/>
        <rFont val="Arial"/>
        <family val="0"/>
        <charset val="1"/>
      </rPr>
      <t xml:space="preserve">386,839 </t>
    </r>
    <r>
      <rPr>
        <sz val="10"/>
        <color rgb="FF000000"/>
        <rFont val="Noto Sans CJK SC"/>
        <family val="2"/>
      </rPr>
      <t xml:space="preserve">稅別未寫</t>
    </r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</si>
  <si>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 404m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591</t>
    </r>
    <r>
      <rPr>
        <sz val="10"/>
        <color rgb="FF000000"/>
        <rFont val="Noto Sans CJK SC"/>
        <family val="2"/>
      </rPr>
      <t xml:space="preserve">寫明）</t>
    </r>
  </si>
  <si>
    <r>
      <rPr>
        <sz val="10"/>
        <color rgb="FF000000"/>
        <rFont val="Noto Sans CJK SC"/>
        <family val="2"/>
      </rPr>
      <t xml:space="preserve">廁所在外：物調表註明「廁所在外」（公共廁所，非本戶專用）；尚揚照片大多為毛胚（天花拆除、管線外露），沒有拍廁所；</t>
    </r>
    <r>
      <rPr>
        <sz val="10"/>
        <color rgb="FF000000"/>
        <rFont val="Arial"/>
        <family val="0"/>
        <charset val="1"/>
      </rPr>
      <t xml:space="preserve">591 21711753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張為大樓外觀、大廳（石材）與周邊，也沒有室內與廁所照片。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</si>
  <si>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</si>
  <si>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10/12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591 21711753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446,480</t>
    </r>
    <r>
      <rPr>
        <sz val="10"/>
        <color rgb="FF000000"/>
        <rFont val="Noto Sans CJK SC"/>
        <family val="2"/>
      </rPr>
      <t xml:space="preserve">（含稅）／權狀</t>
    </r>
    <r>
      <rPr>
        <sz val="10"/>
        <color rgb="FF000000"/>
        <rFont val="Arial"/>
        <family val="0"/>
        <charset val="1"/>
      </rPr>
      <t xml:space="preserve">220.07</t>
    </r>
    <r>
      <rPr>
        <sz val="10"/>
        <color rgb="FF000000"/>
        <rFont val="Noto Sans CJK SC"/>
        <family val="2"/>
      </rPr>
      <t xml:space="preserve">、主建＋附屬</t>
    </r>
    <r>
      <rPr>
        <sz val="10"/>
        <color rgb="FF000000"/>
        <rFont val="Arial"/>
        <family val="0"/>
        <charset val="1"/>
      </rPr>
      <t xml:space="preserve">207.21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</si>
  <si>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與物調表租金／管理費不同（</t>
    </r>
    <r>
      <rPr>
        <sz val="10"/>
        <color rgb="FF000000"/>
        <rFont val="Arial"/>
        <family val="0"/>
        <charset val="1"/>
      </rPr>
      <t xml:space="preserve">446,480 vs 440,140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47,840 vs 48,415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</si>
  <si>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尚揚國際 張正修 </t>
    </r>
    <r>
      <rPr>
        <sz val="10"/>
        <color rgb="FF000000"/>
        <rFont val="Arial"/>
        <family val="0"/>
        <charset val="1"/>
      </rPr>
      <t xml:space="preserve">0937-519-365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</si>
  <si>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207.21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12.8</t>
    </r>
    <r>
      <rPr>
        <sz val="10"/>
        <color rgb="FF000000"/>
        <rFont val="Noto Sans CJK SC"/>
        <family val="2"/>
      </rPr>
      <t xml:space="preserve">坪）</t>
    </r>
  </si>
  <si>
    <t xml:space="preserve">N17</t>
  </si>
  <si>
    <t xml:space="preserve">松哖大樓 2F</t>
  </si>
  <si>
    <r>
      <rPr>
        <sz val="10"/>
        <color rgb="FF000000"/>
        <rFont val="Noto Sans CJK SC"/>
        <family val="2"/>
      </rPr>
      <t xml:space="preserve">民生東路二段</t>
    </r>
    <r>
      <rPr>
        <sz val="10"/>
        <color rgb="FF000000"/>
        <rFont val="Arial"/>
        <family val="0"/>
        <charset val="1"/>
      </rPr>
      <t xml:space="preserve">161</t>
    </r>
    <r>
      <rPr>
        <sz val="10"/>
        <color rgb="FF000000"/>
        <rFont val="Noto Sans CJK SC"/>
        <family val="2"/>
      </rPr>
      <t xml:space="preserve">號＋</t>
    </r>
    <r>
      <rPr>
        <sz val="10"/>
        <color rgb="FF000000"/>
        <rFont val="Arial"/>
        <family val="0"/>
        <charset val="1"/>
      </rPr>
      <t xml:space="preserve">163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樓</t>
    </r>
  </si>
  <si>
    <t xml:space="preserve">2F/12F(B1)</t>
  </si>
  <si>
    <r>
      <rPr>
        <sz val="10"/>
        <color rgb="FF000000"/>
        <rFont val="Arial"/>
        <family val="0"/>
        <charset val="1"/>
      </rPr>
      <t xml:space="preserve">500,000 </t>
    </r>
    <r>
      <rPr>
        <sz val="10"/>
        <color rgb="FF000000"/>
        <rFont val="Noto Sans CJK SC"/>
        <family val="2"/>
      </rPr>
      <t xml:space="preserve">含稅（尚揚物調表）；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同樓層 </t>
    </r>
    <r>
      <rPr>
        <sz val="10"/>
        <color rgb="FF000000"/>
        <rFont val="Arial"/>
        <family val="0"/>
        <charset val="1"/>
      </rPr>
      <t xml:space="preserve">439,450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500,000 </t>
    </r>
    <r>
      <rPr>
        <sz val="10"/>
        <color rgb="FF000000"/>
        <rFont val="Noto Sans CJK SC"/>
        <family val="2"/>
      </rPr>
      <t xml:space="preserve">多筆</t>
    </r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</si>
  <si>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橘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185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299m</t>
    </r>
  </si>
  <si>
    <r>
      <rPr>
        <sz val="10"/>
        <color rgb="FF000000"/>
        <rFont val="Noto Sans CJK SC"/>
        <family val="2"/>
      </rPr>
      <t xml:space="preserve">廁所無照片：尚揚照片為辦公區（水泥地坪、部分天花拆），沒有拍廁所；</t>
    </r>
    <r>
      <rPr>
        <sz val="10"/>
        <color rgb="FF000000"/>
        <rFont val="Arial"/>
        <family val="0"/>
        <charset val="1"/>
      </rPr>
      <t xml:space="preserve">591 20941554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張也都是空室（天花部分拆除），沒有廁所。</t>
    </r>
  </si>
  <si>
    <r>
      <rPr>
        <sz val="10"/>
        <color rgb="FF000000"/>
        <rFont val="Arial"/>
        <family val="0"/>
        <charset val="1"/>
      </rPr>
      <t xml:space="preserve">10/12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591 20941554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439,450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235.73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</si>
  <si>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尚揚 劉品汯 </t>
    </r>
    <r>
      <rPr>
        <sz val="10"/>
        <color rgb="FF000000"/>
        <rFont val="Arial"/>
        <family val="0"/>
        <charset val="1"/>
      </rPr>
      <t xml:space="preserve">0901-407-026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</si>
  <si>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198.26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21.7</t>
    </r>
    <r>
      <rPr>
        <sz val="10"/>
        <color rgb="FF000000"/>
        <rFont val="Noto Sans CJK SC"/>
        <family val="2"/>
      </rPr>
      <t xml:space="preserve">坪）</t>
    </r>
  </si>
  <si>
    <t xml:space="preserve">N34</t>
  </si>
  <si>
    <t xml:space="preserve">民權西路 5F（民權西路站）</t>
  </si>
  <si>
    <t xml:space="preserve">大同</t>
  </si>
  <si>
    <t xml:space="preserve">民權西路</t>
  </si>
  <si>
    <t xml:space="preserve">5F/13F</t>
  </si>
  <si>
    <r>
      <rPr>
        <sz val="10"/>
        <color rgb="FF000000"/>
        <rFont val="Arial"/>
        <family val="0"/>
        <charset val="1"/>
      </rPr>
      <t xml:space="preserve">450,000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591 11580037</t>
    </r>
    <r>
      <rPr>
        <sz val="10"/>
        <color rgb="FF000000"/>
        <rFont val="Noto Sans CJK SC"/>
        <family val="2"/>
      </rPr>
      <t xml:space="preserve">，稅別未寫）</t>
    </r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</si>
  <si>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591 11580037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張為現有裝潢（木紋地板、玻璃隔間會議室、茶水區），沒有拍廁所；照片上傳於 </t>
    </r>
    <r>
      <rPr>
        <sz val="10"/>
        <color rgb="FF000000"/>
        <rFont val="Arial"/>
        <family val="0"/>
        <charset val="1"/>
      </rPr>
      <t xml:space="preserve">2021/09</t>
    </r>
    <r>
      <rPr>
        <sz val="10"/>
        <color rgb="FF000000"/>
        <rFont val="Noto Sans CJK SC"/>
        <family val="2"/>
      </rPr>
      <t xml:space="preserve">，現況需現勘。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</si>
  <si>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個月</t>
    </r>
  </si>
  <si>
    <r>
      <rPr>
        <sz val="10"/>
        <color rgb="FF000000"/>
        <rFont val="Arial"/>
        <family val="0"/>
        <charset val="1"/>
      </rPr>
      <t xml:space="preserve">10/12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591 11580037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450,000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303</t>
    </r>
    <r>
      <rPr>
        <sz val="10"/>
        <color rgb="FF000000"/>
        <rFont val="Noto Sans CJK SC"/>
        <family val="2"/>
      </rPr>
      <t xml:space="preserve">坪（含公設）</t>
    </r>
  </si>
  <si>
    <t xml:space="preserve">大同區（不在五區內）；實坪未揭露；租金稅別未寫；管理費未提供</t>
  </si>
  <si>
    <r>
      <rPr>
        <sz val="10"/>
        <color rgb="FF000000"/>
        <rFont val="Noto Sans CJK SC"/>
        <family val="2"/>
      </rPr>
      <t xml:space="preserve">住商 林玉蘋 </t>
    </r>
    <r>
      <rPr>
        <sz val="10"/>
        <color rgb="FF000000"/>
        <rFont val="Arial"/>
        <family val="0"/>
        <charset val="1"/>
      </rPr>
      <t xml:space="preserve">0952-060-901</t>
    </r>
  </si>
  <si>
    <t xml:space="preserve">不符：非指定行政區</t>
  </si>
  <si>
    <t xml:space="preserve">N30</t>
  </si>
  <si>
    <t xml:space="preserve">敦化南路二段 15F（信義安和站）</t>
  </si>
  <si>
    <t xml:space="preserve">大安</t>
  </si>
  <si>
    <t xml:space="preserve">敦化南路二段</t>
  </si>
  <si>
    <t xml:space="preserve">15F/27F</t>
  </si>
  <si>
    <r>
      <rPr>
        <sz val="10"/>
        <color rgb="FF000000"/>
        <rFont val="Arial"/>
        <family val="0"/>
        <charset val="1"/>
      </rPr>
      <t xml:space="preserve">469,200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591 22062144</t>
    </r>
    <r>
      <rPr>
        <sz val="10"/>
        <color rgb="FF000000"/>
        <rFont val="Noto Sans CJK SC"/>
        <family val="2"/>
      </rPr>
      <t xml:space="preserve">，稅別未寫）</t>
    </r>
  </si>
  <si>
    <t xml:space="preserve">信義安和</t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</si>
  <si>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591 22062144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張為空室（木紋地板、開放式天花）＋茶水間（照片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，新），沒有拍廁所。</t>
    </r>
  </si>
  <si>
    <r>
      <rPr>
        <sz val="10"/>
        <color rgb="FF000000"/>
        <rFont val="Arial"/>
        <family val="0"/>
        <charset val="1"/>
      </rPr>
      <t xml:space="preserve">10/12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591 22062144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469,200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Noto Sans CJK SC"/>
        <family val="2"/>
      </rPr>
      <t xml:space="preserve">坪（權狀）</t>
    </r>
  </si>
  <si>
    <r>
      <rPr>
        <sz val="10"/>
        <color rgb="FF000000"/>
        <rFont val="Noto Sans CJK SC"/>
        <family val="2"/>
      </rPr>
      <t xml:space="preserve">權狀僅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Noto Sans CJK SC"/>
        <family val="2"/>
      </rPr>
      <t xml:space="preserve">坪；租金稅別未寫；管理費未提供</t>
    </r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</si>
  <si>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</t>
    </r>
  </si>
  <si>
    <t xml:space="preserve">N31</t>
  </si>
  <si>
    <t xml:space="preserve">健康路 8F（南京三民／小巨蛋站）</t>
  </si>
  <si>
    <t xml:space="preserve">健康路</t>
  </si>
  <si>
    <r>
      <rPr>
        <sz val="10"/>
        <color rgb="FF000000"/>
        <rFont val="Arial"/>
        <family val="0"/>
        <charset val="1"/>
      </rPr>
      <t xml:space="preserve">448,500 </t>
    </r>
    <r>
      <rPr>
        <sz val="10"/>
        <color rgb="FF000000"/>
        <rFont val="Noto Sans CJK SC"/>
        <family val="2"/>
      </rPr>
      <t xml:space="preserve">未稅（</t>
    </r>
    <r>
      <rPr>
        <sz val="10"/>
        <color rgb="FF000000"/>
        <rFont val="Arial"/>
        <family val="0"/>
        <charset val="1"/>
      </rPr>
      <t xml:space="preserve">591 17979949 </t>
    </r>
    <r>
      <rPr>
        <sz val="10"/>
        <color rgb="FF000000"/>
        <rFont val="Noto Sans CJK SC"/>
        <family val="2"/>
      </rPr>
      <t xml:space="preserve">內文「此租金為未稅金額」，</t>
    </r>
    <r>
      <rPr>
        <sz val="10"/>
        <color rgb="FF000000"/>
        <rFont val="Arial"/>
        <family val="0"/>
        <charset val="1"/>
      </rPr>
      <t xml:space="preserve">2,300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坪）→ 含稅 </t>
    </r>
    <r>
      <rPr>
        <sz val="10"/>
        <color rgb="FF000000"/>
        <rFont val="Arial"/>
        <family val="0"/>
        <charset val="1"/>
      </rPr>
      <t xml:space="preserve">470,925</t>
    </r>
  </si>
  <si>
    <t xml:space="preserve">台北小巨蛋</t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</si>
  <si>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591 17979949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張為空室（高架地板、地毯已拆）＋茶水間（照片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），沒有拍廁所；刊登設備寫「公共衛生間」；照片上傳於 </t>
    </r>
    <r>
      <rPr>
        <sz val="10"/>
        <color rgb="FF000000"/>
        <rFont val="Arial"/>
        <family val="0"/>
        <charset val="1"/>
      </rPr>
      <t xml:space="preserve">2024/06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</si>
  <si>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10/12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591 17979949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448,500</t>
    </r>
    <r>
      <rPr>
        <sz val="10"/>
        <color rgb="FF000000"/>
        <rFont val="Noto Sans CJK SC"/>
        <family val="2"/>
      </rPr>
      <t xml:space="preserve">（未稅）／</t>
    </r>
    <r>
      <rPr>
        <sz val="10"/>
        <color rgb="FF000000"/>
        <rFont val="Arial"/>
        <family val="0"/>
        <charset val="1"/>
      </rPr>
      <t xml:space="preserve">195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</si>
  <si>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刊登</t>
    </r>
    <r>
      <rPr>
        <sz val="10"/>
        <color rgb="FF000000"/>
        <rFont val="Arial"/>
        <family val="0"/>
        <charset val="1"/>
      </rPr>
      <t xml:space="preserve">195</t>
    </r>
    <r>
      <rPr>
        <sz val="10"/>
        <color rgb="FF000000"/>
        <rFont val="Noto Sans CJK SC"/>
        <family val="2"/>
      </rPr>
      <t xml:space="preserve">坪；坪數性質未說明；管理費未提供</t>
    </r>
  </si>
  <si>
    <r>
      <rPr>
        <sz val="10"/>
        <color rgb="FF000000"/>
        <rFont val="Noto Sans CJK SC"/>
        <family val="2"/>
      </rPr>
      <t xml:space="preserve">尚揚 陳先生 </t>
    </r>
    <r>
      <rPr>
        <sz val="10"/>
        <color rgb="FF000000"/>
        <rFont val="Arial"/>
        <family val="0"/>
        <charset val="1"/>
      </rPr>
      <t xml:space="preserve">0906-118-677</t>
    </r>
  </si>
  <si>
    <r>
      <rPr>
        <sz val="10"/>
        <color rgb="FF000000"/>
        <rFont val="Noto Sans CJK SC"/>
        <family val="2"/>
      </rPr>
      <t xml:space="preserve">不符：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刊登</t>
    </r>
    <r>
      <rPr>
        <sz val="10"/>
        <color rgb="FF000000"/>
        <rFont val="Arial"/>
        <family val="0"/>
        <charset val="1"/>
      </rPr>
      <t xml:space="preserve">195</t>
    </r>
    <r>
      <rPr>
        <sz val="10"/>
        <color rgb="FF000000"/>
        <rFont val="Noto Sans CJK SC"/>
        <family val="2"/>
      </rPr>
      <t xml:space="preserve">坪（未說明權狀或使用坪數，任一種都低於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</t>
    </r>
  </si>
  <si>
    <t xml:space="preserve">N32</t>
  </si>
  <si>
    <t xml:space="preserve">南京東路三段 9F（南京復興站）</t>
  </si>
  <si>
    <t xml:space="preserve">南京東路三段</t>
  </si>
  <si>
    <t xml:space="preserve">9F/14F</t>
  </si>
  <si>
    <r>
      <rPr>
        <sz val="10"/>
        <color rgb="FF000000"/>
        <rFont val="Arial"/>
        <family val="0"/>
        <charset val="1"/>
      </rPr>
      <t xml:space="preserve">501,984 </t>
    </r>
    <r>
      <rPr>
        <sz val="10"/>
        <color rgb="FF000000"/>
        <rFont val="Noto Sans CJK SC"/>
        <family val="2"/>
      </rPr>
      <t xml:space="preserve">含稅（</t>
    </r>
    <r>
      <rPr>
        <sz val="10"/>
        <color rgb="FF000000"/>
        <rFont val="Arial"/>
        <family val="0"/>
        <charset val="1"/>
      </rPr>
      <t xml:space="preserve">591 21423260 </t>
    </r>
    <r>
      <rPr>
        <sz val="10"/>
        <color rgb="FF000000"/>
        <rFont val="Noto Sans CJK SC"/>
        <family val="2"/>
      </rPr>
      <t xml:space="preserve">內文「此租金為含稅金額」，</t>
    </r>
    <r>
      <rPr>
        <sz val="10"/>
        <color rgb="FF000000"/>
        <rFont val="Arial"/>
        <family val="0"/>
        <charset val="1"/>
      </rPr>
      <t xml:space="preserve">2,400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坪）</t>
    </r>
  </si>
  <si>
    <t xml:space="preserve">南京復興</t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</si>
  <si>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591 21423260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張為現況辦公室（目前有人使用：開放式天花、玻璃會議室、茶水間、哺乳室），沒有拍廁所；刊登設備寫「公共衛生間」。</t>
    </r>
  </si>
  <si>
    <r>
      <rPr>
        <sz val="10"/>
        <color rgb="FF000000"/>
        <rFont val="Arial"/>
        <family val="0"/>
        <charset val="1"/>
      </rPr>
      <t xml:space="preserve">10/12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591 21423260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501,984</t>
    </r>
    <r>
      <rPr>
        <sz val="10"/>
        <color rgb="FF000000"/>
        <rFont val="Noto Sans CJK SC"/>
        <family val="2"/>
      </rPr>
      <t xml:space="preserve">（含稅）／</t>
    </r>
    <r>
      <rPr>
        <sz val="10"/>
        <color rgb="FF000000"/>
        <rFont val="Arial"/>
        <family val="0"/>
        <charset val="1"/>
      </rPr>
      <t xml:space="preserve">209.16</t>
    </r>
    <r>
      <rPr>
        <sz val="10"/>
        <color rgb="FF000000"/>
        <rFont val="Noto Sans CJK SC"/>
        <family val="2"/>
      </rPr>
      <t xml:space="preserve">坪（權狀）</t>
    </r>
  </si>
  <si>
    <r>
      <rPr>
        <sz val="10"/>
        <color rgb="FF000000"/>
        <rFont val="Noto Sans CJK SC"/>
        <family val="2"/>
      </rPr>
      <t xml:space="preserve">權狀僅</t>
    </r>
    <r>
      <rPr>
        <sz val="10"/>
        <color rgb="FF000000"/>
        <rFont val="Arial"/>
        <family val="0"/>
        <charset val="1"/>
      </rPr>
      <t xml:space="preserve">209</t>
    </r>
    <r>
      <rPr>
        <sz val="10"/>
        <color rgb="FF000000"/>
        <rFont val="Noto Sans CJK SC"/>
        <family val="2"/>
      </rPr>
      <t xml:space="preserve">坪；管理費未提供</t>
    </r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</si>
  <si>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209.16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</t>
    </r>
  </si>
  <si>
    <t xml:space="preserve">N29</t>
  </si>
  <si>
    <t xml:space="preserve">健康路 3F（台北小巨蛋站）</t>
  </si>
  <si>
    <r>
      <rPr>
        <sz val="10"/>
        <color rgb="FF000000"/>
        <rFont val="Arial"/>
        <family val="0"/>
        <charset val="1"/>
      </rPr>
      <t xml:space="preserve">508,300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591 20903777</t>
    </r>
    <r>
      <rPr>
        <sz val="10"/>
        <color rgb="FF000000"/>
        <rFont val="Noto Sans CJK SC"/>
        <family val="2"/>
      </rPr>
      <t xml:space="preserve">，稅別未寫）</t>
    </r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</si>
  <si>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591 20903777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張為空室（新木紋地板、新天花燈具），沒有拍廁所；刊登設備寫「獨立衛生間」。</t>
    </r>
  </si>
  <si>
    <r>
      <rPr>
        <sz val="10"/>
        <color rgb="FF000000"/>
        <rFont val="Arial"/>
        <family val="0"/>
        <charset val="1"/>
      </rPr>
      <t xml:space="preserve">10/12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591 20903777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508,300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221</t>
    </r>
    <r>
      <rPr>
        <sz val="10"/>
        <color rgb="FF000000"/>
        <rFont val="Noto Sans CJK SC"/>
        <family val="2"/>
      </rPr>
      <t xml:space="preserve">坪（權狀）</t>
    </r>
  </si>
  <si>
    <r>
      <rPr>
        <sz val="10"/>
        <color rgb="FF000000"/>
        <rFont val="Noto Sans CJK SC"/>
        <family val="2"/>
      </rPr>
      <t xml:space="preserve">權狀僅</t>
    </r>
    <r>
      <rPr>
        <sz val="10"/>
        <color rgb="FF000000"/>
        <rFont val="Arial"/>
        <family val="0"/>
        <charset val="1"/>
      </rPr>
      <t xml:space="preserve">221</t>
    </r>
    <r>
      <rPr>
        <sz val="10"/>
        <color rgb="FF000000"/>
        <rFont val="Noto Sans CJK SC"/>
        <family val="2"/>
      </rPr>
      <t xml:space="preserve">坪；實坪未揭露；租金稅別未寫；管理費未提供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</si>
  <si>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刊登人（專案經理）</t>
    </r>
    <r>
      <rPr>
        <sz val="10"/>
        <color rgb="FF000000"/>
        <rFont val="Arial"/>
        <family val="0"/>
        <charset val="1"/>
      </rPr>
      <t xml:space="preserve">0977-222-827</t>
    </r>
  </si>
  <si>
    <r>
      <rPr>
        <sz val="10"/>
        <color rgb="FF000000"/>
        <rFont val="Noto Sans CJK SC"/>
        <family val="2"/>
      </rPr>
      <t xml:space="preserve">不符：權狀</t>
    </r>
    <r>
      <rPr>
        <sz val="10"/>
        <color rgb="FF000000"/>
        <rFont val="Arial"/>
        <family val="0"/>
        <charset val="1"/>
      </rPr>
      <t xml:space="preserve">221</t>
    </r>
    <r>
      <rPr>
        <sz val="10"/>
        <color rgb="FF000000"/>
        <rFont val="Noto Sans CJK SC"/>
        <family val="2"/>
      </rPr>
      <t xml:space="preserve">坪，公設比需≤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才達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（實坪未揭露）</t>
    </r>
  </si>
  <si>
    <t xml:space="preserve">N33</t>
  </si>
  <si>
    <t xml:space="preserve">菸廠路 8F（國父紀念館站・松菸旁）</t>
  </si>
  <si>
    <t xml:space="preserve">菸廠路</t>
  </si>
  <si>
    <t xml:space="preserve">8F/14F</t>
  </si>
  <si>
    <r>
      <rPr>
        <sz val="10"/>
        <color rgb="FF000000"/>
        <rFont val="Arial"/>
        <family val="0"/>
        <charset val="1"/>
      </rPr>
      <t xml:space="preserve">551,068 </t>
    </r>
    <r>
      <rPr>
        <sz val="10"/>
        <color rgb="FF000000"/>
        <rFont val="Noto Sans CJK SC"/>
        <family val="2"/>
      </rPr>
      <t xml:space="preserve">未稅（</t>
    </r>
    <r>
      <rPr>
        <sz val="10"/>
        <color rgb="FF000000"/>
        <rFont val="Arial"/>
        <family val="0"/>
        <charset val="1"/>
      </rPr>
      <t xml:space="preserve">591 22162790 </t>
    </r>
    <r>
      <rPr>
        <sz val="10"/>
        <color rgb="FF000000"/>
        <rFont val="Noto Sans CJK SC"/>
        <family val="2"/>
      </rPr>
      <t xml:space="preserve">內文「此租金未含加值型營業稅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」）→ 含稅 </t>
    </r>
    <r>
      <rPr>
        <sz val="10"/>
        <color rgb="FF000000"/>
        <rFont val="Arial"/>
        <family val="0"/>
        <charset val="1"/>
      </rPr>
      <t xml:space="preserve">578,621</t>
    </r>
  </si>
  <si>
    <t xml:space="preserve">國父紀念館</t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</si>
  <si>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591 22162790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張為空室（地毯舊、有磨損，面松菸／大巨蛋），沒有拍廁所。</t>
    </r>
  </si>
  <si>
    <r>
      <rPr>
        <sz val="10"/>
        <color rgb="FF000000"/>
        <rFont val="Arial"/>
        <family val="0"/>
        <charset val="1"/>
      </rPr>
      <t xml:space="preserve">10/12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591 22162790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551,068</t>
    </r>
    <r>
      <rPr>
        <sz val="10"/>
        <color rgb="FF000000"/>
        <rFont val="Noto Sans CJK SC"/>
        <family val="2"/>
      </rPr>
      <t xml:space="preserve">（未稅）／</t>
    </r>
    <r>
      <rPr>
        <sz val="10"/>
        <color rgb="FF000000"/>
        <rFont val="Arial"/>
        <family val="0"/>
        <charset val="1"/>
      </rPr>
      <t xml:space="preserve">196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</si>
  <si>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刊登僅</t>
    </r>
    <r>
      <rPr>
        <sz val="10"/>
        <color rgb="FF000000"/>
        <rFont val="Arial"/>
        <family val="0"/>
        <charset val="1"/>
      </rPr>
      <t xml:space="preserve">196</t>
    </r>
    <r>
      <rPr>
        <sz val="10"/>
        <color rgb="FF000000"/>
        <rFont val="Noto Sans CJK SC"/>
        <family val="2"/>
      </rPr>
      <t xml:space="preserve">坪；含稅超過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萬；管理費未提供</t>
    </r>
  </si>
  <si>
    <r>
      <rPr>
        <sz val="10"/>
        <color rgb="FF000000"/>
        <rFont val="Noto Sans CJK SC"/>
        <family val="2"/>
      </rPr>
      <t xml:space="preserve">東家國際 蔡泳翰 </t>
    </r>
    <r>
      <rPr>
        <sz val="10"/>
        <color rgb="FF000000"/>
        <rFont val="Arial"/>
        <family val="0"/>
        <charset val="1"/>
      </rPr>
      <t xml:space="preserve">0912-816-677</t>
    </r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</si>
  <si>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196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）；月租</t>
    </r>
    <r>
      <rPr>
        <sz val="10"/>
        <color rgb="FF000000"/>
        <rFont val="Arial"/>
        <family val="0"/>
        <charset val="1"/>
      </rPr>
      <t xml:space="preserve">578,621</t>
    </r>
    <r>
      <rPr>
        <sz val="10"/>
        <color rgb="FF000000"/>
        <rFont val="Noto Sans CJK SC"/>
        <family val="2"/>
      </rPr>
      <t xml:space="preserve">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</t>
    </r>
  </si>
  <si>
    <t xml:space="preserve">J17</t>
  </si>
  <si>
    <t xml:space="preserve">市民大道3段近復興南路 8F 257坪</t>
  </si>
  <si>
    <r>
      <rPr>
        <sz val="10"/>
        <color rgb="FF000000"/>
        <rFont val="Noto Sans CJK SC"/>
        <family val="2"/>
      </rPr>
      <t xml:space="preserve">市民大道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段近復興南路</t>
    </r>
  </si>
  <si>
    <t xml:space="preserve">8F</t>
  </si>
  <si>
    <r>
      <rPr>
        <sz val="10"/>
        <color rgb="FF000000"/>
        <rFont val="Arial"/>
        <family val="0"/>
        <charset val="1"/>
      </rPr>
      <t xml:space="preserve">588,000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</si>
  <si>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591 22061936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張（接待櫃台、會客區、會議室，高檔裝潢），沒有拍廁所。</t>
    </r>
  </si>
  <si>
    <r>
      <rPr>
        <sz val="10"/>
        <color rgb="FF000000"/>
        <rFont val="Arial"/>
        <family val="0"/>
        <charset val="1"/>
      </rPr>
      <t xml:space="preserve">10/12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591 22061936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533,333</t>
    </r>
    <r>
      <rPr>
        <sz val="10"/>
        <color rgb="FF000000"/>
        <rFont val="Noto Sans CJK SC"/>
        <family val="2"/>
      </rPr>
      <t xml:space="preserve">（稅別未寫）／</t>
    </r>
    <r>
      <rPr>
        <sz val="10"/>
        <color rgb="FF000000"/>
        <rFont val="Arial"/>
        <family val="0"/>
        <charset val="1"/>
      </rPr>
      <t xml:space="preserve">257</t>
    </r>
    <r>
      <rPr>
        <sz val="10"/>
        <color rgb="FF000000"/>
        <rFont val="Noto Sans CJK SC"/>
        <family val="2"/>
      </rPr>
      <t xml:space="preserve">坪（權狀）</t>
    </r>
  </si>
  <si>
    <r>
      <rPr>
        <sz val="10"/>
        <color rgb="FF000000"/>
        <rFont val="Arial"/>
        <family val="0"/>
        <charset val="1"/>
      </rPr>
      <t xml:space="preserve">591 533,333 </t>
    </r>
    <r>
      <rPr>
        <sz val="10"/>
        <color rgb="FF000000"/>
        <rFont val="Noto Sans CJK SC"/>
        <family val="2"/>
      </rPr>
      <t xml:space="preserve">稅別未寫（若含稅則≤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萬，需確認）；同棟仲介口述使用約</t>
    </r>
    <r>
      <rPr>
        <sz val="10"/>
        <color rgb="FF000000"/>
        <rFont val="Arial"/>
        <family val="0"/>
        <charset val="1"/>
      </rPr>
      <t xml:space="preserve">171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</si>
  <si>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傑森愛華 張先生 </t>
    </r>
    <r>
      <rPr>
        <sz val="10"/>
        <color rgb="FF000000"/>
        <rFont val="Arial"/>
        <family val="0"/>
        <charset val="1"/>
      </rPr>
      <t xml:space="preserve">0931-330823</t>
    </r>
  </si>
  <si>
    <r>
      <rPr>
        <sz val="10"/>
        <color rgb="FF000000"/>
        <rFont val="Noto Sans CJK SC"/>
        <family val="2"/>
      </rPr>
      <t xml:space="preserve">不符：月租</t>
    </r>
    <r>
      <rPr>
        <sz val="10"/>
        <color rgb="FF000000"/>
        <rFont val="Arial"/>
        <family val="0"/>
        <charset val="1"/>
      </rPr>
      <t xml:space="preserve">588,000</t>
    </r>
    <r>
      <rPr>
        <sz val="10"/>
        <color rgb="FF000000"/>
        <rFont val="Noto Sans CJK SC"/>
        <family val="2"/>
      </rPr>
      <t xml:space="preserve">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</t>
    </r>
  </si>
  <si>
    <t xml:space="preserve">N28</t>
  </si>
  <si>
    <t xml:space="preserve">民生東路三段 8F（中山國中站）</t>
  </si>
  <si>
    <t xml:space="preserve">民生東路三段</t>
  </si>
  <si>
    <t xml:space="preserve">8F/16F</t>
  </si>
  <si>
    <r>
      <rPr>
        <sz val="10"/>
        <color rgb="FF000000"/>
        <rFont val="Arial"/>
        <family val="0"/>
        <charset val="1"/>
      </rPr>
      <t xml:space="preserve">585,408 </t>
    </r>
    <r>
      <rPr>
        <sz val="10"/>
        <color rgb="FF000000"/>
        <rFont val="Noto Sans CJK SC"/>
        <family val="2"/>
      </rPr>
      <t xml:space="preserve">未稅（</t>
    </r>
    <r>
      <rPr>
        <sz val="10"/>
        <color rgb="FF000000"/>
        <rFont val="Arial"/>
        <family val="0"/>
        <charset val="1"/>
      </rPr>
      <t xml:space="preserve">591 22129776 </t>
    </r>
    <r>
      <rPr>
        <sz val="10"/>
        <color rgb="FF000000"/>
        <rFont val="Noto Sans CJK SC"/>
        <family val="2"/>
      </rPr>
      <t xml:space="preserve">內文「租金為未稅金額」）→ 含稅 </t>
    </r>
    <r>
      <rPr>
        <sz val="10"/>
        <color rgb="FF000000"/>
        <rFont val="Arial"/>
        <family val="0"/>
        <charset val="1"/>
      </rPr>
      <t xml:space="preserve">614,678</t>
    </r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</si>
  <si>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591 22129776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張皆為辦公區（現成新式裝潢、目前有人使用：會議室、茶水吧、置物櫃），沒有拍廁所。</t>
    </r>
  </si>
  <si>
    <r>
      <rPr>
        <sz val="10"/>
        <color rgb="FF000000"/>
        <rFont val="Arial"/>
        <family val="0"/>
        <charset val="1"/>
      </rPr>
      <t xml:space="preserve">10/12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591 22129776 </t>
    </r>
    <r>
      <rPr>
        <sz val="10"/>
        <color rgb="FF000000"/>
        <rFont val="Noto Sans CJK SC"/>
        <family val="2"/>
      </rPr>
      <t xml:space="preserve">刊登中，</t>
    </r>
    <r>
      <rPr>
        <sz val="10"/>
        <color rgb="FF000000"/>
        <rFont val="Arial"/>
        <family val="0"/>
        <charset val="1"/>
      </rPr>
      <t xml:space="preserve">585,408</t>
    </r>
    <r>
      <rPr>
        <sz val="10"/>
        <color rgb="FF000000"/>
        <rFont val="Noto Sans CJK SC"/>
        <family val="2"/>
      </rPr>
      <t xml:space="preserve">（未稅）／</t>
    </r>
    <r>
      <rPr>
        <sz val="10"/>
        <color rgb="FF000000"/>
        <rFont val="Arial"/>
        <family val="0"/>
        <charset val="1"/>
      </rPr>
      <t xml:space="preserve">254.53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</si>
  <si>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含稅超過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萬；實坪未揭露；管理費未提供；綠紅藍捷運步行約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分（概略）</t>
    </r>
  </si>
  <si>
    <r>
      <rPr>
        <sz val="10"/>
        <color rgb="FF000000"/>
        <rFont val="Noto Sans CJK SC"/>
        <family val="2"/>
      </rPr>
      <t xml:space="preserve">同陽商仲 房先生 </t>
    </r>
    <r>
      <rPr>
        <sz val="10"/>
        <color rgb="FF000000"/>
        <rFont val="Arial"/>
        <family val="0"/>
        <charset val="1"/>
      </rPr>
      <t xml:space="preserve">0978-751-212</t>
    </r>
  </si>
  <si>
    <r>
      <rPr>
        <sz val="10"/>
        <color rgb="FF000000"/>
        <rFont val="Noto Sans CJK SC"/>
        <family val="2"/>
      </rPr>
      <t xml:space="preserve">不符：月租</t>
    </r>
    <r>
      <rPr>
        <sz val="10"/>
        <color rgb="FF000000"/>
        <rFont val="Arial"/>
        <family val="0"/>
        <charset val="1"/>
      </rPr>
      <t xml:space="preserve">614,678</t>
    </r>
    <r>
      <rPr>
        <sz val="10"/>
        <color rgb="FF000000"/>
        <rFont val="Noto Sans CJK SC"/>
        <family val="2"/>
      </rPr>
      <t xml:space="preserve">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萬；捷運南京復興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綠</t>
    </r>
    <r>
      <rPr>
        <sz val="10"/>
        <color rgb="FF000000"/>
        <rFont val="Arial"/>
        <family val="0"/>
        <charset val="1"/>
      </rPr>
      <t xml:space="preserve">) 18</t>
    </r>
    <r>
      <rPr>
        <sz val="10"/>
        <color rgb="FF000000"/>
        <rFont val="Noto Sans CJK SC"/>
        <family val="2"/>
      </rPr>
      <t xml:space="preserve">分太遠</t>
    </r>
  </si>
  <si>
    <t xml:space="preserve">排序</t>
  </si>
  <si>
    <t xml:space="preserve">實坪來源</t>
  </si>
  <si>
    <r>
      <rPr>
        <b val="true"/>
        <sz val="10"/>
        <color rgb="FFFFFFFF"/>
        <rFont val="Noto Sans CJK SC"/>
        <family val="2"/>
      </rPr>
      <t xml:space="preserve">月總成本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公式</t>
    </r>
    <r>
      <rPr>
        <b val="true"/>
        <sz val="10"/>
        <color rgb="FFFFFFFF"/>
        <rFont val="Arial"/>
        <family val="0"/>
        <charset val="1"/>
      </rPr>
      <t xml:space="preserve">)
</t>
    </r>
    <r>
      <rPr>
        <b val="true"/>
        <sz val="10"/>
        <color rgb="FFFFFFFF"/>
        <rFont val="Noto Sans CJK SC"/>
        <family val="2"/>
      </rPr>
      <t xml:space="preserve">管理費缺＝只含租金</t>
    </r>
  </si>
  <si>
    <r>
      <rPr>
        <b val="true"/>
        <sz val="10"/>
        <color rgb="FFFFFFFF"/>
        <rFont val="Noto Sans CJK SC"/>
        <family val="2"/>
      </rPr>
      <t xml:space="preserve">每實坪月成本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公式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</si>
  <si>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判定說明</t>
  </si>
  <si>
    <t xml:space="preserve">屋況／廁所（照片判讀）</t>
  </si>
  <si>
    <t xml:space="preserve">屋齡</t>
  </si>
  <si>
    <t xml:space="preserve">車位</t>
  </si>
  <si>
    <t xml:space="preserve">來源</t>
  </si>
  <si>
    <t xml:space="preserve">連結</t>
  </si>
  <si>
    <t xml:space="preserve">地圖定位依據</t>
  </si>
  <si>
    <t xml:space="preserve">S05</t>
  </si>
  <si>
    <t xml:space="preserve">建國北路二段 10F（大辦公室＋大倉儲）</t>
  </si>
  <si>
    <t xml:space="preserve">建國北路二段</t>
  </si>
  <si>
    <t xml:space="preserve">10F/12F</t>
  </si>
  <si>
    <r>
      <rPr>
        <sz val="10"/>
        <color rgb="FF000000"/>
        <rFont val="Noto Sans CJK SC"/>
        <family val="2"/>
      </rPr>
      <t xml:space="preserve">信義房屋物件頁：主建物</t>
    </r>
    <r>
      <rPr>
        <sz val="10"/>
        <color rgb="FF000000"/>
        <rFont val="Arial"/>
        <family val="0"/>
        <charset val="1"/>
      </rPr>
      <t xml:space="preserve">246.00</t>
    </r>
    <r>
      <rPr>
        <sz val="10"/>
        <color rgb="FF000000"/>
        <rFont val="Noto Sans CJK SC"/>
        <family val="2"/>
      </rPr>
      <t xml:space="preserve">＋附屬</t>
    </r>
    <r>
      <rPr>
        <sz val="10"/>
        <color rgb="FF000000"/>
        <rFont val="Arial"/>
        <family val="0"/>
        <charset val="1"/>
      </rPr>
      <t xml:space="preserve">16.50</t>
    </r>
    <r>
      <rPr>
        <sz val="10"/>
        <color rgb="FF000000"/>
        <rFont val="Noto Sans CJK SC"/>
        <family val="2"/>
      </rPr>
      <t xml:space="preserve">（共有</t>
    </r>
    <r>
      <rPr>
        <sz val="10"/>
        <color rgb="FF000000"/>
        <rFont val="Arial"/>
        <family val="0"/>
        <charset val="1"/>
      </rPr>
      <t xml:space="preserve">15.54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</si>
  <si>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388,500</t>
    </r>
    <r>
      <rPr>
        <sz val="10"/>
        <color rgb="FF000000"/>
        <rFont val="Noto Sans CJK SC"/>
        <family val="2"/>
      </rPr>
      <t xml:space="preserve">（信義房屋刊登）</t>
    </r>
  </si>
  <si>
    <r>
      <rPr>
        <sz val="10"/>
        <color rgb="FF000000"/>
        <rFont val="Noto Sans CJK SC"/>
        <family val="2"/>
      </rPr>
      <t xml:space="preserve">四項全符合：實坪</t>
    </r>
    <r>
      <rPr>
        <sz val="10"/>
        <color rgb="FF000000"/>
        <rFont val="Arial"/>
        <family val="0"/>
        <charset val="1"/>
      </rPr>
      <t xml:space="preserve">262.5 · </t>
    </r>
    <r>
      <rPr>
        <sz val="10"/>
        <color rgb="FF000000"/>
        <rFont val="Noto Sans CJK SC"/>
        <family val="2"/>
      </rPr>
      <t xml:space="preserve">月租</t>
    </r>
    <r>
      <rPr>
        <sz val="10"/>
        <color rgb="FF000000"/>
        <rFont val="Arial"/>
        <family val="0"/>
        <charset val="1"/>
      </rPr>
      <t xml:space="preserve">38.9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松江南京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綠</t>
    </r>
    <r>
      <rPr>
        <sz val="10"/>
        <color rgb="FF000000"/>
        <rFont val="Arial"/>
        <family val="0"/>
        <charset val="1"/>
      </rPr>
      <t xml:space="preserve">) 9</t>
    </r>
    <r>
      <rPr>
        <sz val="10"/>
        <color rgb="FF000000"/>
        <rFont val="Noto Sans CJK SC"/>
        <family val="2"/>
      </rPr>
      <t xml:space="preserve">分</t>
    </r>
  </si>
  <si>
    <t xml:space="preserve">租金稅別未寫；廁所老舊需整修</t>
  </si>
  <si>
    <r>
      <rPr>
        <sz val="10"/>
        <color rgb="FF000000"/>
        <rFont val="Noto Sans CJK SC"/>
        <family val="2"/>
      </rPr>
      <t xml:space="preserve">廁所老舊：廁所為舊式裝修（信義房屋物件照片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）：立柱式洗手台、舊式隔間、天花板老式排風扇與日光燈格柵；辦公區地毯有污漬、部分天花板板材已拆（照片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）；電梯廳已翻新（照片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）；茶水間小（照片 </t>
    </r>
    <r>
      <rPr>
        <sz val="10"/>
        <color rgb="FF000000"/>
        <rFont val="Arial"/>
        <family val="0"/>
        <charset val="1"/>
      </rPr>
      <t xml:space="preserve">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）。建議把廁所整修列入議價，或要求房東交屋前整修。</t>
    </r>
  </si>
  <si>
    <r>
      <rPr>
        <sz val="10"/>
        <color rgb="FF000000"/>
        <rFont val="Noto Sans CJK SC"/>
        <family val="2"/>
      </rPr>
      <t xml:space="preserve">屋齡</t>
    </r>
    <r>
      <rPr>
        <sz val="10"/>
        <color rgb="FF000000"/>
        <rFont val="Arial"/>
        <family val="0"/>
        <charset val="1"/>
      </rPr>
      <t xml:space="preserve">41.7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</si>
  <si>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無；平面車位可另租</t>
    </r>
    <r>
      <rPr>
        <sz val="10"/>
        <color rgb="FF000000"/>
        <rFont val="Arial"/>
        <family val="0"/>
        <charset val="1"/>
      </rPr>
      <t xml:space="preserve">5,000</t>
    </r>
  </si>
  <si>
    <r>
      <rPr>
        <sz val="10"/>
        <color rgb="FF000000"/>
        <rFont val="Noto Sans CJK SC"/>
        <family val="2"/>
      </rPr>
      <t xml:space="preserve">信義房屋 </t>
    </r>
    <r>
      <rPr>
        <sz val="10"/>
        <color rgb="FF000000"/>
        <rFont val="Arial"/>
        <family val="0"/>
        <charset val="1"/>
      </rPr>
      <t xml:space="preserve">C905199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2026/07/28</t>
    </r>
    <r>
      <rPr>
        <sz val="10"/>
        <color rgb="FF000000"/>
        <rFont val="Noto Sans CJK SC"/>
        <family val="2"/>
      </rPr>
      <t xml:space="preserve">更新）</t>
    </r>
  </si>
  <si>
    <r>
      <rPr>
        <sz val="10"/>
        <color rgb="FF000000"/>
        <rFont val="Noto Sans CJK SC"/>
        <family val="2"/>
      </rPr>
      <t xml:space="preserve">張聰仁 信義房屋投資二部 </t>
    </r>
    <r>
      <rPr>
        <sz val="10"/>
        <color rgb="FF000000"/>
        <rFont val="Arial"/>
        <family val="0"/>
        <charset val="1"/>
      </rPr>
      <t xml:space="preserve">0939-738-856</t>
    </r>
  </si>
  <si>
    <t xml:space="preserve">信義全球物件頁（16張照片）</t>
  </si>
  <si>
    <r>
      <rPr>
        <sz val="10"/>
        <color rgb="FF000000"/>
        <rFont val="Noto Sans CJK SC"/>
        <family val="2"/>
      </rPr>
      <t xml:space="preserve">物件頁座標：信義全球物件座標（</t>
    </r>
    <r>
      <rPr>
        <sz val="10"/>
        <color rgb="FF000000"/>
        <rFont val="Arial"/>
        <family val="0"/>
        <charset val="1"/>
      </rPr>
      <t xml:space="preserve">25.055616, 121.536479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</si>
  <si>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同一戶信義房屋 </t>
    </r>
    <r>
      <rPr>
        <sz val="10"/>
        <color rgb="FF000000"/>
        <rFont val="Arial"/>
        <family val="0"/>
        <charset val="1"/>
      </rPr>
      <t xml:space="preserve">C904200</t>
    </r>
    <r>
      <rPr>
        <sz val="10"/>
        <color rgb="FF000000"/>
        <rFont val="Noto Sans CJK SC"/>
        <family val="2"/>
      </rPr>
      <t xml:space="preserve">：主</t>
    </r>
    <r>
      <rPr>
        <sz val="10"/>
        <color rgb="FF000000"/>
        <rFont val="Arial"/>
        <family val="0"/>
        <charset val="1"/>
      </rPr>
      <t xml:space="preserve">254.24</t>
    </r>
    <r>
      <rPr>
        <sz val="10"/>
        <color rgb="FF000000"/>
        <rFont val="Noto Sans CJK SC"/>
        <family val="2"/>
      </rPr>
      <t xml:space="preserve">＋附</t>
    </r>
    <r>
      <rPr>
        <sz val="10"/>
        <color rgb="FF000000"/>
        <rFont val="Arial"/>
        <family val="0"/>
        <charset val="1"/>
      </rPr>
      <t xml:space="preserve">46.19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刊登「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坪」與此相符）</t>
    </r>
  </si>
  <si>
    <r>
      <rPr>
        <sz val="10"/>
        <color rgb="FF000000"/>
        <rFont val="Arial"/>
        <family val="0"/>
        <charset val="1"/>
      </rPr>
      <t xml:space="preserve">480,000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591 21537848</t>
    </r>
    <r>
      <rPr>
        <sz val="10"/>
        <color rgb="FF000000"/>
        <rFont val="Noto Sans CJK SC"/>
        <family val="2"/>
      </rPr>
      <t xml:space="preserve">，稅別未寫）；同戶信義房屋刊登</t>
    </r>
    <r>
      <rPr>
        <sz val="10"/>
        <color rgb="FF000000"/>
        <rFont val="Arial"/>
        <family val="0"/>
        <charset val="1"/>
      </rPr>
      <t xml:space="preserve">577,885</t>
    </r>
  </si>
  <si>
    <r>
      <rPr>
        <sz val="10"/>
        <color rgb="FF000000"/>
        <rFont val="Noto Sans CJK SC"/>
        <family val="2"/>
      </rPr>
      <t xml:space="preserve">屋齡約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</si>
  <si>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591</t>
    </r>
    <r>
      <rPr>
        <sz val="10"/>
        <color rgb="FF000000"/>
        <rFont val="Noto Sans CJK SC"/>
        <family val="2"/>
      </rPr>
      <t xml:space="preserve">：平面式</t>
    </r>
  </si>
  <si>
    <r>
      <rPr>
        <sz val="10"/>
        <color rgb="FF000000"/>
        <rFont val="Arial"/>
        <family val="0"/>
        <charset val="1"/>
      </rPr>
      <t xml:space="preserve">591 21537848</t>
    </r>
    <r>
      <rPr>
        <sz val="10"/>
        <color rgb="FF000000"/>
        <rFont val="Noto Sans CJK SC"/>
        <family val="2"/>
      </rPr>
      <t xml:space="preserve">（傑森愛華 張先生）；信義房屋 </t>
    </r>
    <r>
      <rPr>
        <sz val="10"/>
        <color rgb="FF000000"/>
        <rFont val="Arial"/>
        <family val="0"/>
        <charset val="1"/>
      </rPr>
      <t xml:space="preserve">C904200</t>
    </r>
  </si>
  <si>
    <t xml:space="preserve">信義全球 10F（面積分項）</t>
  </si>
  <si>
    <r>
      <rPr>
        <sz val="10"/>
        <color rgb="FF000000"/>
        <rFont val="Noto Sans CJK SC"/>
        <family val="2"/>
      </rPr>
      <t xml:space="preserve">物件頁座標：同信義大樓座標（</t>
    </r>
    <r>
      <rPr>
        <sz val="10"/>
        <color rgb="FF000000"/>
        <rFont val="Arial"/>
        <family val="0"/>
        <charset val="1"/>
      </rPr>
      <t xml:space="preserve">25.024307, 121.569847</t>
    </r>
    <r>
      <rPr>
        <sz val="10"/>
        <color rgb="FF000000"/>
        <rFont val="Noto Sans CJK SC"/>
        <family val="2"/>
      </rPr>
      <t xml:space="preserve">）</t>
    </r>
  </si>
  <si>
    <t xml:space="preserve">C</t>
  </si>
  <si>
    <t xml:space="preserve">旭寶大樓 5F</t>
  </si>
  <si>
    <r>
      <rPr>
        <sz val="10"/>
        <color rgb="FF000000"/>
        <rFont val="Noto Sans CJK SC"/>
        <family val="2"/>
      </rPr>
      <t xml:space="preserve">敦化南路一段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號</t>
    </r>
  </si>
  <si>
    <t xml:space="preserve">5F/12F(B2)</t>
  </si>
  <si>
    <r>
      <rPr>
        <sz val="10"/>
        <color rgb="FF000000"/>
        <rFont val="Noto Sans CJK SC"/>
        <family val="2"/>
      </rPr>
      <t xml:space="preserve">尚揚物調表：實用坪</t>
    </r>
    <r>
      <rPr>
        <sz val="10"/>
        <color rgb="FF000000"/>
        <rFont val="Arial"/>
        <family val="0"/>
        <charset val="1"/>
      </rPr>
      <t xml:space="preserve">255.38</t>
    </r>
  </si>
  <si>
    <r>
      <rPr>
        <sz val="10"/>
        <color rgb="FF000000"/>
        <rFont val="Arial"/>
        <family val="0"/>
        <charset val="1"/>
      </rPr>
      <t xml:space="preserve">472,500 </t>
    </r>
    <r>
      <rPr>
        <sz val="10"/>
        <color rgb="FF000000"/>
        <rFont val="Noto Sans CJK SC"/>
        <family val="2"/>
      </rPr>
      <t xml:space="preserve">含稅（尚揚物調表）；</t>
    </r>
    <r>
      <rPr>
        <sz val="10"/>
        <color rgb="FF000000"/>
        <rFont val="Arial"/>
        <family val="0"/>
        <charset val="1"/>
      </rPr>
      <t xml:space="preserve">591 21530071 </t>
    </r>
    <r>
      <rPr>
        <sz val="10"/>
        <color rgb="FF000000"/>
        <rFont val="Noto Sans CJK SC"/>
        <family val="2"/>
      </rPr>
      <t xml:space="preserve">刊登</t>
    </r>
    <r>
      <rPr>
        <sz val="10"/>
        <color rgb="FF000000"/>
        <rFont val="Arial"/>
        <family val="0"/>
        <charset val="1"/>
      </rPr>
      <t xml:space="preserve">450,000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未稅，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即</t>
    </r>
    <r>
      <rPr>
        <sz val="10"/>
        <color rgb="FF000000"/>
        <rFont val="Arial"/>
        <family val="0"/>
        <charset val="1"/>
      </rPr>
      <t xml:space="preserve">472,500</t>
    </r>
    <r>
      <rPr>
        <sz val="10"/>
        <color rgb="FF000000"/>
        <rFont val="Noto Sans CJK SC"/>
        <family val="2"/>
      </rPr>
      <t xml:space="preserve">）</t>
    </r>
  </si>
  <si>
    <t xml:space="preserve">忠孝敦化</t>
  </si>
  <si>
    <r>
      <rPr>
        <sz val="10"/>
        <color rgb="FF000000"/>
        <rFont val="Noto Sans CJK SC"/>
        <family val="2"/>
      </rPr>
      <t xml:space="preserve">坪數符合；實坪</t>
    </r>
    <r>
      <rPr>
        <sz val="10"/>
        <color rgb="FF000000"/>
        <rFont val="Arial"/>
        <family val="0"/>
        <charset val="1"/>
      </rPr>
      <t xml:space="preserve">255.38 · </t>
    </r>
    <r>
      <rPr>
        <sz val="10"/>
        <color rgb="FF000000"/>
        <rFont val="Noto Sans CJK SC"/>
        <family val="2"/>
      </rPr>
      <t xml:space="preserve">月租</t>
    </r>
    <r>
      <rPr>
        <sz val="10"/>
        <color rgb="FF000000"/>
        <rFont val="Arial"/>
        <family val="0"/>
        <charset val="1"/>
      </rPr>
      <t xml:space="preserve">47.2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藍</t>
    </r>
    <r>
      <rPr>
        <sz val="10"/>
        <color rgb="FF000000"/>
        <rFont val="Arial"/>
        <family val="0"/>
        <charset val="1"/>
      </rPr>
      <t xml:space="preserve">) 10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</si>
  <si>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只能租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年（之後都更）；廁所老舊需整修</t>
    </r>
  </si>
  <si>
    <r>
      <rPr>
        <sz val="10"/>
        <color rgb="FF000000"/>
        <rFont val="Noto Sans CJK SC"/>
        <family val="2"/>
      </rPr>
      <t xml:space="preserve">廁所老舊：廁所為舊式裝修（</t>
    </r>
    <r>
      <rPr>
        <sz val="10"/>
        <color rgb="FF000000"/>
        <rFont val="Arial"/>
        <family val="0"/>
        <charset val="1"/>
      </rPr>
      <t xml:space="preserve">591 21530071 </t>
    </r>
    <r>
      <rPr>
        <sz val="10"/>
        <color rgb="FF000000"/>
        <rFont val="Noto Sans CJK SC"/>
        <family val="2"/>
      </rPr>
      <t xml:space="preserve">照片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）：藍色磁磚地坪、藍色立柱式洗手台、舊式小便斗與隔間、舊天花板；茶水間為木紋新作（照片 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）。建議把廁所整修列入議價。</t>
    </r>
  </si>
  <si>
    <r>
      <rPr>
        <sz val="10"/>
        <color rgb="FF000000"/>
        <rFont val="Noto Sans CJK SC"/>
        <family val="2"/>
      </rPr>
      <t xml:space="preserve">屋齡約</t>
    </r>
    <r>
      <rPr>
        <sz val="10"/>
        <color rgb="FF000000"/>
        <rFont val="Arial"/>
        <family val="0"/>
        <charset val="1"/>
      </rPr>
      <t xml:space="preserve">43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1983/12</t>
    </r>
    <r>
      <rPr>
        <sz val="10"/>
        <color rgb="FF000000"/>
        <rFont val="Noto Sans CJK SC"/>
        <family val="2"/>
      </rPr>
      <t xml:space="preserve">竣工，好房網）</t>
    </r>
  </si>
  <si>
    <r>
      <rPr>
        <sz val="10"/>
        <color rgb="FF000000"/>
        <rFont val="Noto Sans CJK SC"/>
        <family val="2"/>
      </rPr>
      <t xml:space="preserve">機械車位</t>
    </r>
    <r>
      <rPr>
        <sz val="10"/>
        <color rgb="FF000000"/>
        <rFont val="Arial"/>
        <family val="0"/>
        <charset val="1"/>
      </rPr>
      <t xml:space="preserve">×6</t>
    </r>
    <r>
      <rPr>
        <sz val="10"/>
        <color rgb="FF000000"/>
        <rFont val="Noto Sans CJK SC"/>
        <family val="2"/>
      </rPr>
      <t xml:space="preserve">（租金內含）</t>
    </r>
  </si>
  <si>
    <r>
      <rPr>
        <sz val="10"/>
        <color rgb="FF000000"/>
        <rFont val="Noto Sans CJK SC"/>
        <family val="2"/>
      </rPr>
      <t xml:space="preserve">尚揚國際物調表；</t>
    </r>
    <r>
      <rPr>
        <sz val="10"/>
        <color rgb="FF000000"/>
        <rFont val="Arial"/>
        <family val="0"/>
        <charset val="1"/>
      </rPr>
      <t xml:space="preserve">591 21530071</t>
    </r>
    <r>
      <rPr>
        <sz val="10"/>
        <color rgb="FF000000"/>
        <rFont val="Noto Sans CJK SC"/>
        <family val="2"/>
      </rPr>
      <t xml:space="preserve">（房仲提供）；</t>
    </r>
    <r>
      <rPr>
        <sz val="10"/>
        <color rgb="FF000000"/>
        <rFont val="Arial"/>
        <family val="0"/>
        <charset val="1"/>
      </rPr>
      <t xml:space="preserve">591 21524253</t>
    </r>
    <r>
      <rPr>
        <sz val="10"/>
        <color rgb="FF000000"/>
        <rFont val="Noto Sans CJK SC"/>
        <family val="2"/>
      </rPr>
      <t xml:space="preserve">「敦南綠景」</t>
    </r>
    <r>
      <rPr>
        <sz val="10"/>
        <color rgb="FF000000"/>
        <rFont val="Arial"/>
        <family val="0"/>
        <charset val="1"/>
      </rPr>
      <t xml:space="preserve">5F 250.97</t>
    </r>
    <r>
      <rPr>
        <sz val="10"/>
        <color rgb="FF000000"/>
        <rFont val="Noto Sans CJK SC"/>
        <family val="2"/>
      </rPr>
      <t xml:space="preserve">坪 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萬含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車位（</t>
    </r>
    <r>
      <rPr>
        <sz val="10"/>
        <color rgb="FF000000"/>
        <rFont val="Arial"/>
        <family val="0"/>
        <charset val="1"/>
      </rPr>
      <t xml:space="preserve">21530071 </t>
    </r>
    <r>
      <rPr>
        <sz val="10"/>
        <color rgb="FF000000"/>
        <rFont val="Noto Sans CJK SC"/>
        <family val="2"/>
      </rPr>
      <t xml:space="preserve">標題同稱「敦南綠景」→ 同戶）</t>
    </r>
  </si>
  <si>
    <r>
      <rPr>
        <sz val="10"/>
        <color rgb="FF000000"/>
        <rFont val="Noto Sans CJK SC"/>
        <family val="2"/>
      </rPr>
      <t xml:space="preserve">尚揚 王智平 </t>
    </r>
    <r>
      <rPr>
        <sz val="10"/>
        <color rgb="FF000000"/>
        <rFont val="Arial"/>
        <family val="0"/>
        <charset val="1"/>
      </rPr>
      <t xml:space="preserve">0917-154-083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呂育瑄 </t>
    </r>
    <r>
      <rPr>
        <sz val="10"/>
        <color rgb="FF000000"/>
        <rFont val="Arial"/>
        <family val="0"/>
        <charset val="1"/>
      </rPr>
      <t xml:space="preserve">0919-219-331</t>
    </r>
  </si>
  <si>
    <t xml:space="preserve">大樓照片（好房網19張）</t>
  </si>
  <si>
    <r>
      <rPr>
        <sz val="10"/>
        <color rgb="FF000000"/>
        <rFont val="Noto Sans CJK SC"/>
        <family val="2"/>
      </rPr>
      <t xml:space="preserve">門牌定位：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地圖：敦化南路一段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號（</t>
    </r>
    <r>
      <rPr>
        <sz val="10"/>
        <color rgb="FF000000"/>
        <rFont val="Arial"/>
        <family val="0"/>
        <charset val="1"/>
      </rPr>
      <t xml:space="preserve">25.0464096, 121.5494252</t>
    </r>
    <r>
      <rPr>
        <sz val="10"/>
        <color rgb="FF000000"/>
        <rFont val="Noto Sans CJK SC"/>
        <family val="2"/>
      </rPr>
      <t xml:space="preserve">）</t>
    </r>
  </si>
  <si>
    <t xml:space="preserve">N02</t>
  </si>
  <si>
    <t xml:space="preserve">廣成大廈 4F</t>
  </si>
  <si>
    <t xml:space="preserve">中正</t>
  </si>
  <si>
    <r>
      <rPr>
        <sz val="10"/>
        <color rgb="FF000000"/>
        <rFont val="Noto Sans CJK SC"/>
        <family val="2"/>
      </rPr>
      <t xml:space="preserve">延平南路</t>
    </r>
    <r>
      <rPr>
        <sz val="10"/>
        <color rgb="FF000000"/>
        <rFont val="Arial"/>
        <family val="0"/>
        <charset val="1"/>
      </rPr>
      <t xml:space="preserve">189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樓～之</t>
    </r>
    <r>
      <rPr>
        <sz val="10"/>
        <color rgb="FF000000"/>
        <rFont val="Arial"/>
        <family val="0"/>
        <charset val="1"/>
      </rPr>
      <t xml:space="preserve">5</t>
    </r>
  </si>
  <si>
    <t xml:space="preserve">4F/7F(B2)</t>
  </si>
  <si>
    <r>
      <rPr>
        <sz val="10"/>
        <color rgb="FF000000"/>
        <rFont val="Noto Sans CJK SC"/>
        <family val="2"/>
      </rPr>
      <t xml:space="preserve">尚揚物調表：主建物＋附屬建物</t>
    </r>
    <r>
      <rPr>
        <sz val="10"/>
        <color rgb="FF000000"/>
        <rFont val="Arial"/>
        <family val="0"/>
        <charset val="1"/>
      </rPr>
      <t xml:space="preserve">253.54</t>
    </r>
  </si>
  <si>
    <r>
      <rPr>
        <sz val="10"/>
        <color rgb="FF000000"/>
        <rFont val="Arial"/>
        <family val="0"/>
        <charset val="1"/>
      </rPr>
      <t xml:space="preserve">491,000</t>
    </r>
    <r>
      <rPr>
        <sz val="10"/>
        <color rgb="FF000000"/>
        <rFont val="Noto Sans CJK SC"/>
        <family val="2"/>
      </rPr>
      <t xml:space="preserve">（尚揚物調表標示「含稅」；傑森愛華清單同價但標「未稅」；</t>
    </r>
    <r>
      <rPr>
        <sz val="10"/>
        <color rgb="FF000000"/>
        <rFont val="Arial"/>
        <family val="0"/>
        <charset val="1"/>
      </rPr>
      <t xml:space="preserve">591 21779044 </t>
    </r>
    <r>
      <rPr>
        <sz val="10"/>
        <color rgb="FF000000"/>
        <rFont val="Noto Sans CJK SC"/>
        <family val="2"/>
      </rPr>
      <t xml:space="preserve">標</t>
    </r>
    <r>
      <rPr>
        <sz val="10"/>
        <color rgb="FF000000"/>
        <rFont val="Arial"/>
        <family val="0"/>
        <charset val="1"/>
      </rPr>
      <t xml:space="preserve">491,000</t>
    </r>
    <r>
      <rPr>
        <sz val="10"/>
        <color rgb="FF000000"/>
        <rFont val="Noto Sans CJK SC"/>
        <family val="2"/>
      </rPr>
      <t xml:space="preserve">含管理費；</t>
    </r>
    <r>
      <rPr>
        <sz val="10"/>
        <color rgb="FF000000"/>
        <rFont val="Arial"/>
        <family val="0"/>
        <charset val="1"/>
      </rPr>
      <t xml:space="preserve">591 20971276 </t>
    </r>
    <r>
      <rPr>
        <sz val="10"/>
        <color rgb="FF000000"/>
        <rFont val="Noto Sans CJK SC"/>
        <family val="2"/>
      </rPr>
      <t xml:space="preserve">標</t>
    </r>
    <r>
      <rPr>
        <sz val="10"/>
        <color rgb="FF000000"/>
        <rFont val="Arial"/>
        <family val="0"/>
        <charset val="1"/>
      </rPr>
      <t xml:space="preserve">491,000</t>
    </r>
    <r>
      <rPr>
        <sz val="10"/>
        <color rgb="FF000000"/>
        <rFont val="Noto Sans CJK SC"/>
        <family val="2"/>
      </rPr>
      <t xml:space="preserve">、管理費另計</t>
    </r>
    <r>
      <rPr>
        <sz val="10"/>
        <color rgb="FF000000"/>
        <rFont val="Arial"/>
        <family val="0"/>
        <charset val="1"/>
      </rPr>
      <t xml:space="preserve">31,053</t>
    </r>
    <r>
      <rPr>
        <sz val="10"/>
        <color rgb="FF000000"/>
        <rFont val="Noto Sans CJK SC"/>
        <family val="2"/>
      </rPr>
      <t xml:space="preserve">）</t>
    </r>
  </si>
  <si>
    <t xml:space="preserve">小南門</t>
  </si>
  <si>
    <r>
      <rPr>
        <sz val="10"/>
        <color rgb="FF000000"/>
        <rFont val="Noto Sans CJK SC"/>
        <family val="2"/>
      </rPr>
      <t xml:space="preserve">坪數符合；實坪</t>
    </r>
    <r>
      <rPr>
        <sz val="10"/>
        <color rgb="FF000000"/>
        <rFont val="Arial"/>
        <family val="0"/>
        <charset val="1"/>
      </rPr>
      <t xml:space="preserve">253.54 · </t>
    </r>
    <r>
      <rPr>
        <sz val="10"/>
        <color rgb="FF000000"/>
        <rFont val="Noto Sans CJK SC"/>
        <family val="2"/>
      </rPr>
      <t xml:space="preserve">月租</t>
    </r>
    <r>
      <rPr>
        <sz val="10"/>
        <color rgb="FF000000"/>
        <rFont val="Arial"/>
        <family val="0"/>
        <charset val="1"/>
      </rPr>
      <t xml:space="preserve">49.1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小南門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綠</t>
    </r>
    <r>
      <rPr>
        <sz val="10"/>
        <color rgb="FF000000"/>
        <rFont val="Arial"/>
        <family val="0"/>
        <charset val="1"/>
      </rPr>
      <t xml:space="preserve">) 7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</si>
  <si>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租金是否含稅、是否含管理費：物調表／傑森愛華／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三方說法不同，需書面確認；廁所需現勘</t>
    </r>
  </si>
  <si>
    <r>
      <rPr>
        <sz val="10"/>
        <color rgb="FF000000"/>
        <rFont val="Noto Sans CJK SC"/>
        <family val="2"/>
      </rPr>
      <t xml:space="preserve">廁所無照片：尚揚照片、</t>
    </r>
    <r>
      <rPr>
        <sz val="10"/>
        <color rgb="FF000000"/>
        <rFont val="Arial"/>
        <family val="0"/>
        <charset val="1"/>
      </rPr>
      <t xml:space="preserve">591 21779044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張：大廳、空室）、傑森愛華清單照片都沒有拍廁所；辦公區為開放空間、水泥地坪需整理。需現勘。</t>
    </r>
  </si>
  <si>
    <r>
      <rPr>
        <sz val="10"/>
        <color rgb="FF000000"/>
        <rFont val="Noto Sans CJK SC"/>
        <family val="2"/>
      </rPr>
      <t xml:space="preserve">民國</t>
    </r>
    <r>
      <rPr>
        <sz val="10"/>
        <color rgb="FF000000"/>
        <rFont val="Arial"/>
        <family val="0"/>
        <charset val="1"/>
      </rPr>
      <t xml:space="preserve">70/1/5</t>
    </r>
    <r>
      <rPr>
        <sz val="10"/>
        <color rgb="FF000000"/>
        <rFont val="Noto Sans CJK SC"/>
        <family val="2"/>
      </rPr>
      <t xml:space="preserve">竣工（屋齡約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</si>
  <si>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固定車位</t>
    </r>
    <r>
      <rPr>
        <sz val="10"/>
        <color rgb="FF000000"/>
        <rFont val="Arial"/>
        <family val="0"/>
        <charset val="1"/>
      </rPr>
      <t xml:space="preserve">7,000(</t>
    </r>
    <r>
      <rPr>
        <sz val="10"/>
        <color rgb="FF000000"/>
        <rFont val="Noto Sans CJK SC"/>
        <family val="2"/>
      </rPr>
      <t xml:space="preserve">含稅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／非固定</t>
    </r>
    <r>
      <rPr>
        <sz val="10"/>
        <color rgb="FF000000"/>
        <rFont val="Arial"/>
        <family val="0"/>
        <charset val="1"/>
      </rPr>
      <t xml:space="preserve">5,000(</t>
    </r>
    <r>
      <rPr>
        <sz val="10"/>
        <color rgb="FF000000"/>
        <rFont val="Noto Sans CJK SC"/>
        <family val="2"/>
      </rPr>
      <t xml:space="preserve">含稅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</si>
  <si>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尚揚物調表（陳威翰）；</t>
    </r>
    <r>
      <rPr>
        <sz val="10"/>
        <color rgb="FF000000"/>
        <rFont val="Arial"/>
        <family val="0"/>
        <charset val="1"/>
      </rPr>
      <t xml:space="preserve">591 21779044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20971276</t>
    </r>
    <r>
      <rPr>
        <sz val="10"/>
        <color rgb="FF000000"/>
        <rFont val="Noto Sans CJK SC"/>
        <family val="2"/>
      </rPr>
      <t xml:space="preserve">（葛林威 林小姐，</t>
    </r>
    <r>
      <rPr>
        <sz val="10"/>
        <color rgb="FF000000"/>
        <rFont val="Arial"/>
        <family val="0"/>
        <charset val="1"/>
      </rPr>
      <t xml:space="preserve">326.87</t>
    </r>
    <r>
      <rPr>
        <sz val="10"/>
        <color rgb="FF000000"/>
        <rFont val="Noto Sans CJK SC"/>
        <family val="2"/>
      </rPr>
      <t xml:space="preserve">坪 </t>
    </r>
    <r>
      <rPr>
        <sz val="10"/>
        <color rgb="FF000000"/>
        <rFont val="Arial"/>
        <family val="0"/>
        <charset val="1"/>
      </rPr>
      <t xml:space="preserve">4F/7F 491,000</t>
    </r>
    <r>
      <rPr>
        <sz val="10"/>
        <color rgb="FF000000"/>
        <rFont val="Noto Sans CJK SC"/>
        <family val="2"/>
      </rPr>
      <t xml:space="preserve">＋管理費</t>
    </r>
    <r>
      <rPr>
        <sz val="10"/>
        <color rgb="FF000000"/>
        <rFont val="Arial"/>
        <family val="0"/>
        <charset val="1"/>
      </rPr>
      <t xml:space="preserve">31,053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22009979</t>
    </r>
    <r>
      <rPr>
        <sz val="10"/>
        <color rgb="FF000000"/>
        <rFont val="Noto Sans CJK SC"/>
        <family val="2"/>
      </rPr>
      <t xml:space="preserve">；傑森愛華 </t>
    </r>
    <r>
      <rPr>
        <sz val="10"/>
        <color rgb="FF000000"/>
        <rFont val="Arial"/>
        <family val="0"/>
        <charset val="1"/>
      </rPr>
      <t xml:space="preserve">2026/9/23</t>
    </r>
    <r>
      <rPr>
        <sz val="10"/>
        <color rgb="FF000000"/>
        <rFont val="Noto Sans CJK SC"/>
        <family val="2"/>
      </rPr>
      <t xml:space="preserve">清單第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頁</t>
    </r>
  </si>
  <si>
    <r>
      <rPr>
        <sz val="10"/>
        <color rgb="FF000000"/>
        <rFont val="Noto Sans CJK SC"/>
        <family val="2"/>
      </rPr>
      <t xml:space="preserve">尚揚 陳威翰 </t>
    </r>
    <r>
      <rPr>
        <sz val="10"/>
        <color rgb="FF000000"/>
        <rFont val="Arial"/>
        <family val="0"/>
        <charset val="1"/>
      </rPr>
      <t xml:space="preserve">0906-118-677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楊小姐 </t>
    </r>
    <r>
      <rPr>
        <sz val="10"/>
        <color rgb="FF000000"/>
        <rFont val="Arial"/>
        <family val="0"/>
        <charset val="1"/>
      </rPr>
      <t xml:space="preserve">02-27415343#36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葛林威 林小姐 </t>
    </r>
    <r>
      <rPr>
        <sz val="10"/>
        <color rgb="FF000000"/>
        <rFont val="Arial"/>
        <family val="0"/>
        <charset val="1"/>
      </rPr>
      <t xml:space="preserve">0984-002-297</t>
    </r>
  </si>
  <si>
    <t xml:space="preserve">591 物件頁</t>
  </si>
  <si>
    <r>
      <rPr>
        <sz val="10"/>
        <color rgb="FF000000"/>
        <rFont val="Noto Sans CJK SC"/>
        <family val="2"/>
      </rPr>
      <t xml:space="preserve">門牌定位：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地圖：延平南路</t>
    </r>
    <r>
      <rPr>
        <sz val="10"/>
        <color rgb="FF000000"/>
        <rFont val="Arial"/>
        <family val="0"/>
        <charset val="1"/>
      </rPr>
      <t xml:space="preserve">189</t>
    </r>
    <r>
      <rPr>
        <sz val="10"/>
        <color rgb="FF000000"/>
        <rFont val="Noto Sans CJK SC"/>
        <family val="2"/>
      </rPr>
      <t xml:space="preserve">號（</t>
    </r>
    <r>
      <rPr>
        <sz val="10"/>
        <color rgb="FF000000"/>
        <rFont val="Arial"/>
        <family val="0"/>
        <charset val="1"/>
      </rPr>
      <t xml:space="preserve">25.0337995, 121.5075571</t>
    </r>
    <r>
      <rPr>
        <sz val="10"/>
        <color rgb="FF000000"/>
        <rFont val="Noto Sans CJK SC"/>
        <family val="2"/>
      </rPr>
      <t xml:space="preserve">）</t>
    </r>
  </si>
  <si>
    <t xml:space="preserve">S12</t>
  </si>
  <si>
    <t xml:space="preserve">全球人壽信義大樓 21F</t>
  </si>
  <si>
    <r>
      <rPr>
        <sz val="10"/>
        <color rgb="FF000000"/>
        <rFont val="Noto Sans CJK SC"/>
        <family val="2"/>
      </rPr>
      <t xml:space="preserve">松仁路</t>
    </r>
    <r>
      <rPr>
        <sz val="10"/>
        <color rgb="FF000000"/>
        <rFont val="Arial"/>
        <family val="0"/>
        <charset val="1"/>
      </rPr>
      <t xml:space="preserve">277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樓</t>
    </r>
  </si>
  <si>
    <t xml:space="preserve">21F/23F(B4)</t>
  </si>
  <si>
    <r>
      <rPr>
        <sz val="10"/>
        <color rgb="FF000000"/>
        <rFont val="Noto Sans CJK SC"/>
        <family val="2"/>
      </rPr>
      <t xml:space="preserve">尚揚物調表：主建物＋附屬</t>
    </r>
    <r>
      <rPr>
        <sz val="10"/>
        <color rgb="FF000000"/>
        <rFont val="Arial"/>
        <family val="0"/>
        <charset val="1"/>
      </rPr>
      <t xml:space="preserve">241.8</t>
    </r>
    <r>
      <rPr>
        <sz val="10"/>
        <color rgb="FF000000"/>
        <rFont val="Noto Sans CJK SC"/>
        <family val="2"/>
      </rPr>
      <t xml:space="preserve">；信義房屋 </t>
    </r>
    <r>
      <rPr>
        <sz val="10"/>
        <color rgb="FF000000"/>
        <rFont val="Arial"/>
        <family val="0"/>
        <charset val="1"/>
      </rPr>
      <t xml:space="preserve">C904707</t>
    </r>
    <r>
      <rPr>
        <sz val="10"/>
        <color rgb="FF000000"/>
        <rFont val="Noto Sans CJK SC"/>
        <family val="2"/>
      </rPr>
      <t xml:space="preserve">：主</t>
    </r>
    <r>
      <rPr>
        <sz val="10"/>
        <color rgb="FF000000"/>
        <rFont val="Arial"/>
        <family val="0"/>
        <charset val="1"/>
      </rPr>
      <t xml:space="preserve">204.94</t>
    </r>
    <r>
      <rPr>
        <sz val="10"/>
        <color rgb="FF000000"/>
        <rFont val="Noto Sans CJK SC"/>
        <family val="2"/>
      </rPr>
      <t xml:space="preserve">＋附</t>
    </r>
    <r>
      <rPr>
        <sz val="10"/>
        <color rgb="FF000000"/>
        <rFont val="Arial"/>
        <family val="0"/>
        <charset val="1"/>
      </rPr>
      <t xml:space="preserve">36.86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241.80</t>
    </r>
  </si>
  <si>
    <r>
      <rPr>
        <sz val="10"/>
        <color rgb="FF000000"/>
        <rFont val="Arial"/>
        <family val="0"/>
        <charset val="1"/>
      </rPr>
      <t xml:space="preserve">502,400 </t>
    </r>
    <r>
      <rPr>
        <sz val="10"/>
        <color rgb="FF000000"/>
        <rFont val="Noto Sans CJK SC"/>
        <family val="2"/>
      </rPr>
      <t xml:space="preserve">含稅（尚揚物調表）；信義房屋刊登</t>
    </r>
    <r>
      <rPr>
        <sz val="10"/>
        <color rgb="FF000000"/>
        <rFont val="Arial"/>
        <family val="0"/>
        <charset val="1"/>
      </rPr>
      <t xml:space="preserve">544,931</t>
    </r>
  </si>
  <si>
    <r>
      <rPr>
        <sz val="10"/>
        <color rgb="FF000000"/>
        <rFont val="Noto Sans CJK SC"/>
        <family val="2"/>
      </rPr>
      <t xml:space="preserve">坪數符合；實坪</t>
    </r>
    <r>
      <rPr>
        <sz val="10"/>
        <color rgb="FF000000"/>
        <rFont val="Arial"/>
        <family val="0"/>
        <charset val="1"/>
      </rPr>
      <t xml:space="preserve">241.8 · </t>
    </r>
    <r>
      <rPr>
        <sz val="10"/>
        <color rgb="FF000000"/>
        <rFont val="Noto Sans CJK SC"/>
        <family val="2"/>
      </rPr>
      <t xml:space="preserve">月租</t>
    </r>
    <r>
      <rPr>
        <sz val="10"/>
        <color rgb="FF000000"/>
        <rFont val="Arial"/>
        <family val="0"/>
        <charset val="1"/>
      </rPr>
      <t xml:space="preserve">50.2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捷運象山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紅</t>
    </r>
    <r>
      <rPr>
        <sz val="10"/>
        <color rgb="FF000000"/>
        <rFont val="Arial"/>
        <family val="0"/>
        <charset val="1"/>
      </rPr>
      <t xml:space="preserve">) 16</t>
    </r>
    <r>
      <rPr>
        <sz val="10"/>
        <color rgb="FF000000"/>
        <rFont val="Noto Sans CJK SC"/>
        <family val="2"/>
      </rPr>
      <t xml:space="preserve">分（</t>
    </r>
    <r>
      <rPr>
        <sz val="10"/>
        <color rgb="FF000000"/>
        <rFont val="Arial"/>
        <family val="0"/>
        <charset val="1"/>
      </rPr>
      <t xml:space="preserve">&gt;10</t>
    </r>
    <r>
      <rPr>
        <sz val="10"/>
        <color rgb="FF000000"/>
        <rFont val="Noto Sans CJK SC"/>
        <family val="2"/>
      </rPr>
      <t xml:space="preserve">分）</t>
    </r>
  </si>
  <si>
    <t xml:space="preserve">廁所新：廁所、茶水間為新裝修（尚揚照片：石材牆面、木紋隔間、檯面式洗手台）；地毯、天花完整。</t>
  </si>
  <si>
    <r>
      <rPr>
        <sz val="10"/>
        <color rgb="FF000000"/>
        <rFont val="Noto Sans CJK SC"/>
        <family val="2"/>
      </rPr>
      <t xml:space="preserve">民國</t>
    </r>
    <r>
      <rPr>
        <sz val="10"/>
        <color rgb="FF000000"/>
        <rFont val="Arial"/>
        <family val="0"/>
        <charset val="1"/>
      </rPr>
      <t xml:space="preserve">86/5/25</t>
    </r>
    <r>
      <rPr>
        <sz val="10"/>
        <color rgb="FF000000"/>
        <rFont val="Noto Sans CJK SC"/>
        <family val="2"/>
      </rPr>
      <t xml:space="preserve">竣工（屋齡約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年）</t>
    </r>
  </si>
  <si>
    <t xml:space="preserve">物調表未載；信義頁：無</t>
  </si>
  <si>
    <r>
      <rPr>
        <sz val="10"/>
        <color rgb="FF000000"/>
        <rFont val="Noto Sans CJK SC"/>
        <family val="2"/>
      </rPr>
      <t xml:space="preserve">尚揚物調表（劉于上）；信義房屋 </t>
    </r>
    <r>
      <rPr>
        <sz val="10"/>
        <color rgb="FF000000"/>
        <rFont val="Arial"/>
        <family val="0"/>
        <charset val="1"/>
      </rPr>
      <t xml:space="preserve">C904707</t>
    </r>
  </si>
  <si>
    <r>
      <rPr>
        <sz val="10"/>
        <color rgb="FF000000"/>
        <rFont val="Noto Sans CJK SC"/>
        <family val="2"/>
      </rPr>
      <t xml:space="preserve">尚揚 劉于上 </t>
    </r>
    <r>
      <rPr>
        <sz val="10"/>
        <color rgb="FF000000"/>
        <rFont val="Arial"/>
        <family val="0"/>
        <charset val="1"/>
      </rPr>
      <t xml:space="preserve">0938-259-324</t>
    </r>
    <r>
      <rPr>
        <sz val="10"/>
        <color rgb="FF000000"/>
        <rFont val="Noto Sans CJK SC"/>
        <family val="2"/>
      </rPr>
      <t xml:space="preserve">；信義 許雅傑 </t>
    </r>
    <r>
      <rPr>
        <sz val="10"/>
        <color rgb="FF000000"/>
        <rFont val="Arial"/>
        <family val="0"/>
        <charset val="1"/>
      </rPr>
      <t xml:space="preserve">0966-513-725</t>
    </r>
  </si>
  <si>
    <t xml:space="preserve">信義全球物件頁</t>
  </si>
  <si>
    <r>
      <rPr>
        <sz val="10"/>
        <color rgb="FF000000"/>
        <rFont val="Noto Sans CJK SC"/>
        <family val="2"/>
      </rPr>
      <t xml:space="preserve">物件頁座標：信義全球物件座標（</t>
    </r>
    <r>
      <rPr>
        <sz val="10"/>
        <color rgb="FF000000"/>
        <rFont val="Arial"/>
        <family val="0"/>
        <charset val="1"/>
      </rPr>
      <t xml:space="preserve">25.024307, 121.569847</t>
    </r>
    <r>
      <rPr>
        <sz val="10"/>
        <color rgb="FF000000"/>
        <rFont val="Noto Sans CJK SC"/>
        <family val="2"/>
      </rPr>
      <t xml:space="preserve">）</t>
    </r>
  </si>
  <si>
    <t xml:space="preserve">N01</t>
  </si>
  <si>
    <t xml:space="preserve">南海開發大樓 5F</t>
  </si>
  <si>
    <r>
      <rPr>
        <sz val="10"/>
        <color rgb="FF000000"/>
        <rFont val="Noto Sans CJK SC"/>
        <family val="2"/>
      </rPr>
      <t xml:space="preserve">南海路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樓</t>
    </r>
  </si>
  <si>
    <t xml:space="preserve">5F/10F(B1)</t>
  </si>
  <si>
    <r>
      <rPr>
        <sz val="10"/>
        <color rgb="FF000000"/>
        <rFont val="Noto Sans CJK SC"/>
        <family val="2"/>
      </rPr>
      <t xml:space="preserve">尚揚物調表：主建物＋附屬建物</t>
    </r>
    <r>
      <rPr>
        <sz val="10"/>
        <color rgb="FF000000"/>
        <rFont val="Arial"/>
        <family val="0"/>
        <charset val="1"/>
      </rPr>
      <t xml:space="preserve">228.34</t>
    </r>
  </si>
  <si>
    <r>
      <rPr>
        <sz val="10"/>
        <color rgb="FF000000"/>
        <rFont val="Arial"/>
        <family val="0"/>
        <charset val="1"/>
      </rPr>
      <t xml:space="preserve">465,849 </t>
    </r>
    <r>
      <rPr>
        <sz val="10"/>
        <color rgb="FF000000"/>
        <rFont val="Noto Sans CJK SC"/>
        <family val="2"/>
      </rPr>
      <t xml:space="preserve">含稅（尚揚物調表）；</t>
    </r>
    <r>
      <rPr>
        <sz val="10"/>
        <color rgb="FF000000"/>
        <rFont val="Arial"/>
        <family val="0"/>
        <charset val="1"/>
      </rPr>
      <t xml:space="preserve">591 22010357 </t>
    </r>
    <r>
      <rPr>
        <sz val="10"/>
        <color rgb="FF000000"/>
        <rFont val="Noto Sans CJK SC"/>
        <family val="2"/>
      </rPr>
      <t xml:space="preserve">刊登</t>
    </r>
    <r>
      <rPr>
        <sz val="10"/>
        <color rgb="FF000000"/>
        <rFont val="Arial"/>
        <family val="0"/>
        <charset val="1"/>
      </rPr>
      <t xml:space="preserve">443,666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×1.05=465,849</t>
    </r>
    <r>
      <rPr>
        <sz val="10"/>
        <color rgb="FF000000"/>
        <rFont val="Noto Sans CJK SC"/>
        <family val="2"/>
      </rPr>
      <t xml:space="preserve">，即未稅價）；傑森愛華清單 </t>
    </r>
    <r>
      <rPr>
        <sz val="10"/>
        <color rgb="FF000000"/>
        <rFont val="Arial"/>
        <family val="0"/>
        <charset val="1"/>
      </rPr>
      <t xml:space="preserve">443,000 </t>
    </r>
    <r>
      <rPr>
        <sz val="10"/>
        <color rgb="FF000000"/>
        <rFont val="Noto Sans CJK SC"/>
        <family val="2"/>
      </rPr>
      <t xml:space="preserve">未稅</t>
    </r>
  </si>
  <si>
    <t xml:space="preserve">中正紀念堂</t>
  </si>
  <si>
    <t xml:space="preserve">紅綠</t>
  </si>
  <si>
    <r>
      <rPr>
        <sz val="10"/>
        <color rgb="FF000000"/>
        <rFont val="Noto Sans CJK SC"/>
        <family val="2"/>
      </rPr>
      <t xml:space="preserve">坪數符合；實坪</t>
    </r>
    <r>
      <rPr>
        <sz val="10"/>
        <color rgb="FF000000"/>
        <rFont val="Arial"/>
        <family val="0"/>
        <charset val="1"/>
      </rPr>
      <t xml:space="preserve">228.34 · </t>
    </r>
    <r>
      <rPr>
        <sz val="10"/>
        <color rgb="FF000000"/>
        <rFont val="Noto Sans CJK SC"/>
        <family val="2"/>
      </rPr>
      <t xml:space="preserve">月租</t>
    </r>
    <r>
      <rPr>
        <sz val="10"/>
        <color rgb="FF000000"/>
        <rFont val="Arial"/>
        <family val="0"/>
        <charset val="1"/>
      </rPr>
      <t xml:space="preserve">46.6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中正紀念堂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紅綠</t>
    </r>
    <r>
      <rPr>
        <sz val="10"/>
        <color rgb="FF000000"/>
        <rFont val="Arial"/>
        <family val="0"/>
        <charset val="1"/>
      </rPr>
      <t xml:space="preserve">) 3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</si>
  <si>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管理費只有區間（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萬～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萬），無確切金額；廁所需現勘</t>
    </r>
  </si>
  <si>
    <r>
      <rPr>
        <sz val="10"/>
        <color rgb="FF000000"/>
        <rFont val="Noto Sans CJK SC"/>
        <family val="2"/>
      </rPr>
      <t xml:space="preserve">廁所無照片：尚揚照片與 </t>
    </r>
    <r>
      <rPr>
        <sz val="10"/>
        <color rgb="FF000000"/>
        <rFont val="Arial"/>
        <family val="0"/>
        <charset val="1"/>
      </rPr>
      <t xml:space="preserve">591 22010357</t>
    </r>
    <r>
      <rPr>
        <sz val="10"/>
        <color rgb="FF000000"/>
        <rFont val="Noto Sans CJK SC"/>
        <family val="2"/>
      </rPr>
      <t xml:space="preserve">（僅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張外觀）都沒有拍廁所；辦公區為亮面地坪、天花完整。需現勘。</t>
    </r>
  </si>
  <si>
    <r>
      <rPr>
        <sz val="10"/>
        <color rgb="FF000000"/>
        <rFont val="Noto Sans CJK SC"/>
        <family val="2"/>
      </rPr>
      <t xml:space="preserve">民國</t>
    </r>
    <r>
      <rPr>
        <sz val="10"/>
        <color rgb="FF000000"/>
        <rFont val="Arial"/>
        <family val="0"/>
        <charset val="1"/>
      </rPr>
      <t xml:space="preserve">77/9/22</t>
    </r>
    <r>
      <rPr>
        <sz val="10"/>
        <color rgb="FF000000"/>
        <rFont val="Noto Sans CJK SC"/>
        <family val="2"/>
      </rPr>
      <t xml:space="preserve">竣工（屋齡約</t>
    </r>
    <r>
      <rPr>
        <sz val="10"/>
        <color rgb="FF000000"/>
        <rFont val="Arial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</si>
  <si>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附坡平車位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591</t>
    </r>
    <r>
      <rPr>
        <sz val="10"/>
        <color rgb="FF000000"/>
        <rFont val="Noto Sans CJK SC"/>
        <family val="2"/>
      </rPr>
      <t xml:space="preserve">：含車位）</t>
    </r>
  </si>
  <si>
    <r>
      <rPr>
        <sz val="10"/>
        <color rgb="FF000000"/>
        <rFont val="Noto Sans CJK SC"/>
        <family val="2"/>
      </rPr>
      <t xml:space="preserve">尚揚物調表（陳威翰）；</t>
    </r>
    <r>
      <rPr>
        <sz val="10"/>
        <color rgb="FF000000"/>
        <rFont val="Arial"/>
        <family val="0"/>
        <charset val="1"/>
      </rPr>
      <t xml:space="preserve">591 22010357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21589109</t>
    </r>
    <r>
      <rPr>
        <sz val="10"/>
        <color rgb="FF000000"/>
        <rFont val="Noto Sans CJK SC"/>
        <family val="2"/>
      </rPr>
      <t xml:space="preserve">；傑森愛華 </t>
    </r>
    <r>
      <rPr>
        <sz val="10"/>
        <color rgb="FF000000"/>
        <rFont val="Arial"/>
        <family val="0"/>
        <charset val="1"/>
      </rPr>
      <t xml:space="preserve">2026/9/23</t>
    </r>
    <r>
      <rPr>
        <sz val="10"/>
        <color rgb="FF000000"/>
        <rFont val="Noto Sans CJK SC"/>
        <family val="2"/>
      </rPr>
      <t xml:space="preserve">清單第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頁</t>
    </r>
  </si>
  <si>
    <r>
      <rPr>
        <sz val="10"/>
        <color rgb="FF000000"/>
        <rFont val="Noto Sans CJK SC"/>
        <family val="2"/>
      </rPr>
      <t xml:space="preserve">尚揚 陳威翰 </t>
    </r>
    <r>
      <rPr>
        <sz val="10"/>
        <color rgb="FF000000"/>
        <rFont val="Arial"/>
        <family val="0"/>
        <charset val="1"/>
      </rPr>
      <t xml:space="preserve">0906-118-677</t>
    </r>
    <r>
      <rPr>
        <sz val="10"/>
        <color rgb="FF000000"/>
        <rFont val="Noto Sans CJK SC"/>
        <family val="2"/>
      </rPr>
      <t xml:space="preserve">；兆淇 鄭先生 </t>
    </r>
    <r>
      <rPr>
        <sz val="10"/>
        <color rgb="FF000000"/>
        <rFont val="Arial"/>
        <family val="0"/>
        <charset val="1"/>
      </rPr>
      <t xml:space="preserve">0960-539-161</t>
    </r>
    <r>
      <rPr>
        <sz val="10"/>
        <color rgb="FF000000"/>
        <rFont val="Noto Sans CJK SC"/>
        <family val="2"/>
      </rPr>
      <t xml:space="preserve">；傑森愛華 張先生 </t>
    </r>
    <r>
      <rPr>
        <sz val="10"/>
        <color rgb="FF000000"/>
        <rFont val="Arial"/>
        <family val="0"/>
        <charset val="1"/>
      </rPr>
      <t xml:space="preserve">0931-330823</t>
    </r>
  </si>
  <si>
    <r>
      <rPr>
        <sz val="10"/>
        <color rgb="FF000000"/>
        <rFont val="Noto Sans CJK SC"/>
        <family val="2"/>
      </rPr>
      <t xml:space="preserve">門牌定位：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地圖：南海路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號（</t>
    </r>
    <r>
      <rPr>
        <sz val="10"/>
        <color rgb="FF000000"/>
        <rFont val="Arial"/>
        <family val="0"/>
        <charset val="1"/>
      </rPr>
      <t xml:space="preserve">25.0324406, 121.5169915</t>
    </r>
    <r>
      <rPr>
        <sz val="10"/>
        <color rgb="FF000000"/>
        <rFont val="Noto Sans CJK SC"/>
        <family val="2"/>
      </rPr>
      <t xml:space="preserve">）</t>
    </r>
  </si>
  <si>
    <t xml:space="preserve">N05</t>
  </si>
  <si>
    <t xml:space="preserve">信義大樓 8F</t>
  </si>
  <si>
    <t xml:space="preserve">松仁路（信義區）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</si>
  <si>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本身未揭露；同棟</t>
    </r>
    <r>
      <rPr>
        <sz val="10"/>
        <color rgb="FF000000"/>
        <rFont val="Arial"/>
        <family val="0"/>
        <charset val="1"/>
      </rPr>
      <t xml:space="preserve">5F/9F </t>
    </r>
    <r>
      <rPr>
        <sz val="10"/>
        <color rgb="FF000000"/>
        <rFont val="Noto Sans CJK SC"/>
        <family val="2"/>
      </rPr>
      <t xml:space="preserve">實坪</t>
    </r>
    <r>
      <rPr>
        <sz val="10"/>
        <color rgb="FF000000"/>
        <rFont val="Arial"/>
        <family val="0"/>
        <charset val="1"/>
      </rPr>
      <t xml:space="preserve">300.54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300.44</t>
    </r>
    <r>
      <rPr>
        <sz val="10"/>
        <color rgb="FF000000"/>
        <rFont val="Noto Sans CJK SC"/>
        <family val="2"/>
      </rPr>
      <t xml:space="preserve">（信義房屋）</t>
    </r>
  </si>
  <si>
    <r>
      <rPr>
        <sz val="10"/>
        <color rgb="FF000000"/>
        <rFont val="Arial"/>
        <family val="0"/>
        <charset val="1"/>
      </rPr>
      <t xml:space="preserve">513,050 </t>
    </r>
    <r>
      <rPr>
        <sz val="10"/>
        <color rgb="FF000000"/>
        <rFont val="Noto Sans CJK SC"/>
        <family val="2"/>
      </rPr>
      <t xml:space="preserve">未稅（</t>
    </r>
    <r>
      <rPr>
        <sz val="10"/>
        <color rgb="FF000000"/>
        <rFont val="Arial"/>
        <family val="0"/>
        <charset val="1"/>
      </rPr>
      <t xml:space="preserve">@1,550</t>
    </r>
    <r>
      <rPr>
        <sz val="10"/>
        <color rgb="FF000000"/>
        <rFont val="Noto Sans CJK SC"/>
        <family val="2"/>
      </rPr>
      <t xml:space="preserve">）→ 含稅 </t>
    </r>
    <r>
      <rPr>
        <sz val="10"/>
        <color rgb="FF000000"/>
        <rFont val="Arial"/>
        <family val="0"/>
        <charset val="1"/>
      </rPr>
      <t xml:space="preserve">538,703</t>
    </r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</si>
  <si>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331</t>
    </r>
    <r>
      <rPr>
        <sz val="10"/>
        <color rgb="FF000000"/>
        <rFont val="Noto Sans CJK SC"/>
        <family val="2"/>
      </rPr>
      <t xml:space="preserve">坪）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捷運象山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紅</t>
    </r>
    <r>
      <rPr>
        <sz val="10"/>
        <color rgb="FF000000"/>
        <rFont val="Arial"/>
        <family val="0"/>
        <charset val="1"/>
      </rPr>
      <t xml:space="preserve">) 16</t>
    </r>
    <r>
      <rPr>
        <sz val="10"/>
        <color rgb="FF000000"/>
        <rFont val="Noto Sans CJK SC"/>
        <family val="2"/>
      </rPr>
      <t xml:space="preserve">分（</t>
    </r>
    <r>
      <rPr>
        <sz val="10"/>
        <color rgb="FF000000"/>
        <rFont val="Arial"/>
        <family val="0"/>
        <charset val="1"/>
      </rPr>
      <t xml:space="preserve">&gt;10</t>
    </r>
    <r>
      <rPr>
        <sz val="10"/>
        <color rgb="FF000000"/>
        <rFont val="Noto Sans CJK SC"/>
        <family val="2"/>
      </rPr>
      <t xml:space="preserve">分）；已符合：月租</t>
    </r>
    <r>
      <rPr>
        <sz val="10"/>
        <color rgb="FF000000"/>
        <rFont val="Arial"/>
        <family val="0"/>
        <charset val="1"/>
      </rPr>
      <t xml:space="preserve">53.9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</t>
    </r>
  </si>
  <si>
    <r>
      <rPr>
        <sz val="10"/>
        <color rgb="FF000000"/>
        <rFont val="Arial"/>
        <family val="0"/>
        <charset val="1"/>
      </rPr>
      <t xml:space="preserve">8F</t>
    </r>
    <r>
      <rPr>
        <sz val="10"/>
        <color rgb="FF000000"/>
        <rFont val="Noto Sans CJK SC"/>
        <family val="2"/>
      </rPr>
      <t xml:space="preserve">未拍廁所：</t>
    </r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本身沒有室內照片（傑森愛華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張皆外觀）；同棟 </t>
    </r>
    <r>
      <rPr>
        <sz val="10"/>
        <color rgb="FF000000"/>
        <rFont val="Arial"/>
        <family val="0"/>
        <charset val="1"/>
      </rPr>
      <t xml:space="preserve">10F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21F </t>
    </r>
    <r>
      <rPr>
        <sz val="10"/>
        <color rgb="FF000000"/>
        <rFont val="Noto Sans CJK SC"/>
        <family val="2"/>
      </rPr>
      <t xml:space="preserve">廁所為新裝修，</t>
    </r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需現勘確認。</t>
    </r>
  </si>
  <si>
    <t xml:space="preserve">未提供</t>
  </si>
  <si>
    <r>
      <rPr>
        <sz val="10"/>
        <color rgb="FF000000"/>
        <rFont val="Noto Sans CJK SC"/>
        <family val="2"/>
      </rPr>
      <t xml:space="preserve">傑森愛華 </t>
    </r>
    <r>
      <rPr>
        <sz val="10"/>
        <color rgb="FF000000"/>
        <rFont val="Arial"/>
        <family val="0"/>
        <charset val="1"/>
      </rPr>
      <t xml:space="preserve">2026/9/23</t>
    </r>
    <r>
      <rPr>
        <sz val="10"/>
        <color rgb="FF000000"/>
        <rFont val="Noto Sans CJK SC"/>
        <family val="2"/>
      </rPr>
      <t xml:space="preserve">清單第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頁</t>
    </r>
  </si>
  <si>
    <t xml:space="preserve">傑森愛華清單 第3頁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</si>
  <si>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原文「刊登坪數、權狀面積依地政機關登記為準」</t>
    </r>
  </si>
  <si>
    <r>
      <rPr>
        <sz val="10"/>
        <color rgb="FF000000"/>
        <rFont val="Arial"/>
        <family val="0"/>
        <charset val="1"/>
      </rPr>
      <t xml:space="preserve">591 21635155</t>
    </r>
    <r>
      <rPr>
        <sz val="10"/>
        <color rgb="FF000000"/>
        <rFont val="Noto Sans CJK SC"/>
        <family val="2"/>
      </rPr>
      <t xml:space="preserve">（東家）、</t>
    </r>
    <r>
      <rPr>
        <sz val="10"/>
        <color rgb="FF000000"/>
        <rFont val="Arial"/>
        <family val="0"/>
        <charset val="1"/>
      </rPr>
      <t xml:space="preserve">22017413</t>
    </r>
    <r>
      <rPr>
        <sz val="10"/>
        <color rgb="FF000000"/>
        <rFont val="Noto Sans CJK SC"/>
        <family val="2"/>
      </rPr>
      <t xml:space="preserve">（兆淇 鄭先生，</t>
    </r>
    <r>
      <rPr>
        <sz val="10"/>
        <color rgb="FF000000"/>
        <rFont val="Arial"/>
        <family val="0"/>
        <charset val="1"/>
      </rPr>
      <t xml:space="preserve">302.99</t>
    </r>
    <r>
      <rPr>
        <sz val="10"/>
        <color rgb="FF000000"/>
        <rFont val="Noto Sans CJK SC"/>
        <family val="2"/>
      </rPr>
      <t xml:space="preserve">坪、</t>
    </r>
    <r>
      <rPr>
        <sz val="10"/>
        <color rgb="FF000000"/>
        <rFont val="Arial"/>
        <family val="0"/>
        <charset val="1"/>
      </rPr>
      <t xml:space="preserve">515,083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1,700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坪）、</t>
    </r>
    <r>
      <rPr>
        <sz val="10"/>
        <color rgb="FF000000"/>
        <rFont val="Arial"/>
        <family val="0"/>
        <charset val="1"/>
      </rPr>
      <t xml:space="preserve">21888124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21548435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</si>
  <si>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591 21635155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25.0533328, 121.5334926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</si>
  <si>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信義 </t>
    </r>
    <r>
      <rPr>
        <sz val="10"/>
        <color rgb="FF000000"/>
        <rFont val="Arial"/>
        <family val="0"/>
        <charset val="1"/>
      </rPr>
      <t xml:space="preserve">CZ05585</t>
    </r>
    <r>
      <rPr>
        <sz val="10"/>
        <color rgb="FF000000"/>
        <rFont val="Noto Sans CJK SC"/>
        <family val="2"/>
      </rPr>
      <t xml:space="preserve">：整筆權狀</t>
    </r>
    <r>
      <rPr>
        <sz val="10"/>
        <color rgb="FF000000"/>
        <rFont val="Arial"/>
        <family val="0"/>
        <charset val="1"/>
      </rPr>
      <t xml:space="preserve">577.14</t>
    </r>
    <r>
      <rPr>
        <sz val="10"/>
        <color rgb="FF000000"/>
        <rFont val="Noto Sans CJK SC"/>
        <family val="2"/>
      </rPr>
      <t xml:space="preserve">、主</t>
    </r>
    <r>
      <rPr>
        <sz val="10"/>
        <color rgb="FF000000"/>
        <rFont val="Arial"/>
        <family val="0"/>
        <charset val="1"/>
      </rPr>
      <t xml:space="preserve">322.97</t>
    </r>
    <r>
      <rPr>
        <sz val="10"/>
        <color rgb="FF000000"/>
        <rFont val="Noto Sans CJK SC"/>
        <family val="2"/>
      </rPr>
      <t xml:space="preserve">＋附</t>
    </r>
    <r>
      <rPr>
        <sz val="10"/>
        <color rgb="FF000000"/>
        <rFont val="Arial"/>
        <family val="0"/>
        <charset val="1"/>
      </rPr>
      <t xml:space="preserve">38.67</t>
    </r>
    <r>
      <rPr>
        <sz val="10"/>
        <color rgb="FF000000"/>
        <rFont val="Noto Sans CJK SC"/>
        <family val="2"/>
      </rPr>
      <t xml:space="preserve">（整筆），出租</t>
    </r>
    <r>
      <rPr>
        <sz val="10"/>
        <color rgb="FF000000"/>
        <rFont val="Arial"/>
        <family val="0"/>
        <charset val="1"/>
      </rPr>
      <t xml:space="preserve">285.67</t>
    </r>
    <r>
      <rPr>
        <sz val="10"/>
        <color rgb="FF000000"/>
        <rFont val="Noto Sans CJK SC"/>
        <family val="2"/>
      </rPr>
      <t xml:space="preserve">坪部分的實坪未寫</t>
    </r>
  </si>
  <si>
    <r>
      <rPr>
        <sz val="10"/>
        <color rgb="FF000000"/>
        <rFont val="Noto Sans CJK SC"/>
        <family val="2"/>
      </rPr>
      <t xml:space="preserve">屋齡</t>
    </r>
    <r>
      <rPr>
        <sz val="10"/>
        <color rgb="FF000000"/>
        <rFont val="Arial"/>
        <family val="0"/>
        <charset val="1"/>
      </rPr>
      <t xml:space="preserve">30.1</t>
    </r>
    <r>
      <rPr>
        <sz val="10"/>
        <color rgb="FF000000"/>
        <rFont val="Noto Sans CJK SC"/>
        <family val="2"/>
      </rPr>
      <t xml:space="preserve">年</t>
    </r>
  </si>
  <si>
    <t xml:space="preserve">無</t>
  </si>
  <si>
    <r>
      <rPr>
        <sz val="10"/>
        <color rgb="FF000000"/>
        <rFont val="Noto Sans CJK SC"/>
        <family val="2"/>
      </rPr>
      <t xml:space="preserve">信義房屋 </t>
    </r>
    <r>
      <rPr>
        <sz val="10"/>
        <color rgb="FF000000"/>
        <rFont val="Arial"/>
        <family val="0"/>
        <charset val="1"/>
      </rPr>
      <t xml:space="preserve">CZ05585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591 20991086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21804249</t>
    </r>
  </si>
  <si>
    <r>
      <rPr>
        <sz val="10"/>
        <color rgb="FF000000"/>
        <rFont val="Noto Sans CJK SC"/>
        <family val="2"/>
      </rPr>
      <t xml:space="preserve">物件頁座標：信義全球物件座標（</t>
    </r>
    <r>
      <rPr>
        <sz val="10"/>
        <color rgb="FF000000"/>
        <rFont val="Arial"/>
        <family val="0"/>
        <charset val="1"/>
      </rPr>
      <t xml:space="preserve">25.046292, 121.540346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</si>
  <si>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原文「廣告坪數為權狀坪數」</t>
    </r>
  </si>
  <si>
    <t xml:space="preserve">未提供（傑森愛華：停車方便）</t>
  </si>
  <si>
    <r>
      <rPr>
        <sz val="10"/>
        <color rgb="FF000000"/>
        <rFont val="Arial"/>
        <family val="0"/>
        <charset val="1"/>
      </rPr>
      <t xml:space="preserve">591 22062249</t>
    </r>
    <r>
      <rPr>
        <sz val="10"/>
        <color rgb="FF000000"/>
        <rFont val="Noto Sans CJK SC"/>
        <family val="2"/>
      </rPr>
      <t xml:space="preserve">（易信 王先生）；傑森愛華 </t>
    </r>
    <r>
      <rPr>
        <sz val="10"/>
        <color rgb="FF000000"/>
        <rFont val="Arial"/>
        <family val="0"/>
        <charset val="1"/>
      </rPr>
      <t xml:space="preserve">2026/9/23</t>
    </r>
    <r>
      <rPr>
        <sz val="10"/>
        <color rgb="FF000000"/>
        <rFont val="Noto Sans CJK SC"/>
        <family val="2"/>
      </rPr>
      <t xml:space="preserve">清單第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頁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</si>
  <si>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591 22062249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25.0508017, 121.5633299</t>
    </r>
    <r>
      <rPr>
        <sz val="10"/>
        <color rgb="FF000000"/>
        <rFont val="Noto Sans CJK SC"/>
        <family val="2"/>
      </rPr>
      <t xml:space="preserve">）</t>
    </r>
  </si>
  <si>
    <t xml:space="preserve">N11</t>
  </si>
  <si>
    <t xml:space="preserve">旭寶大樓 4F</t>
  </si>
  <si>
    <t xml:space="preserve">4F/12F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</si>
  <si>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原文「廣告顯示使用面積為含公設面積」；同棟</t>
    </r>
    <r>
      <rPr>
        <sz val="10"/>
        <color rgb="FF000000"/>
        <rFont val="Arial"/>
        <family val="0"/>
        <charset val="1"/>
      </rPr>
      <t xml:space="preserve">5F </t>
    </r>
    <r>
      <rPr>
        <sz val="10"/>
        <color rgb="FF000000"/>
        <rFont val="Noto Sans CJK SC"/>
        <family val="2"/>
      </rPr>
      <t xml:space="preserve">實用</t>
    </r>
    <r>
      <rPr>
        <sz val="10"/>
        <color rgb="FF000000"/>
        <rFont val="Arial"/>
        <family val="0"/>
        <charset val="1"/>
      </rPr>
      <t xml:space="preserve">255.38</t>
    </r>
    <r>
      <rPr>
        <sz val="10"/>
        <color rgb="FF000000"/>
        <rFont val="Noto Sans CJK SC"/>
        <family val="2"/>
      </rPr>
      <t xml:space="preserve">（尚揚）</t>
    </r>
  </si>
  <si>
    <r>
      <rPr>
        <sz val="10"/>
        <color rgb="FF000000"/>
        <rFont val="Arial"/>
        <family val="0"/>
        <charset val="1"/>
      </rPr>
      <t xml:space="preserve">507,600 </t>
    </r>
    <r>
      <rPr>
        <sz val="10"/>
        <color rgb="FF000000"/>
        <rFont val="Noto Sans CJK SC"/>
        <family val="2"/>
      </rPr>
      <t xml:space="preserve">未稅（傑森愛華清單第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591 21788157 507,708 </t>
    </r>
    <r>
      <rPr>
        <sz val="10"/>
        <color rgb="FF000000"/>
        <rFont val="Noto Sans CJK SC"/>
        <family val="2"/>
      </rPr>
      <t xml:space="preserve">未含稅 → 含稅約</t>
    </r>
    <r>
      <rPr>
        <sz val="10"/>
        <color rgb="FF000000"/>
        <rFont val="Arial"/>
        <family val="0"/>
        <charset val="1"/>
      </rPr>
      <t xml:space="preserve">533,000</t>
    </r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</si>
  <si>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282.06</t>
    </r>
    <r>
      <rPr>
        <sz val="10"/>
        <color rgb="FF000000"/>
        <rFont val="Noto Sans CJK SC"/>
        <family val="2"/>
      </rPr>
      <t xml:space="preserve">坪）；已符合：月租</t>
    </r>
    <r>
      <rPr>
        <sz val="10"/>
        <color rgb="FF000000"/>
        <rFont val="Arial"/>
        <family val="0"/>
        <charset val="1"/>
      </rPr>
      <t xml:space="preserve">53.3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藍</t>
    </r>
    <r>
      <rPr>
        <sz val="10"/>
        <color rgb="FF000000"/>
        <rFont val="Arial"/>
        <family val="0"/>
        <charset val="1"/>
      </rPr>
      <t xml:space="preserve">) 10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</si>
  <si>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591 21788157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張皆為辦公區（地毯磨損、有接待櫃台），沒有拍廁所；同棟 </t>
    </r>
    <r>
      <rPr>
        <sz val="10"/>
        <color rgb="FF000000"/>
        <rFont val="Arial"/>
        <family val="0"/>
        <charset val="1"/>
      </rPr>
      <t xml:space="preserve">5F </t>
    </r>
    <r>
      <rPr>
        <sz val="10"/>
        <color rgb="FF000000"/>
        <rFont val="Noto Sans CJK SC"/>
        <family val="2"/>
      </rPr>
      <t xml:space="preserve">廁所老舊，</t>
    </r>
    <r>
      <rPr>
        <sz val="10"/>
        <color rgb="FF000000"/>
        <rFont val="Arial"/>
        <family val="0"/>
        <charset val="1"/>
      </rPr>
      <t xml:space="preserve">4F </t>
    </r>
    <r>
      <rPr>
        <sz val="10"/>
        <color rgb="FF000000"/>
        <rFont val="Noto Sans CJK SC"/>
        <family val="2"/>
      </rPr>
      <t xml:space="preserve">很可能相同，需現勘。</t>
    </r>
  </si>
  <si>
    <r>
      <rPr>
        <sz val="10"/>
        <color rgb="FF000000"/>
        <rFont val="Noto Sans CJK SC"/>
        <family val="2"/>
      </rPr>
      <t xml:space="preserve">屋齡約</t>
    </r>
    <r>
      <rPr>
        <sz val="10"/>
        <color rgb="FF000000"/>
        <rFont val="Arial"/>
        <family val="0"/>
        <charset val="1"/>
      </rPr>
      <t xml:space="preserve">43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</si>
  <si>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傑森愛華 </t>
    </r>
    <r>
      <rPr>
        <sz val="10"/>
        <color rgb="FF000000"/>
        <rFont val="Arial"/>
        <family val="0"/>
        <charset val="1"/>
      </rPr>
      <t xml:space="preserve">2026/9/23</t>
    </r>
    <r>
      <rPr>
        <sz val="10"/>
        <color rgb="FF000000"/>
        <rFont val="Noto Sans CJK SC"/>
        <family val="2"/>
      </rPr>
      <t xml:space="preserve">清單第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591 21788157</t>
    </r>
    <r>
      <rPr>
        <sz val="10"/>
        <color rgb="FF000000"/>
        <rFont val="Noto Sans CJK SC"/>
        <family val="2"/>
      </rPr>
      <t xml:space="preserve">（松華 李鴻鈞）、</t>
    </r>
    <r>
      <rPr>
        <sz val="10"/>
        <color rgb="FF000000"/>
        <rFont val="Arial"/>
        <family val="0"/>
        <charset val="1"/>
      </rPr>
      <t xml:space="preserve">21429025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21908353</t>
    </r>
  </si>
  <si>
    <r>
      <rPr>
        <sz val="10"/>
        <color rgb="FF000000"/>
        <rFont val="Noto Sans CJK SC"/>
        <family val="2"/>
      </rPr>
      <t xml:space="preserve">傑森愛華 張先生 </t>
    </r>
    <r>
      <rPr>
        <sz val="10"/>
        <color rgb="FF000000"/>
        <rFont val="Arial"/>
        <family val="0"/>
        <charset val="1"/>
      </rPr>
      <t xml:space="preserve">0931-330823</t>
    </r>
    <r>
      <rPr>
        <sz val="10"/>
        <color rgb="FF000000"/>
        <rFont val="Noto Sans CJK SC"/>
        <family val="2"/>
      </rPr>
      <t xml:space="preserve">；松華 李鴻鈞 </t>
    </r>
    <r>
      <rPr>
        <sz val="10"/>
        <color rgb="FF000000"/>
        <rFont val="Arial"/>
        <family val="0"/>
        <charset val="1"/>
      </rPr>
      <t xml:space="preserve">0939-060-379</t>
    </r>
  </si>
  <si>
    <r>
      <rPr>
        <sz val="10"/>
        <color rgb="FF000000"/>
        <rFont val="Noto Sans CJK SC"/>
        <family val="2"/>
      </rPr>
      <t xml:space="preserve">門牌定位：同旭寶大樓座標（</t>
    </r>
    <r>
      <rPr>
        <sz val="10"/>
        <color rgb="FF000000"/>
        <rFont val="Arial"/>
        <family val="0"/>
        <charset val="1"/>
      </rPr>
      <t xml:space="preserve">25.0464096, 121.5494252</t>
    </r>
    <r>
      <rPr>
        <sz val="10"/>
        <color rgb="FF000000"/>
        <rFont val="Noto Sans CJK SC"/>
        <family val="2"/>
      </rPr>
      <t xml:space="preserve">）</t>
    </r>
  </si>
  <si>
    <t xml:space="preserve">J18</t>
  </si>
  <si>
    <t xml:space="preserve">忠孝東路四段×延吉街 4F</t>
  </si>
  <si>
    <r>
      <rPr>
        <sz val="10"/>
        <color rgb="FF000000"/>
        <rFont val="Noto Sans CJK SC"/>
        <family val="2"/>
      </rPr>
      <t xml:space="preserve">忠孝東路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延吉街</t>
    </r>
  </si>
  <si>
    <t xml:space="preserve">4F</t>
  </si>
  <si>
    <r>
      <rPr>
        <sz val="10"/>
        <color rgb="FF000000"/>
        <rFont val="Noto Sans CJK SC"/>
        <family val="2"/>
      </rPr>
      <t xml:space="preserve">清單只有坪數</t>
    </r>
    <r>
      <rPr>
        <sz val="10"/>
        <color rgb="FF000000"/>
        <rFont val="Arial"/>
        <family val="0"/>
        <charset val="1"/>
      </rPr>
      <t xml:space="preserve">276</t>
    </r>
    <r>
      <rPr>
        <sz val="10"/>
        <color rgb="FF000000"/>
        <rFont val="Noto Sans CJK SC"/>
        <family val="2"/>
      </rPr>
      <t xml:space="preserve">（未說明權狀或實坪）</t>
    </r>
  </si>
  <si>
    <r>
      <rPr>
        <sz val="10"/>
        <color rgb="FF000000"/>
        <rFont val="Arial"/>
        <family val="0"/>
        <charset val="1"/>
      </rPr>
      <t xml:space="preserve">480,000 </t>
    </r>
    <r>
      <rPr>
        <sz val="10"/>
        <color rgb="FF000000"/>
        <rFont val="Noto Sans CJK SC"/>
        <family val="2"/>
      </rPr>
      <t xml:space="preserve">未稅（</t>
    </r>
    <r>
      <rPr>
        <sz val="10"/>
        <color rgb="FF000000"/>
        <rFont val="Arial"/>
        <family val="0"/>
        <charset val="1"/>
      </rPr>
      <t xml:space="preserve">@1,739</t>
    </r>
    <r>
      <rPr>
        <sz val="10"/>
        <color rgb="FF000000"/>
        <rFont val="Noto Sans CJK SC"/>
        <family val="2"/>
      </rPr>
      <t xml:space="preserve">）→ 含稅 </t>
    </r>
    <r>
      <rPr>
        <sz val="10"/>
        <color rgb="FF000000"/>
        <rFont val="Arial"/>
        <family val="0"/>
        <charset val="1"/>
      </rPr>
      <t xml:space="preserve">504,000</t>
    </r>
    <r>
      <rPr>
        <sz val="10"/>
        <color rgb="FF000000"/>
        <rFont val="Noto Sans CJK SC"/>
        <family val="2"/>
      </rPr>
      <t xml:space="preserve">（傑森愛華 </t>
    </r>
    <r>
      <rPr>
        <sz val="10"/>
        <color rgb="FF000000"/>
        <rFont val="Arial"/>
        <family val="0"/>
        <charset val="1"/>
      </rPr>
      <t xml:space="preserve">9/22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9/23 </t>
    </r>
    <r>
      <rPr>
        <sz val="10"/>
        <color rgb="FF000000"/>
        <rFont val="Noto Sans CJK SC"/>
        <family val="2"/>
      </rPr>
      <t xml:space="preserve">兩份清單同價）</t>
    </r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</si>
  <si>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276</t>
    </r>
    <r>
      <rPr>
        <sz val="10"/>
        <color rgb="FF000000"/>
        <rFont val="Noto Sans CJK SC"/>
        <family val="2"/>
      </rPr>
      <t xml:space="preserve">坪）；已符合：月租</t>
    </r>
    <r>
      <rPr>
        <sz val="10"/>
        <color rgb="FF000000"/>
        <rFont val="Arial"/>
        <family val="0"/>
        <charset val="1"/>
      </rPr>
      <t xml:space="preserve">50.4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國父紀念館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藍</t>
    </r>
    <r>
      <rPr>
        <sz val="10"/>
        <color rgb="FF000000"/>
        <rFont val="Arial"/>
        <family val="0"/>
        <charset val="1"/>
      </rPr>
      <t xml:space="preserve">) 5</t>
    </r>
    <r>
      <rPr>
        <sz val="10"/>
        <color rgb="FF000000"/>
        <rFont val="Noto Sans CJK SC"/>
        <family val="2"/>
      </rPr>
      <t xml:space="preserve">分</t>
    </r>
  </si>
  <si>
    <t xml:space="preserve">實坪未揭露；門牌與大樓名稱為推定；管理費未提供；廁所需現勘</t>
  </si>
  <si>
    <r>
      <rPr>
        <sz val="10"/>
        <color rgb="FF000000"/>
        <rFont val="Noto Sans CJK SC"/>
        <family val="2"/>
      </rPr>
      <t xml:space="preserve">廁所無照片：傑森愛華清單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張（外觀、毛胚室內、窗景），沒有拍廁所。需現勘。</t>
    </r>
  </si>
  <si>
    <r>
      <rPr>
        <sz val="10"/>
        <color rgb="FF000000"/>
        <rFont val="Noto Sans CJK SC"/>
        <family val="2"/>
      </rPr>
      <t xml:space="preserve">推定大樓</t>
    </r>
    <r>
      <rPr>
        <sz val="10"/>
        <color rgb="FF000000"/>
        <rFont val="Arial"/>
        <family val="0"/>
        <charset val="1"/>
      </rPr>
      <t xml:space="preserve">1982/08</t>
    </r>
    <r>
      <rPr>
        <sz val="10"/>
        <color rgb="FF000000"/>
        <rFont val="Noto Sans CJK SC"/>
        <family val="2"/>
      </rPr>
      <t xml:space="preserve">竣工（好房網）</t>
    </r>
  </si>
  <si>
    <r>
      <rPr>
        <sz val="10"/>
        <color rgb="FF000000"/>
        <rFont val="Noto Sans CJK SC"/>
        <family val="2"/>
      </rPr>
      <t xml:space="preserve">傑森愛華 </t>
    </r>
    <r>
      <rPr>
        <sz val="10"/>
        <color rgb="FF000000"/>
        <rFont val="Arial"/>
        <family val="0"/>
        <charset val="1"/>
      </rPr>
      <t xml:space="preserve">9/22</t>
    </r>
    <r>
      <rPr>
        <sz val="10"/>
        <color rgb="FF000000"/>
        <rFont val="Noto Sans CJK SC"/>
        <family val="2"/>
      </rPr>
      <t xml:space="preserve">清單（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9/23</t>
    </r>
    <r>
      <rPr>
        <sz val="10"/>
        <color rgb="FF000000"/>
        <rFont val="Noto Sans CJK SC"/>
        <family val="2"/>
      </rPr>
      <t xml:space="preserve">清單第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頁</t>
    </r>
  </si>
  <si>
    <t xml:space="preserve">傑森愛華清單 第1頁</t>
  </si>
  <si>
    <r>
      <rPr>
        <sz val="10"/>
        <color rgb="FF000000"/>
        <rFont val="Noto Sans CJK SC"/>
        <family val="2"/>
      </rPr>
      <t xml:space="preserve">概略位置：忠孝東路四段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延吉街口（清單未給門牌）（</t>
    </r>
    <r>
      <rPr>
        <sz val="10"/>
        <color rgb="FF000000"/>
        <rFont val="Arial"/>
        <family val="0"/>
        <charset val="1"/>
      </rPr>
      <t xml:space="preserve">25.0413459, 121.5545064</t>
    </r>
    <r>
      <rPr>
        <sz val="10"/>
        <color rgb="FF000000"/>
        <rFont val="Noto Sans CJK SC"/>
        <family val="2"/>
      </rPr>
      <t xml:space="preserve">）</t>
    </r>
  </si>
  <si>
    <t xml:space="preserve">N07</t>
  </si>
  <si>
    <t xml:space="preserve">忠孝東路一段 11F（台北車站）</t>
  </si>
  <si>
    <t xml:space="preserve">忠孝東路一段</t>
  </si>
  <si>
    <t xml:space="preserve">11F/12F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</si>
  <si>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原文「權狀約</t>
    </r>
    <r>
      <rPr>
        <sz val="10"/>
        <color rgb="FF000000"/>
        <rFont val="Arial"/>
        <family val="0"/>
        <charset val="1"/>
      </rPr>
      <t xml:space="preserve">266.78</t>
    </r>
    <r>
      <rPr>
        <sz val="10"/>
        <color rgb="FF000000"/>
        <rFont val="Noto Sans CJK SC"/>
        <family val="2"/>
      </rPr>
      <t xml:space="preserve">坪、低公設比」</t>
    </r>
  </si>
  <si>
    <r>
      <rPr>
        <sz val="10"/>
        <color rgb="FF000000"/>
        <rFont val="Arial"/>
        <family val="0"/>
        <charset val="1"/>
      </rPr>
      <t xml:space="preserve">533,500 </t>
    </r>
    <r>
      <rPr>
        <sz val="10"/>
        <color rgb="FF000000"/>
        <rFont val="Noto Sans CJK SC"/>
        <family val="2"/>
      </rPr>
      <t xml:space="preserve">含稅（</t>
    </r>
    <r>
      <rPr>
        <sz val="10"/>
        <color rgb="FF000000"/>
        <rFont val="Arial"/>
        <family val="0"/>
        <charset val="1"/>
      </rPr>
      <t xml:space="preserve">591 19506910</t>
    </r>
    <r>
      <rPr>
        <sz val="10"/>
        <color rgb="FF000000"/>
        <rFont val="Noto Sans CJK SC"/>
        <family val="2"/>
      </rPr>
      <t xml:space="preserve">）</t>
    </r>
  </si>
  <si>
    <t xml:space="preserve">台北車站</t>
  </si>
  <si>
    <t xml:space="preserve">紅藍</t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</si>
  <si>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266.78</t>
    </r>
    <r>
      <rPr>
        <sz val="10"/>
        <color rgb="FF000000"/>
        <rFont val="Noto Sans CJK SC"/>
        <family val="2"/>
      </rPr>
      <t xml:space="preserve">坪）；已符合：月租</t>
    </r>
    <r>
      <rPr>
        <sz val="10"/>
        <color rgb="FF000000"/>
        <rFont val="Arial"/>
        <family val="0"/>
        <charset val="1"/>
      </rPr>
      <t xml:space="preserve">53.4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台北車站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紅藍</t>
    </r>
    <r>
      <rPr>
        <sz val="10"/>
        <color rgb="FF000000"/>
        <rFont val="Arial"/>
        <family val="0"/>
        <charset val="1"/>
      </rPr>
      <t xml:space="preserve">) 3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</si>
  <si>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刊登已下架（</t>
    </r>
    <r>
      <rPr>
        <sz val="10"/>
        <color rgb="FF000000"/>
        <rFont val="Arial"/>
        <family val="0"/>
        <charset val="1"/>
      </rPr>
      <t xml:space="preserve">9/24 </t>
    </r>
    <r>
      <rPr>
        <sz val="10"/>
        <color rgb="FF000000"/>
        <rFont val="Noto Sans CJK SC"/>
        <family val="2"/>
      </rPr>
      <t xml:space="preserve">查），需確認是否仍可租；實坪未揭露；管理費未提供；廁所需現勘</t>
    </r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</si>
  <si>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591 19506910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張皆為空辦公區（部分天花板板材缺、地面有污漬），沒有拍廁所。需現勘。</t>
    </r>
  </si>
  <si>
    <r>
      <rPr>
        <sz val="10"/>
        <color rgb="FF000000"/>
        <rFont val="Arial"/>
        <family val="0"/>
        <charset val="1"/>
      </rPr>
      <t xml:space="preserve">591 19506910</t>
    </r>
    <r>
      <rPr>
        <sz val="10"/>
        <color rgb="FF000000"/>
        <rFont val="Noto Sans CJK SC"/>
        <family val="2"/>
      </rPr>
      <t xml:space="preserve">（尚揚 陳先生）</t>
    </r>
  </si>
  <si>
    <t xml:space="preserve">無法定位：沒有門牌也沒有座標</t>
  </si>
  <si>
    <t xml:space="preserve">N14</t>
  </si>
  <si>
    <t xml:space="preserve">中山北路三段 6F（民權西路站）</t>
  </si>
  <si>
    <t xml:space="preserve">中山北路三段</t>
  </si>
  <si>
    <t xml:space="preserve">6F/14F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</si>
  <si>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只寫「使用坪數</t>
    </r>
    <r>
      <rPr>
        <sz val="10"/>
        <color rgb="FF000000"/>
        <rFont val="Arial"/>
        <family val="0"/>
        <charset val="1"/>
      </rPr>
      <t xml:space="preserve">265.93</t>
    </r>
    <r>
      <rPr>
        <sz val="10"/>
        <color rgb="FF000000"/>
        <rFont val="Noto Sans CJK SC"/>
        <family val="2"/>
      </rPr>
      <t xml:space="preserve">」，無分項</t>
    </r>
  </si>
  <si>
    <r>
      <rPr>
        <sz val="10"/>
        <color rgb="FF000000"/>
        <rFont val="Arial"/>
        <family val="0"/>
        <charset val="1"/>
      </rPr>
      <t xml:space="preserve">385,599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591 22010409</t>
    </r>
    <r>
      <rPr>
        <sz val="10"/>
        <color rgb="FF000000"/>
        <rFont val="Noto Sans CJK SC"/>
        <family val="2"/>
      </rPr>
      <t xml:space="preserve">，含車位、含管理費，稅別未寫）</t>
    </r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</si>
  <si>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265.93</t>
    </r>
    <r>
      <rPr>
        <sz val="10"/>
        <color rgb="FF000000"/>
        <rFont val="Noto Sans CJK SC"/>
        <family val="2"/>
      </rPr>
      <t xml:space="preserve">坪）；已符合：月租</t>
    </r>
    <r>
      <rPr>
        <sz val="10"/>
        <color rgb="FF000000"/>
        <rFont val="Arial"/>
        <family val="0"/>
        <charset val="1"/>
      </rPr>
      <t xml:space="preserve">38.6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民權西路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紅</t>
    </r>
    <r>
      <rPr>
        <sz val="10"/>
        <color rgb="FF000000"/>
        <rFont val="Arial"/>
        <family val="0"/>
        <charset val="1"/>
      </rPr>
      <t xml:space="preserve">) 3</t>
    </r>
    <r>
      <rPr>
        <sz val="10"/>
        <color rgb="FF000000"/>
        <rFont val="Noto Sans CJK SC"/>
        <family val="2"/>
      </rPr>
      <t xml:space="preserve">分</t>
    </r>
  </si>
  <si>
    <t xml:space="preserve">實坪未揭露；稅別未寫；大樓名稱未揭露；廁所需現勘</t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</si>
  <si>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張照片（捷運站），室內與廁所都沒有拍。需現勘。</t>
    </r>
  </si>
  <si>
    <t xml:space="preserve">含車位</t>
  </si>
  <si>
    <r>
      <rPr>
        <sz val="10"/>
        <color rgb="FF000000"/>
        <rFont val="Arial"/>
        <family val="0"/>
        <charset val="1"/>
      </rPr>
      <t xml:space="preserve">591 22010409</t>
    </r>
    <r>
      <rPr>
        <sz val="10"/>
        <color rgb="FF000000"/>
        <rFont val="Noto Sans CJK SC"/>
        <family val="2"/>
      </rPr>
      <t xml:space="preserve">（兆淇 鄭先生）</t>
    </r>
  </si>
  <si>
    <r>
      <rPr>
        <sz val="10"/>
        <color rgb="FF000000"/>
        <rFont val="Noto Sans CJK SC"/>
        <family val="2"/>
      </rPr>
      <t xml:space="preserve">兆淇 鄭先生 </t>
    </r>
    <r>
      <rPr>
        <sz val="10"/>
        <color rgb="FF000000"/>
        <rFont val="Arial"/>
        <family val="0"/>
        <charset val="1"/>
      </rPr>
      <t xml:space="preserve">0960-539-161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</si>
  <si>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591 22010409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25.063996, 121.5208493</t>
    </r>
    <r>
      <rPr>
        <sz val="10"/>
        <color rgb="FF000000"/>
        <rFont val="Noto Sans CJK SC"/>
        <family val="2"/>
      </rPr>
      <t xml:space="preserve">）</t>
    </r>
  </si>
  <si>
    <t xml:space="preserve">N06</t>
  </si>
  <si>
    <t xml:space="preserve">忠孝東路一段 2F（善導寺站）</t>
  </si>
  <si>
    <t xml:space="preserve">2F/21F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</si>
  <si>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原文「權狀約</t>
    </r>
    <r>
      <rPr>
        <sz val="10"/>
        <color rgb="FF000000"/>
        <rFont val="Arial"/>
        <family val="0"/>
        <charset val="1"/>
      </rPr>
      <t xml:space="preserve">261.4</t>
    </r>
    <r>
      <rPr>
        <sz val="10"/>
        <color rgb="FF000000"/>
        <rFont val="Noto Sans CJK SC"/>
        <family val="2"/>
      </rPr>
      <t xml:space="preserve">坪（室內實際使用坪數以現場丈量或地政謄本為準）」</t>
    </r>
  </si>
  <si>
    <r>
      <rPr>
        <sz val="10"/>
        <color rgb="FF000000"/>
        <rFont val="Arial"/>
        <family val="0"/>
        <charset val="1"/>
      </rPr>
      <t xml:space="preserve">421,872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591 20214332 </t>
    </r>
    <r>
      <rPr>
        <sz val="10"/>
        <color rgb="FF000000"/>
        <rFont val="Noto Sans CJK SC"/>
        <family val="2"/>
      </rPr>
      <t xml:space="preserve">等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筆同價，稅別未寫）；另有 </t>
    </r>
    <r>
      <rPr>
        <sz val="10"/>
        <color rgb="FF000000"/>
        <rFont val="Arial"/>
        <family val="0"/>
        <charset val="1"/>
      </rPr>
      <t xml:space="preserve">480,000</t>
    </r>
    <r>
      <rPr>
        <sz val="10"/>
        <color rgb="FF000000"/>
        <rFont val="Noto Sans CJK SC"/>
        <family val="2"/>
      </rPr>
      <t xml:space="preserve">（住商南門 </t>
    </r>
    <r>
      <rPr>
        <sz val="10"/>
        <color rgb="FF000000"/>
        <rFont val="Arial"/>
        <family val="0"/>
        <charset val="1"/>
      </rPr>
      <t xml:space="preserve">21553405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21867832</t>
    </r>
    <r>
      <rPr>
        <sz val="10"/>
        <color rgb="FF000000"/>
        <rFont val="Noto Sans CJK SC"/>
        <family val="2"/>
      </rPr>
      <t xml:space="preserve">）</t>
    </r>
  </si>
  <si>
    <t xml:space="preserve">善導寺</t>
  </si>
  <si>
    <r>
      <rPr>
        <sz val="10"/>
        <color rgb="FF000000"/>
        <rFont val="Noto Sans CJK SC"/>
        <family val="2"/>
      </rPr>
      <t xml:space="preserve">待確認：實坪未揭露（權狀</t>
    </r>
    <r>
      <rPr>
        <sz val="10"/>
        <color rgb="FF000000"/>
        <rFont val="Arial"/>
        <family val="0"/>
        <charset val="1"/>
      </rPr>
      <t xml:space="preserve">261.4</t>
    </r>
    <r>
      <rPr>
        <sz val="10"/>
        <color rgb="FF000000"/>
        <rFont val="Noto Sans CJK SC"/>
        <family val="2"/>
      </rPr>
      <t xml:space="preserve">坪）；已符合：月租</t>
    </r>
    <r>
      <rPr>
        <sz val="10"/>
        <color rgb="FF000000"/>
        <rFont val="Arial"/>
        <family val="0"/>
        <charset val="1"/>
      </rPr>
      <t xml:space="preserve">42.2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善導寺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藍</t>
    </r>
    <r>
      <rPr>
        <sz val="10"/>
        <color rgb="FF000000"/>
        <rFont val="Arial"/>
        <family val="0"/>
        <charset val="1"/>
      </rPr>
      <t xml:space="preserve">) 2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</si>
  <si>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實坪未揭露；租金稅別未寫；兩種報價（</t>
    </r>
    <r>
      <rPr>
        <sz val="10"/>
        <color rgb="FF000000"/>
        <rFont val="Arial"/>
        <family val="0"/>
        <charset val="1"/>
      </rPr>
      <t xml:space="preserve">42.2</t>
    </r>
    <r>
      <rPr>
        <sz val="10"/>
        <color rgb="FF000000"/>
        <rFont val="Noto Sans CJK SC"/>
        <family val="2"/>
      </rPr>
      <t xml:space="preserve">萬／</t>
    </r>
    <r>
      <rPr>
        <sz val="10"/>
        <color rgb="FF000000"/>
        <rFont val="Arial"/>
        <family val="0"/>
        <charset val="1"/>
      </rPr>
      <t xml:space="preserve">48</t>
    </r>
    <r>
      <rPr>
        <sz val="10"/>
        <color rgb="FF000000"/>
        <rFont val="Noto Sans CJK SC"/>
        <family val="2"/>
      </rPr>
      <t xml:space="preserve">萬）；廁所需現勘</t>
    </r>
  </si>
  <si>
    <r>
      <rPr>
        <sz val="10"/>
        <color rgb="FF000000"/>
        <rFont val="Noto Sans CJK SC"/>
        <family val="2"/>
      </rPr>
      <t xml:space="preserve">廁所無照片：</t>
    </r>
    <r>
      <rPr>
        <sz val="10"/>
        <color rgb="FF000000"/>
        <rFont val="Arial"/>
        <family val="0"/>
        <charset val="1"/>
      </rPr>
      <t xml:space="preserve">591 20214332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張：辦公區、吧檯茶水區、戶外露台，沒有拍廁所。需現勘。</t>
    </r>
  </si>
  <si>
    <t xml:space="preserve">平面式</t>
  </si>
  <si>
    <r>
      <rPr>
        <sz val="10"/>
        <color rgb="FF000000"/>
        <rFont val="Arial"/>
        <family val="0"/>
        <charset val="1"/>
      </rPr>
      <t xml:space="preserve">591 20214332</t>
    </r>
    <r>
      <rPr>
        <sz val="10"/>
        <color rgb="FF000000"/>
        <rFont val="Noto Sans CJK SC"/>
        <family val="2"/>
      </rPr>
      <t xml:space="preserve">（尚揚 陳先生）、</t>
    </r>
    <r>
      <rPr>
        <sz val="10"/>
        <color rgb="FF000000"/>
        <rFont val="Arial"/>
        <family val="0"/>
        <charset val="1"/>
      </rPr>
      <t xml:space="preserve">21980734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21234693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21588975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21788512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22020729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22019214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21939596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21553405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21804380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21867832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</si>
  <si>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591 20214332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25.0452963, 121.5244289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</si>
  <si>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591 21985150 </t>
    </r>
    <r>
      <rPr>
        <sz val="10"/>
        <color rgb="FF000000"/>
        <rFont val="Noto Sans CJK SC"/>
        <family val="2"/>
      </rPr>
      <t xml:space="preserve">標題「使用約</t>
    </r>
    <r>
      <rPr>
        <sz val="10"/>
        <color rgb="FF000000"/>
        <rFont val="Arial"/>
        <family val="0"/>
        <charset val="1"/>
      </rPr>
      <t xml:space="preserve">226</t>
    </r>
    <r>
      <rPr>
        <sz val="10"/>
        <color rgb="FF000000"/>
        <rFont val="Noto Sans CJK SC"/>
        <family val="2"/>
      </rPr>
      <t xml:space="preserve">坪」（仲介口述，無謄本分項）；</t>
    </r>
    <r>
      <rPr>
        <sz val="10"/>
        <color rgb="FF000000"/>
        <rFont val="Arial"/>
        <family val="0"/>
        <charset val="1"/>
      </rPr>
      <t xml:space="preserve">21595066 </t>
    </r>
    <r>
      <rPr>
        <sz val="10"/>
        <color rgb="FF000000"/>
        <rFont val="Noto Sans CJK SC"/>
        <family val="2"/>
      </rPr>
      <t xml:space="preserve">寫</t>
    </r>
    <r>
      <rPr>
        <sz val="10"/>
        <color rgb="FF000000"/>
        <rFont val="Arial"/>
        <family val="0"/>
        <charset val="1"/>
      </rPr>
      <t xml:space="preserve">255.18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</si>
  <si>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Arial"/>
        <family val="0"/>
        <charset val="1"/>
      </rPr>
      <t xml:space="preserve">591 21985150</t>
    </r>
    <r>
      <rPr>
        <sz val="10"/>
        <color rgb="FF000000"/>
        <rFont val="Noto Sans CJK SC"/>
        <family val="2"/>
      </rPr>
      <t xml:space="preserve">（弘浥 張先生）、</t>
    </r>
    <r>
      <rPr>
        <sz val="10"/>
        <color rgb="FF000000"/>
        <rFont val="Arial"/>
        <family val="0"/>
        <charset val="1"/>
      </rPr>
      <t xml:space="preserve">21595066</t>
    </r>
    <r>
      <rPr>
        <sz val="10"/>
        <color rgb="FF000000"/>
        <rFont val="Noto Sans CJK SC"/>
        <family val="2"/>
      </rPr>
      <t xml:space="preserve">（兆淇 童先生）、</t>
    </r>
    <r>
      <rPr>
        <sz val="10"/>
        <color rgb="FF000000"/>
        <rFont val="Arial"/>
        <family val="0"/>
        <charset val="1"/>
      </rPr>
      <t xml:space="preserve">21812612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21635522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591 21812612</t>
    </r>
    <r>
      <rPr>
        <sz val="10"/>
        <color rgb="FF000000"/>
        <rFont val="Noto Sans CJK SC"/>
        <family val="2"/>
      </rPr>
      <t xml:space="preserve">（易信 王先生 </t>
    </r>
    <r>
      <rPr>
        <sz val="10"/>
        <color rgb="FF000000"/>
        <rFont val="Arial"/>
        <family val="0"/>
        <charset val="1"/>
      </rPr>
      <t xml:space="preserve">0955-866-400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255</t>
    </r>
    <r>
      <rPr>
        <sz val="10"/>
        <color rgb="FF000000"/>
        <rFont val="Noto Sans CJK SC"/>
        <family val="2"/>
      </rPr>
      <t xml:space="preserve">坪權狀、</t>
    </r>
    <r>
      <rPr>
        <sz val="10"/>
        <color rgb="FF000000"/>
        <rFont val="Arial"/>
        <family val="0"/>
        <charset val="1"/>
      </rPr>
      <t xml:space="preserve">483,395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</si>
  <si>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591 21985150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25.0588777, 121.531561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</si>
  <si>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信義 </t>
    </r>
    <r>
      <rPr>
        <sz val="10"/>
        <color rgb="FF000000"/>
        <rFont val="Arial"/>
        <family val="0"/>
        <charset val="1"/>
      </rPr>
      <t xml:space="preserve">CZ05587</t>
    </r>
    <r>
      <rPr>
        <sz val="10"/>
        <color rgb="FF000000"/>
        <rFont val="Noto Sans CJK SC"/>
        <family val="2"/>
      </rPr>
      <t xml:space="preserve">：整筆權狀</t>
    </r>
    <r>
      <rPr>
        <sz val="10"/>
        <color rgb="FF000000"/>
        <rFont val="Arial"/>
        <family val="0"/>
        <charset val="1"/>
      </rPr>
      <t xml:space="preserve">786.72</t>
    </r>
    <r>
      <rPr>
        <sz val="10"/>
        <color rgb="FF000000"/>
        <rFont val="Noto Sans CJK SC"/>
        <family val="2"/>
      </rPr>
      <t xml:space="preserve">、主</t>
    </r>
    <r>
      <rPr>
        <sz val="10"/>
        <color rgb="FF000000"/>
        <rFont val="Arial"/>
        <family val="0"/>
        <charset val="1"/>
      </rPr>
      <t xml:space="preserve">322.97</t>
    </r>
    <r>
      <rPr>
        <sz val="10"/>
        <color rgb="FF000000"/>
        <rFont val="Noto Sans CJK SC"/>
        <family val="2"/>
      </rPr>
      <t xml:space="preserve">＋附</t>
    </r>
    <r>
      <rPr>
        <sz val="10"/>
        <color rgb="FF000000"/>
        <rFont val="Arial"/>
        <family val="0"/>
        <charset val="1"/>
      </rPr>
      <t xml:space="preserve">12.15</t>
    </r>
    <r>
      <rPr>
        <sz val="10"/>
        <color rgb="FF000000"/>
        <rFont val="Noto Sans CJK SC"/>
        <family val="2"/>
      </rPr>
      <t xml:space="preserve">（整筆，數字異常），出租部分實坪未寫</t>
    </r>
  </si>
  <si>
    <r>
      <rPr>
        <sz val="10"/>
        <color rgb="FF000000"/>
        <rFont val="Noto Sans CJK SC"/>
        <family val="2"/>
      </rPr>
      <t xml:space="preserve">信義房屋 </t>
    </r>
    <r>
      <rPr>
        <sz val="10"/>
        <color rgb="FF000000"/>
        <rFont val="Arial"/>
        <family val="0"/>
        <charset val="1"/>
      </rPr>
      <t xml:space="preserve">CZ05587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591 20991786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22053377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21808787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21595262</t>
    </r>
  </si>
  <si>
    <r>
      <rPr>
        <sz val="10"/>
        <color rgb="FF000000"/>
        <rFont val="Noto Sans CJK SC"/>
        <family val="2"/>
      </rPr>
      <t xml:space="preserve">物件頁座標：信義全球物件座標（</t>
    </r>
    <r>
      <rPr>
        <sz val="10"/>
        <color rgb="FF000000"/>
        <rFont val="Arial"/>
        <family val="0"/>
        <charset val="1"/>
      </rPr>
      <t xml:space="preserve">25.046277, 121.540437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</si>
  <si>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只寫「使用坪數</t>
    </r>
    <r>
      <rPr>
        <sz val="10"/>
        <color rgb="FF000000"/>
        <rFont val="Arial"/>
        <family val="0"/>
        <charset val="1"/>
      </rPr>
      <t xml:space="preserve">253</t>
    </r>
    <r>
      <rPr>
        <sz val="10"/>
        <color rgb="FF000000"/>
        <rFont val="Noto Sans CJK SC"/>
        <family val="2"/>
      </rPr>
      <t xml:space="preserve">坪」，無分項</t>
    </r>
  </si>
  <si>
    <r>
      <rPr>
        <sz val="10"/>
        <color rgb="FF000000"/>
        <rFont val="Arial"/>
        <family val="0"/>
        <charset val="1"/>
      </rPr>
      <t xml:space="preserve">591 22061922</t>
    </r>
    <r>
      <rPr>
        <sz val="10"/>
        <color rgb="FF000000"/>
        <rFont val="Noto Sans CJK SC"/>
        <family val="2"/>
      </rPr>
      <t xml:space="preserve">（易信 王先生）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</si>
  <si>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591 22061922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25.0545594, 121.5342379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</si>
  <si>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原文「廣告坪數為權狀坪數」；公設比需≤</t>
    </r>
    <r>
      <rPr>
        <sz val="10"/>
        <color rgb="FF000000"/>
        <rFont val="Arial"/>
        <family val="0"/>
        <charset val="1"/>
      </rPr>
      <t xml:space="preserve">9.5%</t>
    </r>
    <r>
      <rPr>
        <sz val="10"/>
        <color rgb="FF000000"/>
        <rFont val="Noto Sans CJK SC"/>
        <family val="2"/>
      </rPr>
      <t xml:space="preserve">才可能達</t>
    </r>
    <r>
      <rPr>
        <sz val="10"/>
        <color rgb="FF000000"/>
        <rFont val="Arial"/>
        <family val="0"/>
        <charset val="1"/>
      </rPr>
      <t xml:space="preserve">220</t>
    </r>
  </si>
  <si>
    <r>
      <rPr>
        <sz val="10"/>
        <color rgb="FF000000"/>
        <rFont val="Arial"/>
        <family val="0"/>
        <charset val="1"/>
      </rPr>
      <t xml:space="preserve">591 22061968</t>
    </r>
    <r>
      <rPr>
        <sz val="10"/>
        <color rgb="FF000000"/>
        <rFont val="Noto Sans CJK SC"/>
        <family val="2"/>
      </rPr>
      <t xml:space="preserve">（易信 王先生）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</si>
  <si>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591 22061968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25.0510453, 121.5640687</t>
    </r>
    <r>
      <rPr>
        <sz val="10"/>
        <color rgb="FF000000"/>
        <rFont val="Noto Sans CJK SC"/>
        <family val="2"/>
      </rPr>
      <t xml:space="preserve">）</t>
    </r>
  </si>
  <si>
    <t xml:space="preserve">N19</t>
  </si>
  <si>
    <t xml:space="preserve">信義大樓 5F</t>
  </si>
  <si>
    <t xml:space="preserve">松仁路</t>
  </si>
  <si>
    <t xml:space="preserve">5F/23F</t>
  </si>
  <si>
    <r>
      <rPr>
        <sz val="10"/>
        <color rgb="FF000000"/>
        <rFont val="Noto Sans CJK SC"/>
        <family val="2"/>
      </rPr>
      <t xml:space="preserve">信義 </t>
    </r>
    <r>
      <rPr>
        <sz val="10"/>
        <color rgb="FF000000"/>
        <rFont val="Arial"/>
        <family val="0"/>
        <charset val="1"/>
      </rPr>
      <t xml:space="preserve">C905082</t>
    </r>
    <r>
      <rPr>
        <sz val="10"/>
        <color rgb="FF000000"/>
        <rFont val="Noto Sans CJK SC"/>
        <family val="2"/>
      </rPr>
      <t xml:space="preserve">：主</t>
    </r>
    <r>
      <rPr>
        <sz val="10"/>
        <color rgb="FF000000"/>
        <rFont val="Arial"/>
        <family val="0"/>
        <charset val="1"/>
      </rPr>
      <t xml:space="preserve">264.78</t>
    </r>
    <r>
      <rPr>
        <sz val="10"/>
        <color rgb="FF000000"/>
        <rFont val="Noto Sans CJK SC"/>
        <family val="2"/>
      </rPr>
      <t xml:space="preserve">＋附</t>
    </r>
    <r>
      <rPr>
        <sz val="10"/>
        <color rgb="FF000000"/>
        <rFont val="Arial"/>
        <family val="0"/>
        <charset val="1"/>
      </rPr>
      <t xml:space="preserve">35.76</t>
    </r>
  </si>
  <si>
    <r>
      <rPr>
        <sz val="10"/>
        <color rgb="FF000000"/>
        <rFont val="Arial"/>
        <family val="0"/>
        <charset val="1"/>
      </rPr>
      <t xml:space="preserve">561,714</t>
    </r>
    <r>
      <rPr>
        <sz val="10"/>
        <color rgb="FF000000"/>
        <rFont val="Noto Sans CJK SC"/>
        <family val="2"/>
      </rPr>
      <t xml:space="preserve">（信義刊登）</t>
    </r>
  </si>
  <si>
    <r>
      <rPr>
        <sz val="10"/>
        <color rgb="FF000000"/>
        <rFont val="Noto Sans CJK SC"/>
        <family val="2"/>
      </rPr>
      <t xml:space="preserve">不符：月租</t>
    </r>
    <r>
      <rPr>
        <sz val="10"/>
        <color rgb="FF000000"/>
        <rFont val="Arial"/>
        <family val="0"/>
        <charset val="1"/>
      </rPr>
      <t xml:space="preserve">561,714</t>
    </r>
    <r>
      <rPr>
        <sz val="10"/>
        <color rgb="FF000000"/>
        <rFont val="Noto Sans CJK SC"/>
        <family val="2"/>
      </rPr>
      <t xml:space="preserve">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</t>
    </r>
  </si>
  <si>
    <t xml:space="preserve">稅別未寫</t>
  </si>
  <si>
    <r>
      <rPr>
        <sz val="10"/>
        <color rgb="FF000000"/>
        <rFont val="Noto Sans CJK SC"/>
        <family val="2"/>
      </rPr>
      <t xml:space="preserve">同棟廁所新：同棟 </t>
    </r>
    <r>
      <rPr>
        <sz val="10"/>
        <color rgb="FF000000"/>
        <rFont val="Arial"/>
        <family val="0"/>
        <charset val="1"/>
      </rPr>
      <t xml:space="preserve">10F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21F </t>
    </r>
    <r>
      <rPr>
        <sz val="10"/>
        <color rgb="FF000000"/>
        <rFont val="Noto Sans CJK SC"/>
        <family val="2"/>
      </rPr>
      <t xml:space="preserve">廁所為新裝修；本層未另拍。</t>
    </r>
  </si>
  <si>
    <r>
      <rPr>
        <sz val="10"/>
        <color rgb="FF000000"/>
        <rFont val="Noto Sans CJK SC"/>
        <family val="2"/>
      </rPr>
      <t xml:space="preserve">屋齡</t>
    </r>
    <r>
      <rPr>
        <sz val="10"/>
        <color rgb="FF000000"/>
        <rFont val="Arial"/>
        <family val="0"/>
        <charset val="1"/>
      </rPr>
      <t xml:space="preserve">29.2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</si>
  <si>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信義房屋 </t>
    </r>
    <r>
      <rPr>
        <sz val="10"/>
        <color rgb="FF000000"/>
        <rFont val="Arial"/>
        <family val="0"/>
        <charset val="1"/>
      </rPr>
      <t xml:space="preserve">C905082</t>
    </r>
  </si>
  <si>
    <r>
      <rPr>
        <sz val="10"/>
        <color rgb="FF000000"/>
        <rFont val="Noto Sans CJK SC"/>
        <family val="2"/>
      </rPr>
      <t xml:space="preserve">信義 許雅傑 </t>
    </r>
    <r>
      <rPr>
        <sz val="10"/>
        <color rgb="FF000000"/>
        <rFont val="Arial"/>
        <family val="0"/>
        <charset val="1"/>
      </rPr>
      <t xml:space="preserve">0966-513-725</t>
    </r>
  </si>
  <si>
    <t xml:space="preserve">N20</t>
  </si>
  <si>
    <t xml:space="preserve">信義大樓 9F</t>
  </si>
  <si>
    <t xml:space="preserve">9F/23F</t>
  </si>
  <si>
    <r>
      <rPr>
        <sz val="10"/>
        <color rgb="FF000000"/>
        <rFont val="Noto Sans CJK SC"/>
        <family val="2"/>
      </rPr>
      <t xml:space="preserve">信義 </t>
    </r>
    <r>
      <rPr>
        <sz val="10"/>
        <color rgb="FF000000"/>
        <rFont val="Arial"/>
        <family val="0"/>
        <charset val="1"/>
      </rPr>
      <t xml:space="preserve">C904199</t>
    </r>
    <r>
      <rPr>
        <sz val="10"/>
        <color rgb="FF000000"/>
        <rFont val="Noto Sans CJK SC"/>
        <family val="2"/>
      </rPr>
      <t xml:space="preserve">：主</t>
    </r>
    <r>
      <rPr>
        <sz val="10"/>
        <color rgb="FF000000"/>
        <rFont val="Arial"/>
        <family val="0"/>
        <charset val="1"/>
      </rPr>
      <t xml:space="preserve">249.55</t>
    </r>
    <r>
      <rPr>
        <sz val="10"/>
        <color rgb="FF000000"/>
        <rFont val="Noto Sans CJK SC"/>
        <family val="2"/>
      </rPr>
      <t xml:space="preserve">＋附</t>
    </r>
    <r>
      <rPr>
        <sz val="10"/>
        <color rgb="FF000000"/>
        <rFont val="Arial"/>
        <family val="0"/>
        <charset val="1"/>
      </rPr>
      <t xml:space="preserve">50.89</t>
    </r>
  </si>
  <si>
    <r>
      <rPr>
        <sz val="10"/>
        <color rgb="FF000000"/>
        <rFont val="Arial"/>
        <family val="0"/>
        <charset val="1"/>
      </rPr>
      <t xml:space="preserve">577,885</t>
    </r>
    <r>
      <rPr>
        <sz val="10"/>
        <color rgb="FF000000"/>
        <rFont val="Noto Sans CJK SC"/>
        <family val="2"/>
      </rPr>
      <t xml:space="preserve">（信義刊登）</t>
    </r>
  </si>
  <si>
    <r>
      <rPr>
        <sz val="10"/>
        <color rgb="FF000000"/>
        <rFont val="Noto Sans CJK SC"/>
        <family val="2"/>
      </rPr>
      <t xml:space="preserve">不符：月租</t>
    </r>
    <r>
      <rPr>
        <sz val="10"/>
        <color rgb="FF000000"/>
        <rFont val="Arial"/>
        <family val="0"/>
        <charset val="1"/>
      </rPr>
      <t xml:space="preserve">577,885</t>
    </r>
    <r>
      <rPr>
        <sz val="10"/>
        <color rgb="FF000000"/>
        <rFont val="Noto Sans CJK SC"/>
        <family val="2"/>
      </rPr>
      <t xml:space="preserve">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</t>
    </r>
  </si>
  <si>
    <r>
      <rPr>
        <sz val="10"/>
        <color rgb="FF000000"/>
        <rFont val="Noto Sans CJK SC"/>
        <family val="2"/>
      </rPr>
      <t xml:space="preserve">屋齡</t>
    </r>
    <r>
      <rPr>
        <sz val="10"/>
        <color rgb="FF000000"/>
        <rFont val="Arial"/>
        <family val="0"/>
        <charset val="1"/>
      </rPr>
      <t xml:space="preserve">28.2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</si>
  <si>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信義房屋 </t>
    </r>
    <r>
      <rPr>
        <sz val="10"/>
        <color rgb="FF000000"/>
        <rFont val="Arial"/>
        <family val="0"/>
        <charset val="1"/>
      </rPr>
      <t xml:space="preserve">C904199</t>
    </r>
  </si>
  <si>
    <t xml:space="preserve">S14</t>
  </si>
  <si>
    <t xml:space="preserve">復興南路稀有大空間地下室 B1</t>
  </si>
  <si>
    <t xml:space="preserve">復興南路一段</t>
  </si>
  <si>
    <t xml:space="preserve">B1/7F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</si>
  <si>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256.87</t>
    </r>
  </si>
  <si>
    <r>
      <rPr>
        <sz val="10"/>
        <color rgb="FF000000"/>
        <rFont val="Arial"/>
        <family val="0"/>
        <charset val="1"/>
      </rPr>
      <t xml:space="preserve">300,000</t>
    </r>
    <r>
      <rPr>
        <sz val="10"/>
        <color rgb="FF000000"/>
        <rFont val="Noto Sans CJK SC"/>
        <family val="2"/>
      </rPr>
      <t xml:space="preserve">（含稅）</t>
    </r>
  </si>
  <si>
    <r>
      <rPr>
        <sz val="10"/>
        <color rgb="FF000000"/>
        <rFont val="Noto Sans CJK SC"/>
        <family val="2"/>
      </rPr>
      <t xml:space="preserve">不符：地下室／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樓</t>
    </r>
  </si>
  <si>
    <t xml:space="preserve">未檢視：本案不符合條件，本輪未逐張檢視廁所照片；如需要可補看。</t>
  </si>
  <si>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年</t>
    </r>
  </si>
  <si>
    <t xml:space="preserve">信義房屋</t>
  </si>
  <si>
    <r>
      <rPr>
        <sz val="10"/>
        <color rgb="FF000000"/>
        <rFont val="Noto Sans CJK SC"/>
        <family val="2"/>
      </rPr>
      <t xml:space="preserve">信義房屋 和平店 傅椿淵 </t>
    </r>
    <r>
      <rPr>
        <sz val="10"/>
        <color rgb="FF000000"/>
        <rFont val="Arial"/>
        <family val="0"/>
        <charset val="1"/>
      </rPr>
      <t xml:space="preserve">0988-100-122</t>
    </r>
  </si>
  <si>
    <t xml:space="preserve">信義 本戶·5張照片（C348029）</t>
  </si>
  <si>
    <r>
      <rPr>
        <sz val="10"/>
        <color rgb="FF000000"/>
        <rFont val="Noto Sans CJK SC"/>
        <family val="2"/>
      </rPr>
      <t xml:space="preserve">物件頁座標：信義全球物件座標（</t>
    </r>
    <r>
      <rPr>
        <sz val="10"/>
        <color rgb="FF000000"/>
        <rFont val="Arial"/>
        <family val="0"/>
        <charset val="1"/>
      </rPr>
      <t xml:space="preserve">25.0436965, 121.5455521</t>
    </r>
    <r>
      <rPr>
        <sz val="10"/>
        <color rgb="FF000000"/>
        <rFont val="Noto Sans CJK SC"/>
        <family val="2"/>
      </rPr>
      <t xml:space="preserve">）</t>
    </r>
  </si>
  <si>
    <t xml:space="preserve">N18</t>
  </si>
  <si>
    <t xml:space="preserve">新設工大樓 6C（中山北路三段）</t>
  </si>
  <si>
    <r>
      <rPr>
        <sz val="10"/>
        <color rgb="FF000000"/>
        <rFont val="Noto Sans CJK SC"/>
        <family val="2"/>
      </rPr>
      <t xml:space="preserve">中山北路三段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號之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</si>
  <si>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原文「權狀面積</t>
    </r>
    <r>
      <rPr>
        <sz val="10"/>
        <color rgb="FF000000"/>
        <rFont val="Arial"/>
        <family val="0"/>
        <charset val="1"/>
      </rPr>
      <t xml:space="preserve">353.16</t>
    </r>
    <r>
      <rPr>
        <sz val="10"/>
        <color rgb="FF000000"/>
        <rFont val="Noto Sans CJK SC"/>
        <family val="2"/>
      </rPr>
      <t xml:space="preserve">坪，淨面積</t>
    </r>
    <r>
      <rPr>
        <sz val="10"/>
        <color rgb="FF000000"/>
        <rFont val="Arial"/>
        <family val="0"/>
        <charset val="1"/>
      </rPr>
      <t xml:space="preserve">234.22</t>
    </r>
    <r>
      <rPr>
        <sz val="10"/>
        <color rgb="FF000000"/>
        <rFont val="Noto Sans CJK SC"/>
        <family val="2"/>
      </rPr>
      <t xml:space="preserve">坪」</t>
    </r>
  </si>
  <si>
    <r>
      <rPr>
        <sz val="10"/>
        <color rgb="FF000000"/>
        <rFont val="Arial"/>
        <family val="0"/>
        <charset val="1"/>
      </rPr>
      <t xml:space="preserve">547,398 </t>
    </r>
    <r>
      <rPr>
        <sz val="10"/>
        <color rgb="FF000000"/>
        <rFont val="Noto Sans CJK SC"/>
        <family val="2"/>
      </rPr>
      <t xml:space="preserve">未稅（</t>
    </r>
    <r>
      <rPr>
        <sz val="10"/>
        <color rgb="FF000000"/>
        <rFont val="Arial"/>
        <family val="0"/>
        <charset val="1"/>
      </rPr>
      <t xml:space="preserve">1,550/</t>
    </r>
    <r>
      <rPr>
        <sz val="10"/>
        <color rgb="FF000000"/>
        <rFont val="Noto Sans CJK SC"/>
        <family val="2"/>
      </rPr>
      <t xml:space="preserve">坪）→ 含稅 </t>
    </r>
    <r>
      <rPr>
        <sz val="10"/>
        <color rgb="FF000000"/>
        <rFont val="Arial"/>
        <family val="0"/>
        <charset val="1"/>
      </rPr>
      <t xml:space="preserve">574,768</t>
    </r>
  </si>
  <si>
    <r>
      <rPr>
        <sz val="10"/>
        <color rgb="FF000000"/>
        <rFont val="Noto Sans CJK SC"/>
        <family val="2"/>
      </rPr>
      <t xml:space="preserve">不符：月租</t>
    </r>
    <r>
      <rPr>
        <sz val="10"/>
        <color rgb="FF000000"/>
        <rFont val="Arial"/>
        <family val="0"/>
        <charset val="1"/>
      </rPr>
      <t xml:space="preserve">574,768</t>
    </r>
    <r>
      <rPr>
        <sz val="10"/>
        <color rgb="FF000000"/>
        <rFont val="Noto Sans CJK SC"/>
        <family val="2"/>
      </rPr>
      <t xml:space="preserve">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</t>
    </r>
  </si>
  <si>
    <t xml:space="preserve">不含</t>
  </si>
  <si>
    <r>
      <rPr>
        <sz val="10"/>
        <color rgb="FF000000"/>
        <rFont val="Arial"/>
        <family val="0"/>
        <charset val="1"/>
      </rPr>
      <t xml:space="preserve">591 21672889</t>
    </r>
    <r>
      <rPr>
        <sz val="10"/>
        <color rgb="FF000000"/>
        <rFont val="Noto Sans CJK SC"/>
        <family val="2"/>
      </rPr>
      <t xml:space="preserve">（大同開發 林副理）</t>
    </r>
  </si>
  <si>
    <r>
      <rPr>
        <sz val="10"/>
        <color rgb="FF000000"/>
        <rFont val="Noto Sans CJK SC"/>
        <family val="2"/>
      </rPr>
      <t xml:space="preserve">大同開發 林副理 </t>
    </r>
    <r>
      <rPr>
        <sz val="10"/>
        <color rgb="FF000000"/>
        <rFont val="Arial"/>
        <family val="0"/>
        <charset val="1"/>
      </rPr>
      <t xml:space="preserve">02-25925252#2781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0911-033-078</t>
    </r>
  </si>
  <si>
    <t xml:space="preserve">無座標；依門牌搜尋</t>
  </si>
  <si>
    <t xml:space="preserve">N21</t>
  </si>
  <si>
    <t xml:space="preserve">信義大樓 22F</t>
  </si>
  <si>
    <t xml:space="preserve">22F/23F</t>
  </si>
  <si>
    <r>
      <rPr>
        <sz val="10"/>
        <color rgb="FF000000"/>
        <rFont val="Noto Sans CJK SC"/>
        <family val="2"/>
      </rPr>
      <t xml:space="preserve">信義 </t>
    </r>
    <r>
      <rPr>
        <sz val="10"/>
        <color rgb="FF000000"/>
        <rFont val="Arial"/>
        <family val="0"/>
        <charset val="1"/>
      </rPr>
      <t xml:space="preserve">C904442</t>
    </r>
    <r>
      <rPr>
        <sz val="10"/>
        <color rgb="FF000000"/>
        <rFont val="Noto Sans CJK SC"/>
        <family val="2"/>
      </rPr>
      <t xml:space="preserve">：主</t>
    </r>
    <r>
      <rPr>
        <sz val="10"/>
        <color rgb="FF000000"/>
        <rFont val="Arial"/>
        <family val="0"/>
        <charset val="1"/>
      </rPr>
      <t xml:space="preserve">152.65</t>
    </r>
    <r>
      <rPr>
        <sz val="10"/>
        <color rgb="FF000000"/>
        <rFont val="Noto Sans CJK SC"/>
        <family val="2"/>
      </rPr>
      <t xml:space="preserve">＋附</t>
    </r>
    <r>
      <rPr>
        <sz val="10"/>
        <color rgb="FF000000"/>
        <rFont val="Arial"/>
        <family val="0"/>
        <charset val="1"/>
      </rPr>
      <t xml:space="preserve">68.40</t>
    </r>
  </si>
  <si>
    <r>
      <rPr>
        <sz val="10"/>
        <color rgb="FF000000"/>
        <rFont val="Arial"/>
        <family val="0"/>
        <charset val="1"/>
      </rPr>
      <t xml:space="preserve">595,424</t>
    </r>
    <r>
      <rPr>
        <sz val="10"/>
        <color rgb="FF000000"/>
        <rFont val="Noto Sans CJK SC"/>
        <family val="2"/>
      </rPr>
      <t xml:space="preserve">（信義刊登）</t>
    </r>
  </si>
  <si>
    <r>
      <rPr>
        <sz val="10"/>
        <color rgb="FF000000"/>
        <rFont val="Noto Sans CJK SC"/>
        <family val="2"/>
      </rPr>
      <t xml:space="preserve">不符：月租</t>
    </r>
    <r>
      <rPr>
        <sz val="10"/>
        <color rgb="FF000000"/>
        <rFont val="Arial"/>
        <family val="0"/>
        <charset val="1"/>
      </rPr>
      <t xml:space="preserve">595,424</t>
    </r>
    <r>
      <rPr>
        <sz val="10"/>
        <color rgb="FF000000"/>
        <rFont val="Noto Sans CJK SC"/>
        <family val="2"/>
      </rPr>
      <t xml:space="preserve">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</t>
    </r>
  </si>
  <si>
    <r>
      <rPr>
        <sz val="10"/>
        <color rgb="FF000000"/>
        <rFont val="Noto Sans CJK SC"/>
        <family val="2"/>
      </rPr>
      <t xml:space="preserve">信義房屋 </t>
    </r>
    <r>
      <rPr>
        <sz val="10"/>
        <color rgb="FF000000"/>
        <rFont val="Arial"/>
        <family val="0"/>
        <charset val="1"/>
      </rPr>
      <t xml:space="preserve">C904442</t>
    </r>
  </si>
  <si>
    <t xml:space="preserve">S04</t>
  </si>
  <si>
    <t xml:space="preserve">光復南路大坪數辦公 6F</t>
  </si>
  <si>
    <t xml:space="preserve">光復南路</t>
  </si>
  <si>
    <t xml:space="preserve">6F/11F</t>
  </si>
  <si>
    <r>
      <rPr>
        <sz val="10"/>
        <color rgb="FF000000"/>
        <rFont val="Noto Sans CJK SC"/>
        <family val="2"/>
      </rPr>
      <t xml:space="preserve">尚揚物調表：主建物＋附屬</t>
    </r>
    <r>
      <rPr>
        <sz val="10"/>
        <color rgb="FF000000"/>
        <rFont val="Arial"/>
        <family val="0"/>
        <charset val="1"/>
      </rPr>
      <t xml:space="preserve">211.38</t>
    </r>
    <r>
      <rPr>
        <sz val="10"/>
        <color rgb="FF000000"/>
        <rFont val="Noto Sans CJK SC"/>
        <family val="2"/>
      </rPr>
      <t xml:space="preserve">（分割戶）</t>
    </r>
  </si>
  <si>
    <r>
      <rPr>
        <sz val="10"/>
        <color rgb="FF000000"/>
        <rFont val="Arial"/>
        <family val="0"/>
        <charset val="1"/>
      </rPr>
      <t xml:space="preserve">401,622 </t>
    </r>
    <r>
      <rPr>
        <sz val="10"/>
        <color rgb="FF000000"/>
        <rFont val="Noto Sans CJK SC"/>
        <family val="2"/>
      </rPr>
      <t xml:space="preserve">含稅（尚揚物調表）；信義 </t>
    </r>
    <r>
      <rPr>
        <sz val="10"/>
        <color rgb="FF000000"/>
        <rFont val="Arial"/>
        <family val="0"/>
        <charset val="1"/>
      </rPr>
      <t xml:space="preserve">388,500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</si>
  <si>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211.38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8.6</t>
    </r>
    <r>
      <rPr>
        <sz val="10"/>
        <color rgb="FF000000"/>
        <rFont val="Noto Sans CJK SC"/>
        <family val="2"/>
      </rPr>
      <t xml:space="preserve">坪）</t>
    </r>
  </si>
  <si>
    <t xml:space="preserve">廁所無照片：尚揚照片為毛胚（天花未封、水泥地），沒有拍廁所。</t>
  </si>
  <si>
    <r>
      <rPr>
        <sz val="10"/>
        <color rgb="FF000000"/>
        <rFont val="Arial"/>
        <family val="0"/>
        <charset val="1"/>
      </rPr>
      <t xml:space="preserve">51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</si>
  <si>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可另租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年租</t>
    </r>
    <r>
      <rPr>
        <sz val="10"/>
        <color rgb="FF000000"/>
        <rFont val="Arial"/>
        <family val="0"/>
        <charset val="1"/>
      </rPr>
      <t xml:space="preserve">2.4</t>
    </r>
    <r>
      <rPr>
        <sz val="10"/>
        <color rgb="FF000000"/>
        <rFont val="Noto Sans CJK SC"/>
        <family val="2"/>
      </rPr>
      <t xml:space="preserve">萬≈</t>
    </r>
    <r>
      <rPr>
        <sz val="10"/>
        <color rgb="FF000000"/>
        <rFont val="Arial"/>
        <family val="0"/>
        <charset val="1"/>
      </rPr>
      <t xml:space="preserve">2,000/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</si>
  <si>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尚揚物調表（光復大樓</t>
    </r>
    <r>
      <rPr>
        <sz val="10"/>
        <color rgb="FF000000"/>
        <rFont val="Arial"/>
        <family val="0"/>
        <charset val="1"/>
      </rPr>
      <t xml:space="preserve">6F</t>
    </r>
    <r>
      <rPr>
        <sz val="10"/>
        <color rgb="FF000000"/>
        <rFont val="Noto Sans CJK SC"/>
        <family val="2"/>
      </rPr>
      <t xml:space="preserve">分割，光復南路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號）；信義 </t>
    </r>
    <r>
      <rPr>
        <sz val="10"/>
        <color rgb="FF000000"/>
        <rFont val="Arial"/>
        <family val="0"/>
        <charset val="1"/>
      </rPr>
      <t xml:space="preserve">C328671</t>
    </r>
  </si>
  <si>
    <r>
      <rPr>
        <sz val="10"/>
        <color rgb="FF000000"/>
        <rFont val="Noto Sans CJK SC"/>
        <family val="2"/>
      </rPr>
      <t xml:space="preserve">信義房屋 松江南京店 汪智凱 </t>
    </r>
    <r>
      <rPr>
        <sz val="10"/>
        <color rgb="FF000000"/>
        <rFont val="Arial"/>
        <family val="0"/>
        <charset val="1"/>
      </rPr>
      <t xml:space="preserve">0921-427-889</t>
    </r>
  </si>
  <si>
    <t xml:space="preserve">信義 本戶·19張照片（C328671）</t>
  </si>
  <si>
    <r>
      <rPr>
        <sz val="10"/>
        <color rgb="FF000000"/>
        <rFont val="Noto Sans CJK SC"/>
        <family val="2"/>
      </rPr>
      <t xml:space="preserve">物件頁座標：信義全球物件座標（</t>
    </r>
    <r>
      <rPr>
        <sz val="10"/>
        <color rgb="FF000000"/>
        <rFont val="Arial"/>
        <family val="0"/>
        <charset val="1"/>
      </rPr>
      <t xml:space="preserve">25.0465695, 121.5579704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</si>
  <si>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尚揚物調表：主建物</t>
    </r>
    <r>
      <rPr>
        <sz val="10"/>
        <color rgb="FF000000"/>
        <rFont val="Arial"/>
        <family val="0"/>
        <charset val="1"/>
      </rPr>
      <t xml:space="preserve">207.21</t>
    </r>
  </si>
  <si>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*</t>
    </r>
  </si>
  <si>
    <r>
      <rPr>
        <sz val="10"/>
        <color rgb="FF000000"/>
        <rFont val="Noto Sans CJK SC"/>
        <family val="2"/>
      </rPr>
      <t xml:space="preserve">坡平另租</t>
    </r>
    <r>
      <rPr>
        <sz val="10"/>
        <color rgb="FF000000"/>
        <rFont val="Arial"/>
        <family val="0"/>
        <charset val="1"/>
      </rPr>
      <t xml:space="preserve">8,000</t>
    </r>
  </si>
  <si>
    <r>
      <rPr>
        <sz val="10"/>
        <color rgb="FF000000"/>
        <rFont val="Noto Sans CJK SC"/>
        <family val="2"/>
      </rPr>
      <t xml:space="preserve">尚揚物調表（張正修）；</t>
    </r>
    <r>
      <rPr>
        <sz val="10"/>
        <color rgb="FF000000"/>
        <rFont val="Arial"/>
        <family val="0"/>
        <charset val="1"/>
      </rPr>
      <t xml:space="preserve">591 20880830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20380770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21711753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21643233</t>
    </r>
    <r>
      <rPr>
        <sz val="10"/>
        <color rgb="FF000000"/>
        <rFont val="Noto Sans CJK SC"/>
        <family val="2"/>
      </rPr>
      <t xml:space="preserve">（標題「使用約</t>
    </r>
    <r>
      <rPr>
        <sz val="10"/>
        <color rgb="FF000000"/>
        <rFont val="Arial"/>
        <family val="0"/>
        <charset val="1"/>
      </rPr>
      <t xml:space="preserve">207</t>
    </r>
    <r>
      <rPr>
        <sz val="10"/>
        <color rgb="FF000000"/>
        <rFont val="Noto Sans CJK SC"/>
        <family val="2"/>
      </rPr>
      <t xml:space="preserve">坪」）</t>
    </r>
  </si>
  <si>
    <t xml:space="preserve">591 疑同戶4F 220坪·星辰地產</t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</si>
  <si>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591 21711753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25.0587943, 121.5464862</t>
    </r>
    <r>
      <rPr>
        <sz val="10"/>
        <color rgb="FF000000"/>
        <rFont val="Noto Sans CJK SC"/>
        <family val="2"/>
      </rPr>
      <t xml:space="preserve">）</t>
    </r>
  </si>
  <si>
    <t xml:space="preserve">S15</t>
  </si>
  <si>
    <t xml:space="preserve">永春地下大空間店商辦 B1</t>
  </si>
  <si>
    <t xml:space="preserve">松德路</t>
  </si>
  <si>
    <t xml:space="preserve">B1/12F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</si>
  <si>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204.08</t>
    </r>
  </si>
  <si>
    <r>
      <rPr>
        <sz val="10"/>
        <color rgb="FF000000"/>
        <rFont val="Arial"/>
        <family val="0"/>
        <charset val="1"/>
      </rPr>
      <t xml:space="preserve">218,000</t>
    </r>
    <r>
      <rPr>
        <sz val="10"/>
        <color rgb="FF000000"/>
        <rFont val="Noto Sans CJK SC"/>
        <family val="2"/>
      </rPr>
      <t xml:space="preserve">（含稅）</t>
    </r>
  </si>
  <si>
    <t xml:space="preserve">永春</t>
  </si>
  <si>
    <r>
      <rPr>
        <sz val="10"/>
        <color rgb="FF000000"/>
        <rFont val="Noto Sans CJK SC"/>
        <family val="2"/>
      </rPr>
      <t xml:space="preserve">不符：地下室／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樓；實坪</t>
    </r>
    <r>
      <rPr>
        <sz val="10"/>
        <color rgb="FF000000"/>
        <rFont val="Arial"/>
        <family val="0"/>
        <charset val="1"/>
      </rPr>
      <t xml:space="preserve">204.08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15.9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</si>
  <si>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</si>
  <si>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個升降機械</t>
    </r>
  </si>
  <si>
    <r>
      <rPr>
        <sz val="10"/>
        <color rgb="FF000000"/>
        <rFont val="Noto Sans CJK SC"/>
        <family val="2"/>
      </rPr>
      <t xml:space="preserve">信義房屋 忠孝永春店 張超鈞 </t>
    </r>
    <r>
      <rPr>
        <sz val="10"/>
        <color rgb="FF000000"/>
        <rFont val="Arial"/>
        <family val="0"/>
        <charset val="1"/>
      </rPr>
      <t xml:space="preserve">0905-809-808</t>
    </r>
  </si>
  <si>
    <t xml:space="preserve">信義 本戶·18張照片（C360351）</t>
  </si>
  <si>
    <r>
      <rPr>
        <sz val="10"/>
        <color rgb="FF000000"/>
        <rFont val="Noto Sans CJK SC"/>
        <family val="2"/>
      </rPr>
      <t xml:space="preserve">物件頁座標：信義全球物件座標（</t>
    </r>
    <r>
      <rPr>
        <sz val="10"/>
        <color rgb="FF000000"/>
        <rFont val="Arial"/>
        <family val="0"/>
        <charset val="1"/>
      </rPr>
      <t xml:space="preserve">25.039575, 121.57748</t>
    </r>
    <r>
      <rPr>
        <sz val="10"/>
        <color rgb="FF000000"/>
        <rFont val="Noto Sans CJK SC"/>
        <family val="2"/>
      </rPr>
      <t xml:space="preserve">）</t>
    </r>
  </si>
  <si>
    <t xml:space="preserve">E</t>
  </si>
  <si>
    <t xml:space="preserve">國泰世華銀行大樓 6F</t>
  </si>
  <si>
    <r>
      <rPr>
        <sz val="10"/>
        <color rgb="FF000000"/>
        <rFont val="Noto Sans CJK SC"/>
        <family val="2"/>
      </rPr>
      <t xml:space="preserve">仁愛路四段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號</t>
    </r>
  </si>
  <si>
    <t xml:space="preserve">6F/14F(B2)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</si>
  <si>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203.79</t>
    </r>
  </si>
  <si>
    <r>
      <rPr>
        <sz val="10"/>
        <color rgb="FF000000"/>
        <rFont val="Arial"/>
        <family val="0"/>
        <charset val="1"/>
      </rPr>
      <t xml:space="preserve">502,211</t>
    </r>
    <r>
      <rPr>
        <sz val="10"/>
        <color rgb="FF000000"/>
        <rFont val="Noto Sans CJK SC"/>
        <family val="2"/>
      </rPr>
      <t xml:space="preserve">（含稅）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</si>
  <si>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203.79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16.2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</si>
  <si>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Arial"/>
        <family val="0"/>
        <charset val="1"/>
      </rPr>
      <t xml:space="preserve">43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</si>
  <si>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租金內含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坡平</t>
    </r>
    <r>
      <rPr>
        <sz val="10"/>
        <color rgb="FF000000"/>
        <rFont val="Arial"/>
        <family val="0"/>
        <charset val="1"/>
      </rPr>
      <t xml:space="preserve">+2</t>
    </r>
    <r>
      <rPr>
        <sz val="10"/>
        <color rgb="FF000000"/>
        <rFont val="Noto Sans CJK SC"/>
        <family val="2"/>
      </rPr>
      <t xml:space="preserve">機車位</t>
    </r>
  </si>
  <si>
    <t xml:space="preserve">物調表</t>
  </si>
  <si>
    <r>
      <rPr>
        <sz val="10"/>
        <color rgb="FF000000"/>
        <rFont val="Noto Sans CJK SC"/>
        <family val="2"/>
      </rPr>
      <t xml:space="preserve">尚揚國際 葉建成 </t>
    </r>
    <r>
      <rPr>
        <sz val="10"/>
        <color rgb="FF000000"/>
        <rFont val="Arial"/>
        <family val="0"/>
        <charset val="1"/>
      </rPr>
      <t xml:space="preserve">0973-894168</t>
    </r>
  </si>
  <si>
    <t xml:space="preserve">591 物件頁（同戶）</t>
  </si>
  <si>
    <r>
      <rPr>
        <sz val="10"/>
        <color rgb="FF000000"/>
        <rFont val="Noto Sans CJK SC"/>
        <family val="2"/>
      </rPr>
      <t xml:space="preserve">門牌定位：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地圖：仁愛路四段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號（</t>
    </r>
    <r>
      <rPr>
        <sz val="10"/>
        <color rgb="FF000000"/>
        <rFont val="Arial"/>
        <family val="0"/>
        <charset val="1"/>
      </rPr>
      <t xml:space="preserve">25.0382915, 121.5477716</t>
    </r>
    <r>
      <rPr>
        <sz val="10"/>
        <color rgb="FF000000"/>
        <rFont val="Noto Sans CJK SC"/>
        <family val="2"/>
      </rPr>
      <t xml:space="preserve">）</t>
    </r>
  </si>
  <si>
    <t xml:space="preserve">S03</t>
  </si>
  <si>
    <t xml:space="preserve">敦北長城大樓 3F</t>
  </si>
  <si>
    <r>
      <rPr>
        <sz val="10"/>
        <color rgb="FF000000"/>
        <rFont val="Noto Sans CJK SC"/>
        <family val="2"/>
      </rPr>
      <t xml:space="preserve">八德路三段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長城大樓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</si>
  <si>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尚揚物調表／信義 </t>
    </r>
    <r>
      <rPr>
        <sz val="10"/>
        <color rgb="FF000000"/>
        <rFont val="Arial"/>
        <family val="0"/>
        <charset val="1"/>
      </rPr>
      <t xml:space="preserve">CZ05326</t>
    </r>
    <r>
      <rPr>
        <sz val="10"/>
        <color rgb="FF000000"/>
        <rFont val="Noto Sans CJK SC"/>
        <family val="2"/>
      </rPr>
      <t xml:space="preserve">：主</t>
    </r>
    <r>
      <rPr>
        <sz val="10"/>
        <color rgb="FF000000"/>
        <rFont val="Arial"/>
        <family val="0"/>
        <charset val="1"/>
      </rPr>
      <t xml:space="preserve">189.31</t>
    </r>
    <r>
      <rPr>
        <sz val="10"/>
        <color rgb="FF000000"/>
        <rFont val="Noto Sans CJK SC"/>
        <family val="2"/>
      </rPr>
      <t xml:space="preserve">＋附</t>
    </r>
    <r>
      <rPr>
        <sz val="10"/>
        <color rgb="FF000000"/>
        <rFont val="Arial"/>
        <family val="0"/>
        <charset val="1"/>
      </rPr>
      <t xml:space="preserve">11.98</t>
    </r>
  </si>
  <si>
    <r>
      <rPr>
        <sz val="10"/>
        <color rgb="FF000000"/>
        <rFont val="Noto Sans CJK SC"/>
        <family val="2"/>
      </rPr>
      <t xml:space="preserve">信義 </t>
    </r>
    <r>
      <rPr>
        <sz val="10"/>
        <color rgb="FF000000"/>
        <rFont val="Arial"/>
        <family val="0"/>
        <charset val="1"/>
      </rPr>
      <t xml:space="preserve">474,500</t>
    </r>
    <r>
      <rPr>
        <sz val="10"/>
        <color rgb="FF000000"/>
        <rFont val="Noto Sans CJK SC"/>
        <family val="2"/>
      </rPr>
      <t xml:space="preserve">；尚揚物調表 </t>
    </r>
    <r>
      <rPr>
        <sz val="10"/>
        <color rgb="FF000000"/>
        <rFont val="Arial"/>
        <family val="0"/>
        <charset val="1"/>
      </rPr>
      <t xml:space="preserve">513,892 </t>
    </r>
    <r>
      <rPr>
        <sz val="10"/>
        <color rgb="FF000000"/>
        <rFont val="Noto Sans CJK SC"/>
        <family val="2"/>
      </rPr>
      <t xml:space="preserve">含稅（個人稅別）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</si>
  <si>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201.29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18.7</t>
    </r>
    <r>
      <rPr>
        <sz val="10"/>
        <color rgb="FF000000"/>
        <rFont val="Noto Sans CJK SC"/>
        <family val="2"/>
      </rPr>
      <t xml:space="preserve">坪）</t>
    </r>
  </si>
  <si>
    <t xml:space="preserve">廁所無照片：尚揚照片為現況裝潢（會議室、輕鋼架天花），沒有拍廁所；信義頁面寫「男女分廁」。</t>
  </si>
  <si>
    <r>
      <rPr>
        <sz val="10"/>
        <color rgb="FF000000"/>
        <rFont val="Arial"/>
        <family val="0"/>
        <charset val="1"/>
      </rPr>
      <t xml:space="preserve">34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</si>
  <si>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信義房屋 商仲一部 陳霆瑋 </t>
    </r>
    <r>
      <rPr>
        <sz val="10"/>
        <color rgb="FF000000"/>
        <rFont val="Arial"/>
        <family val="0"/>
        <charset val="1"/>
      </rPr>
      <t xml:space="preserve">0938-893-639</t>
    </r>
  </si>
  <si>
    <t xml:space="preserve">信義 本戶·21張照片（CZ05326）</t>
  </si>
  <si>
    <r>
      <rPr>
        <sz val="10"/>
        <color rgb="FF000000"/>
        <rFont val="Noto Sans CJK SC"/>
        <family val="2"/>
      </rPr>
      <t xml:space="preserve">物件頁座標：信義全球物件座標（</t>
    </r>
    <r>
      <rPr>
        <sz val="10"/>
        <color rgb="FF000000"/>
        <rFont val="Arial"/>
        <family val="0"/>
        <charset val="1"/>
      </rPr>
      <t xml:space="preserve">25.048055, 121.551782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</si>
  <si>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尚揚物調表：主建物＋附屬</t>
    </r>
    <r>
      <rPr>
        <sz val="10"/>
        <color rgb="FF000000"/>
        <rFont val="Arial"/>
        <family val="0"/>
        <charset val="1"/>
      </rPr>
      <t xml:space="preserve">198.26</t>
    </r>
  </si>
  <si>
    <r>
      <rPr>
        <sz val="10"/>
        <color rgb="FF000000"/>
        <rFont val="Noto Sans CJK SC"/>
        <family val="2"/>
      </rPr>
      <t xml:space="preserve">使照</t>
    </r>
    <r>
      <rPr>
        <sz val="10"/>
        <color rgb="FF000000"/>
        <rFont val="Arial"/>
        <family val="0"/>
        <charset val="1"/>
      </rPr>
      <t xml:space="preserve">77/03/07</t>
    </r>
    <r>
      <rPr>
        <sz val="10"/>
        <color rgb="FF000000"/>
        <rFont val="Noto Sans CJK SC"/>
        <family val="2"/>
      </rPr>
      <t xml:space="preserve">（屋齡約</t>
    </r>
    <r>
      <rPr>
        <sz val="10"/>
        <color rgb="FF000000"/>
        <rFont val="Arial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</si>
  <si>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坡平另租</t>
    </r>
    <r>
      <rPr>
        <sz val="10"/>
        <color rgb="FF000000"/>
        <rFont val="Arial"/>
        <family val="0"/>
        <charset val="1"/>
      </rPr>
      <t xml:space="preserve">7,000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8,000</t>
    </r>
  </si>
  <si>
    <r>
      <rPr>
        <sz val="10"/>
        <color rgb="FF000000"/>
        <rFont val="Noto Sans CJK SC"/>
        <family val="2"/>
      </rPr>
      <t xml:space="preserve">尚揚物調表（劉品汯）；</t>
    </r>
    <r>
      <rPr>
        <sz val="10"/>
        <color rgb="FF000000"/>
        <rFont val="Arial"/>
        <family val="0"/>
        <charset val="1"/>
      </rPr>
      <t xml:space="preserve">591 21593366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21555597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21985155</t>
    </r>
    <r>
      <rPr>
        <sz val="10"/>
        <color rgb="FF000000"/>
        <rFont val="Noto Sans CJK SC"/>
        <family val="2"/>
      </rPr>
      <t xml:space="preserve">（標題「使用約</t>
    </r>
    <r>
      <rPr>
        <sz val="10"/>
        <color rgb="FF000000"/>
        <rFont val="Arial"/>
        <family val="0"/>
        <charset val="1"/>
      </rPr>
      <t xml:space="preserve">180</t>
    </r>
    <r>
      <rPr>
        <sz val="10"/>
        <color rgb="FF000000"/>
        <rFont val="Noto Sans CJK SC"/>
        <family val="2"/>
      </rPr>
      <t xml:space="preserve">坪」）、</t>
    </r>
    <r>
      <rPr>
        <sz val="10"/>
        <color rgb="FF000000"/>
        <rFont val="Arial"/>
        <family val="0"/>
        <charset val="1"/>
      </rPr>
      <t xml:space="preserve">22044758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20941554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20864693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</si>
  <si>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591 20941554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25.0572705, 121.5327198</t>
    </r>
    <r>
      <rPr>
        <sz val="10"/>
        <color rgb="FF000000"/>
        <rFont val="Noto Sans CJK SC"/>
        <family val="2"/>
      </rPr>
      <t xml:space="preserve">）</t>
    </r>
  </si>
  <si>
    <t xml:space="preserve">N26</t>
  </si>
  <si>
    <t xml:space="preserve">安和路一段 11F</t>
  </si>
  <si>
    <t xml:space="preserve">安和路一段</t>
  </si>
  <si>
    <t xml:space="preserve">11F/18F</t>
  </si>
  <si>
    <r>
      <rPr>
        <sz val="10"/>
        <color rgb="FF000000"/>
        <rFont val="Noto Sans CJK SC"/>
        <family val="2"/>
      </rPr>
      <t xml:space="preserve">住商 </t>
    </r>
    <r>
      <rPr>
        <sz val="10"/>
        <color rgb="FF000000"/>
        <rFont val="Arial"/>
        <family val="0"/>
        <charset val="1"/>
      </rPr>
      <t xml:space="preserve">WR81767</t>
    </r>
    <r>
      <rPr>
        <sz val="10"/>
        <color rgb="FF000000"/>
        <rFont val="Noto Sans CJK SC"/>
        <family val="2"/>
      </rPr>
      <t xml:space="preserve">：主</t>
    </r>
    <r>
      <rPr>
        <sz val="10"/>
        <color rgb="FF000000"/>
        <rFont val="Arial"/>
        <family val="0"/>
        <charset val="1"/>
      </rPr>
      <t xml:space="preserve">173.05</t>
    </r>
    <r>
      <rPr>
        <sz val="10"/>
        <color rgb="FF000000"/>
        <rFont val="Noto Sans CJK SC"/>
        <family val="2"/>
      </rPr>
      <t xml:space="preserve">＋附</t>
    </r>
    <r>
      <rPr>
        <sz val="10"/>
        <color rgb="FF000000"/>
        <rFont val="Arial"/>
        <family val="0"/>
        <charset val="1"/>
      </rPr>
      <t xml:space="preserve">18.99</t>
    </r>
  </si>
  <si>
    <r>
      <rPr>
        <sz val="10"/>
        <color rgb="FF000000"/>
        <rFont val="Arial"/>
        <family val="0"/>
        <charset val="1"/>
      </rPr>
      <t xml:space="preserve">48.6</t>
    </r>
    <r>
      <rPr>
        <sz val="10"/>
        <color rgb="FF000000"/>
        <rFont val="Noto Sans CJK SC"/>
        <family val="2"/>
      </rPr>
      <t xml:space="preserve">萬（住商）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</si>
  <si>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192.04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28.0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</si>
  <si>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Noto Sans CJK SC"/>
        <family val="2"/>
      </rPr>
      <t xml:space="preserve">屋齡</t>
    </r>
    <r>
      <rPr>
        <sz val="10"/>
        <color rgb="FF000000"/>
        <rFont val="Arial"/>
        <family val="0"/>
        <charset val="1"/>
      </rPr>
      <t xml:space="preserve">38.5</t>
    </r>
    <r>
      <rPr>
        <sz val="10"/>
        <color rgb="FF000000"/>
        <rFont val="Noto Sans CJK SC"/>
        <family val="2"/>
      </rPr>
      <t xml:space="preserve">年</t>
    </r>
  </si>
  <si>
    <t xml:space="preserve">可租，坡道平面</t>
  </si>
  <si>
    <r>
      <rPr>
        <sz val="10"/>
        <color rgb="FF000000"/>
        <rFont val="Noto Sans CJK SC"/>
        <family val="2"/>
      </rPr>
      <t xml:space="preserve">住商不動產 </t>
    </r>
    <r>
      <rPr>
        <sz val="10"/>
        <color rgb="FF000000"/>
        <rFont val="Arial"/>
        <family val="0"/>
        <charset val="1"/>
      </rPr>
      <t xml:space="preserve">WR81767</t>
    </r>
  </si>
  <si>
    <r>
      <rPr>
        <sz val="10"/>
        <color rgb="FF000000"/>
        <rFont val="Noto Sans CJK SC"/>
        <family val="2"/>
      </rPr>
      <t xml:space="preserve">住商仁愛光復 關文乾 </t>
    </r>
    <r>
      <rPr>
        <sz val="10"/>
        <color rgb="FF000000"/>
        <rFont val="Arial"/>
        <family val="0"/>
        <charset val="1"/>
      </rPr>
      <t xml:space="preserve">02-27764000</t>
    </r>
  </si>
  <si>
    <t xml:space="preserve">住商物件頁</t>
  </si>
  <si>
    <t xml:space="preserve">F</t>
  </si>
  <si>
    <t xml:space="preserve">友聯大樓 5F</t>
  </si>
  <si>
    <r>
      <rPr>
        <sz val="10"/>
        <color rgb="FF000000"/>
        <rFont val="Noto Sans CJK SC"/>
        <family val="2"/>
      </rPr>
      <t xml:space="preserve">南京東路五段</t>
    </r>
    <r>
      <rPr>
        <sz val="10"/>
        <color rgb="FF000000"/>
        <rFont val="Arial"/>
        <family val="0"/>
        <charset val="1"/>
      </rPr>
      <t xml:space="preserve">89</t>
    </r>
    <r>
      <rPr>
        <sz val="10"/>
        <color rgb="FF000000"/>
        <rFont val="Noto Sans CJK SC"/>
        <family val="2"/>
      </rPr>
      <t xml:space="preserve">號</t>
    </r>
  </si>
  <si>
    <t xml:space="preserve">5F/15F(B3)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</si>
  <si>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189.91</t>
    </r>
  </si>
  <si>
    <r>
      <rPr>
        <sz val="10"/>
        <color rgb="FF000000"/>
        <rFont val="Arial"/>
        <family val="0"/>
        <charset val="1"/>
      </rPr>
      <t xml:space="preserve">405,504</t>
    </r>
    <r>
      <rPr>
        <sz val="10"/>
        <color rgb="FF000000"/>
        <rFont val="Noto Sans CJK SC"/>
        <family val="2"/>
      </rPr>
      <t xml:space="preserve">（含稅）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</si>
  <si>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189.91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30.1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</si>
  <si>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Noto Sans CJK SC"/>
        <family val="2"/>
      </rPr>
      <t xml:space="preserve">坡平另租</t>
    </r>
    <r>
      <rPr>
        <sz val="10"/>
        <color rgb="FF000000"/>
        <rFont val="Arial"/>
        <family val="0"/>
        <charset val="1"/>
      </rPr>
      <t xml:space="preserve">7,000~8,000</t>
    </r>
  </si>
  <si>
    <r>
      <rPr>
        <sz val="10"/>
        <color rgb="FF000000"/>
        <rFont val="Noto Sans CJK SC"/>
        <family val="2"/>
      </rPr>
      <t xml:space="preserve">尚揚國際 劉品汯 </t>
    </r>
    <r>
      <rPr>
        <sz val="10"/>
        <color rgb="FF000000"/>
        <rFont val="Arial"/>
        <family val="0"/>
        <charset val="1"/>
      </rPr>
      <t xml:space="preserve">0901-407-026</t>
    </r>
  </si>
  <si>
    <t xml:space="preserve">大樓頁（好房網）</t>
  </si>
  <si>
    <r>
      <rPr>
        <sz val="10"/>
        <color rgb="FF000000"/>
        <rFont val="Noto Sans CJK SC"/>
        <family val="2"/>
      </rPr>
      <t xml:space="preserve">門牌定位：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地圖：南京東路五段</t>
    </r>
    <r>
      <rPr>
        <sz val="10"/>
        <color rgb="FF000000"/>
        <rFont val="Arial"/>
        <family val="0"/>
        <charset val="1"/>
      </rPr>
      <t xml:space="preserve">89</t>
    </r>
    <r>
      <rPr>
        <sz val="10"/>
        <color rgb="FF000000"/>
        <rFont val="Noto Sans CJK SC"/>
        <family val="2"/>
      </rPr>
      <t xml:space="preserve">號（</t>
    </r>
    <r>
      <rPr>
        <sz val="10"/>
        <color rgb="FF000000"/>
        <rFont val="Arial"/>
        <family val="0"/>
        <charset val="1"/>
      </rPr>
      <t xml:space="preserve">25.0517198, 121.5601141</t>
    </r>
    <r>
      <rPr>
        <sz val="10"/>
        <color rgb="FF000000"/>
        <rFont val="Noto Sans CJK SC"/>
        <family val="2"/>
      </rPr>
      <t xml:space="preserve">）</t>
    </r>
  </si>
  <si>
    <t xml:space="preserve">A</t>
  </si>
  <si>
    <t xml:space="preserve">安敦國際大樓 7F</t>
  </si>
  <si>
    <r>
      <rPr>
        <sz val="10"/>
        <color rgb="FF000000"/>
        <rFont val="Noto Sans CJK SC"/>
        <family val="2"/>
      </rPr>
      <t xml:space="preserve">安和路一段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號</t>
    </r>
  </si>
  <si>
    <t xml:space="preserve">7F/18F(B4)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</si>
  <si>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189.32</t>
    </r>
  </si>
  <si>
    <r>
      <rPr>
        <sz val="10"/>
        <color rgb="FF000000"/>
        <rFont val="Arial"/>
        <family val="0"/>
        <charset val="1"/>
      </rPr>
      <t xml:space="preserve">420,000</t>
    </r>
    <r>
      <rPr>
        <sz val="10"/>
        <color rgb="FF000000"/>
        <rFont val="Noto Sans CJK SC"/>
        <family val="2"/>
      </rPr>
      <t xml:space="preserve">（含稅）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</si>
  <si>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189.32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30.7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</si>
  <si>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Arial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</si>
  <si>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租金內含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個坡平車位</t>
    </r>
  </si>
  <si>
    <t xml:space="preserve">591 本戶7F·14張照片</t>
  </si>
  <si>
    <t xml:space="preserve">B</t>
  </si>
  <si>
    <t xml:space="preserve">中鼎大樓 15F之1</t>
  </si>
  <si>
    <r>
      <rPr>
        <sz val="10"/>
        <color rgb="FF000000"/>
        <rFont val="Noto Sans CJK SC"/>
        <family val="2"/>
      </rPr>
      <t xml:space="preserve">敦化南路二段</t>
    </r>
    <r>
      <rPr>
        <sz val="10"/>
        <color rgb="FF000000"/>
        <rFont val="Arial"/>
        <family val="0"/>
        <charset val="1"/>
      </rPr>
      <t xml:space="preserve">77</t>
    </r>
    <r>
      <rPr>
        <sz val="10"/>
        <color rgb="FF000000"/>
        <rFont val="Noto Sans CJK SC"/>
        <family val="2"/>
      </rPr>
      <t xml:space="preserve">號</t>
    </r>
  </si>
  <si>
    <t xml:space="preserve">15F/22F(B2)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</si>
  <si>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183.22</t>
    </r>
  </si>
  <si>
    <r>
      <rPr>
        <sz val="10"/>
        <color rgb="FF000000"/>
        <rFont val="Arial"/>
        <family val="0"/>
        <charset val="1"/>
      </rPr>
      <t xml:space="preserve">451,087</t>
    </r>
    <r>
      <rPr>
        <sz val="10"/>
        <color rgb="FF000000"/>
        <rFont val="Noto Sans CJK SC"/>
        <family val="2"/>
      </rPr>
      <t xml:space="preserve">（含稅）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</si>
  <si>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183.22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36.8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</si>
  <si>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Arial"/>
        <family val="0"/>
        <charset val="1"/>
      </rPr>
      <t xml:space="preserve">42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</si>
  <si>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坡平另租</t>
    </r>
    <r>
      <rPr>
        <sz val="10"/>
        <color rgb="FF000000"/>
        <rFont val="Arial"/>
        <family val="0"/>
        <charset val="1"/>
      </rPr>
      <t xml:space="preserve">10,000</t>
    </r>
    <r>
      <rPr>
        <sz val="10"/>
        <color rgb="FF000000"/>
        <rFont val="Noto Sans CJK SC"/>
        <family val="2"/>
      </rPr>
      <t xml:space="preserve">未稅</t>
    </r>
  </si>
  <si>
    <r>
      <rPr>
        <sz val="10"/>
        <color rgb="FF000000"/>
        <rFont val="Noto Sans CJK SC"/>
        <family val="2"/>
      </rPr>
      <t xml:space="preserve">尚揚國際 王智平 </t>
    </r>
    <r>
      <rPr>
        <sz val="10"/>
        <color rgb="FF000000"/>
        <rFont val="Arial"/>
        <family val="0"/>
        <charset val="1"/>
      </rPr>
      <t xml:space="preserve">0917-154-083</t>
    </r>
  </si>
  <si>
    <t xml:space="preserve">信義 本戶15F·15張照片（CZ05572）</t>
  </si>
  <si>
    <r>
      <rPr>
        <sz val="10"/>
        <color rgb="FF000000"/>
        <rFont val="Noto Sans CJK SC"/>
        <family val="2"/>
      </rPr>
      <t xml:space="preserve">物件頁座標：信義全球物件座標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中鼎大樓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25.030026, 121.549429</t>
    </r>
    <r>
      <rPr>
        <sz val="10"/>
        <color rgb="FF000000"/>
        <rFont val="Noto Sans CJK SC"/>
        <family val="2"/>
      </rPr>
      <t xml:space="preserve">）</t>
    </r>
  </si>
  <si>
    <t xml:space="preserve">J15</t>
  </si>
  <si>
    <t xml:space="preserve">敦化南路2段(中鼎大樓 77號22樓) 22F 230坪</t>
  </si>
  <si>
    <r>
      <rPr>
        <sz val="10"/>
        <color rgb="FF000000"/>
        <rFont val="Noto Sans CJK SC"/>
        <family val="2"/>
      </rPr>
      <t xml:space="preserve">敦化南路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中鼎大樓 </t>
    </r>
    <r>
      <rPr>
        <sz val="10"/>
        <color rgb="FF000000"/>
        <rFont val="Arial"/>
        <family val="0"/>
        <charset val="1"/>
      </rPr>
      <t xml:space="preserve">77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樓</t>
    </r>
    <r>
      <rPr>
        <sz val="10"/>
        <color rgb="FF000000"/>
        <rFont val="Arial"/>
        <family val="0"/>
        <charset val="1"/>
      </rPr>
      <t xml:space="preserve">)</t>
    </r>
  </si>
  <si>
    <t xml:space="preserve">22F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</si>
  <si>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179</t>
    </r>
  </si>
  <si>
    <r>
      <rPr>
        <sz val="10"/>
        <color rgb="FF000000"/>
        <rFont val="Arial"/>
        <family val="0"/>
        <charset val="1"/>
      </rPr>
      <t xml:space="preserve">478,170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</si>
  <si>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179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41.0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</si>
  <si>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個</t>
    </r>
    <r>
      <rPr>
        <sz val="10"/>
        <color rgb="FF000000"/>
        <rFont val="Arial"/>
        <family val="0"/>
        <charset val="1"/>
      </rPr>
      <t xml:space="preserve">12,000/</t>
    </r>
    <r>
      <rPr>
        <sz val="10"/>
        <color rgb="FF000000"/>
        <rFont val="Noto Sans CJK SC"/>
        <family val="2"/>
      </rPr>
      <t xml:space="preserve">月</t>
    </r>
  </si>
  <si>
    <t xml:space="preserve">傑森愛華</t>
  </si>
  <si>
    <t xml:space="preserve">傑森愛華單筆報表PDF（中鼎22F·3頁，含照片）</t>
  </si>
  <si>
    <r>
      <rPr>
        <sz val="10"/>
        <color rgb="FF000000"/>
        <rFont val="Noto Sans CJK SC"/>
        <family val="2"/>
      </rPr>
      <t xml:space="preserve">物件頁座標：同中鼎大樓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信義全球座標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25.030026, 121.549429</t>
    </r>
    <r>
      <rPr>
        <sz val="10"/>
        <color rgb="FF000000"/>
        <rFont val="Noto Sans CJK SC"/>
        <family val="2"/>
      </rPr>
      <t xml:space="preserve">）</t>
    </r>
  </si>
  <si>
    <t xml:space="preserve">J12</t>
  </si>
  <si>
    <t xml:space="preserve">敦化南路2段 (中鼎大樓 77號2樓) 2F 222坪</t>
  </si>
  <si>
    <r>
      <rPr>
        <sz val="10"/>
        <color rgb="FF000000"/>
        <rFont val="Noto Sans CJK SC"/>
        <family val="2"/>
      </rPr>
      <t xml:space="preserve">敦化南路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中鼎大樓 </t>
    </r>
    <r>
      <rPr>
        <sz val="10"/>
        <color rgb="FF000000"/>
        <rFont val="Arial"/>
        <family val="0"/>
        <charset val="1"/>
      </rPr>
      <t xml:space="preserve">77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樓</t>
    </r>
    <r>
      <rPr>
        <sz val="10"/>
        <color rgb="FF000000"/>
        <rFont val="Arial"/>
        <family val="0"/>
        <charset val="1"/>
      </rPr>
      <t xml:space="preserve">)</t>
    </r>
  </si>
  <si>
    <t xml:space="preserve">2F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</si>
  <si>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173</t>
    </r>
  </si>
  <si>
    <r>
      <rPr>
        <sz val="10"/>
        <color rgb="FF000000"/>
        <rFont val="Arial"/>
        <family val="0"/>
        <charset val="1"/>
      </rPr>
      <t xml:space="preserve">420,000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</si>
  <si>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173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47.0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</si>
  <si>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個各</t>
    </r>
    <r>
      <rPr>
        <sz val="10"/>
        <color rgb="FF000000"/>
        <rFont val="Arial"/>
        <family val="0"/>
        <charset val="1"/>
      </rPr>
      <t xml:space="preserve">10,000/</t>
    </r>
    <r>
      <rPr>
        <sz val="10"/>
        <color rgb="FF000000"/>
        <rFont val="Noto Sans CJK SC"/>
        <family val="2"/>
      </rPr>
      <t xml:space="preserve">月</t>
    </r>
  </si>
  <si>
    <t xml:space="preserve">傑森愛華單筆報表PDF（中鼎2F·2頁，含照片）</t>
  </si>
  <si>
    <t xml:space="preserve">S07</t>
  </si>
  <si>
    <t xml:space="preserve">明水路營業用商辦 4F</t>
  </si>
  <si>
    <r>
      <rPr>
        <sz val="10"/>
        <color rgb="FF000000"/>
        <rFont val="Noto Sans CJK SC"/>
        <family val="2"/>
      </rPr>
      <t xml:space="preserve">明水路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大直</t>
    </r>
    <r>
      <rPr>
        <sz val="10"/>
        <color rgb="FF000000"/>
        <rFont val="Arial"/>
        <family val="0"/>
        <charset val="1"/>
      </rPr>
      <t xml:space="preserve">)</t>
    </r>
  </si>
  <si>
    <t xml:space="preserve">4F/10F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</si>
  <si>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166.77</t>
    </r>
  </si>
  <si>
    <r>
      <rPr>
        <sz val="10"/>
        <color rgb="FF000000"/>
        <rFont val="Arial"/>
        <family val="0"/>
        <charset val="1"/>
      </rPr>
      <t xml:space="preserve">350,000</t>
    </r>
    <r>
      <rPr>
        <sz val="10"/>
        <color rgb="FF000000"/>
        <rFont val="Noto Sans CJK SC"/>
        <family val="2"/>
      </rPr>
      <t xml:space="preserve">（含稅）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</si>
  <si>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166.77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53.2</t>
    </r>
    <r>
      <rPr>
        <sz val="10"/>
        <color rgb="FF000000"/>
        <rFont val="Noto Sans CJK SC"/>
        <family val="2"/>
      </rPr>
      <t xml:space="preserve">坪）；捷運台北小巨蛋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綠</t>
    </r>
    <r>
      <rPr>
        <sz val="10"/>
        <color rgb="FF000000"/>
        <rFont val="Arial"/>
        <family val="0"/>
        <charset val="1"/>
      </rPr>
      <t xml:space="preserve">) 54</t>
    </r>
    <r>
      <rPr>
        <sz val="10"/>
        <color rgb="FF000000"/>
        <rFont val="Noto Sans CJK SC"/>
        <family val="2"/>
      </rPr>
      <t xml:space="preserve">分太遠；大直（依指示不列優先）</t>
    </r>
  </si>
  <si>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</si>
  <si>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個坡道平面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</si>
  <si>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信義房屋 商仲二部 陳泰利 </t>
    </r>
    <r>
      <rPr>
        <sz val="10"/>
        <color rgb="FF000000"/>
        <rFont val="Arial"/>
        <family val="0"/>
        <charset val="1"/>
      </rPr>
      <t xml:space="preserve">0952-228-883</t>
    </r>
  </si>
  <si>
    <t xml:space="preserve">信義 本戶·12張照片（CZ03701）</t>
  </si>
  <si>
    <r>
      <rPr>
        <sz val="10"/>
        <color rgb="FF000000"/>
        <rFont val="Noto Sans CJK SC"/>
        <family val="2"/>
      </rPr>
      <t xml:space="preserve">物件頁座標：信義全球物件座標（</t>
    </r>
    <r>
      <rPr>
        <sz val="10"/>
        <color rgb="FF000000"/>
        <rFont val="Arial"/>
        <family val="0"/>
        <charset val="1"/>
      </rPr>
      <t xml:space="preserve">25.081444, 121.551799</t>
    </r>
    <r>
      <rPr>
        <sz val="10"/>
        <color rgb="FF000000"/>
        <rFont val="Noto Sans CJK SC"/>
        <family val="2"/>
      </rPr>
      <t xml:space="preserve">）</t>
    </r>
  </si>
  <si>
    <t xml:space="preserve">Y2</t>
  </si>
  <si>
    <t xml:space="preserve">家美金融大樓 15F</t>
  </si>
  <si>
    <r>
      <rPr>
        <sz val="10"/>
        <color rgb="FF000000"/>
        <rFont val="Noto Sans CJK SC"/>
        <family val="2"/>
      </rPr>
      <t xml:space="preserve">忠孝東路五段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家美金融</t>
    </r>
    <r>
      <rPr>
        <sz val="10"/>
        <color rgb="FF000000"/>
        <rFont val="Arial"/>
        <family val="0"/>
        <charset val="1"/>
      </rPr>
      <t xml:space="preserve">)</t>
    </r>
  </si>
  <si>
    <t xml:space="preserve">15F/28F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</si>
  <si>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164.05</t>
    </r>
  </si>
  <si>
    <r>
      <rPr>
        <sz val="10"/>
        <color rgb="FF000000"/>
        <rFont val="Arial"/>
        <family val="0"/>
        <charset val="1"/>
      </rPr>
      <t xml:space="preserve">398,000</t>
    </r>
    <r>
      <rPr>
        <sz val="10"/>
        <color rgb="FF000000"/>
        <rFont val="Noto Sans CJK SC"/>
        <family val="2"/>
      </rPr>
      <t xml:space="preserve">（含稅）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</si>
  <si>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164.05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55.9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</si>
  <si>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Arial"/>
        <family val="0"/>
        <charset val="1"/>
      </rPr>
      <t xml:space="preserve">33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</si>
  <si>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個坡道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平面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信義頁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永慶未標</t>
    </r>
    <r>
      <rPr>
        <sz val="10"/>
        <color rgb="FF000000"/>
        <rFont val="Arial"/>
        <family val="0"/>
        <charset val="1"/>
      </rPr>
      <t xml:space="preserve">)</t>
    </r>
  </si>
  <si>
    <t xml:space="preserve">永慶房屋</t>
  </si>
  <si>
    <r>
      <rPr>
        <sz val="10"/>
        <color rgb="FF000000"/>
        <rFont val="Noto Sans CJK SC"/>
        <family val="2"/>
      </rPr>
      <t xml:space="preserve">永慶 南京光復直營店／信義 商仲二部 簡伊涵 </t>
    </r>
    <r>
      <rPr>
        <sz val="10"/>
        <color rgb="FF000000"/>
        <rFont val="Arial"/>
        <family val="0"/>
        <charset val="1"/>
      </rPr>
      <t xml:space="preserve">0916-263-633</t>
    </r>
    <r>
      <rPr>
        <sz val="10"/>
        <color rgb="FF000000"/>
        <rFont val="Noto Sans CJK SC"/>
        <family val="2"/>
      </rPr>
      <t xml:space="preserve">／簡文章 </t>
    </r>
    <r>
      <rPr>
        <sz val="10"/>
        <color rgb="FF000000"/>
        <rFont val="Arial"/>
        <family val="0"/>
        <charset val="1"/>
      </rPr>
      <t xml:space="preserve">0918-520-184</t>
    </r>
  </si>
  <si>
    <t xml:space="preserve">永慶 本戶15F·14張照片</t>
  </si>
  <si>
    <r>
      <rPr>
        <sz val="10"/>
        <color rgb="FF000000"/>
        <rFont val="Noto Sans CJK SC"/>
        <family val="2"/>
      </rPr>
      <t xml:space="preserve">物件頁座標：信義全球物件座標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家美金融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25.040833, 121.578638</t>
    </r>
    <r>
      <rPr>
        <sz val="10"/>
        <color rgb="FF000000"/>
        <rFont val="Noto Sans CJK SC"/>
        <family val="2"/>
      </rPr>
      <t xml:space="preserve">）</t>
    </r>
  </si>
  <si>
    <t xml:space="preserve">G</t>
  </si>
  <si>
    <t xml:space="preserve">白宮企業大樓 5F</t>
  </si>
  <si>
    <r>
      <rPr>
        <sz val="10"/>
        <color rgb="FF000000"/>
        <rFont val="Noto Sans CJK SC"/>
        <family val="2"/>
      </rPr>
      <t xml:space="preserve">南京東路三段</t>
    </r>
    <r>
      <rPr>
        <sz val="10"/>
        <color rgb="FF000000"/>
        <rFont val="Arial"/>
        <family val="0"/>
        <charset val="1"/>
      </rPr>
      <t xml:space="preserve">346</t>
    </r>
    <r>
      <rPr>
        <sz val="10"/>
        <color rgb="FF000000"/>
        <rFont val="Noto Sans CJK SC"/>
        <family val="2"/>
      </rPr>
      <t xml:space="preserve">號</t>
    </r>
  </si>
  <si>
    <t xml:space="preserve">5F/12F(B1)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</si>
  <si>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156.93</t>
    </r>
  </si>
  <si>
    <r>
      <rPr>
        <sz val="10"/>
        <color rgb="FF000000"/>
        <rFont val="Arial"/>
        <family val="0"/>
        <charset val="1"/>
      </rPr>
      <t xml:space="preserve">360,150</t>
    </r>
    <r>
      <rPr>
        <sz val="10"/>
        <color rgb="FF000000"/>
        <rFont val="Noto Sans CJK SC"/>
        <family val="2"/>
      </rPr>
      <t xml:space="preserve">（含稅）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</si>
  <si>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156.93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63.1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</si>
  <si>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Arial"/>
        <family val="0"/>
        <charset val="1"/>
      </rPr>
      <t xml:space="preserve">48</t>
    </r>
    <r>
      <rPr>
        <sz val="10"/>
        <color rgb="FF000000"/>
        <rFont val="Noto Sans CJK SC"/>
        <family val="2"/>
      </rPr>
      <t xml:space="preserve">年</t>
    </r>
  </si>
  <si>
    <t xml:space="preserve">無車位</t>
  </si>
  <si>
    <t xml:space="preserve">好房網大樓頁·10張照片（本戶207坪整層無公開頁）</t>
  </si>
  <si>
    <r>
      <rPr>
        <sz val="10"/>
        <color rgb="FF000000"/>
        <rFont val="Noto Sans CJK SC"/>
        <family val="2"/>
      </rPr>
      <t xml:space="preserve">門牌定位：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地圖：南京東路三段</t>
    </r>
    <r>
      <rPr>
        <sz val="10"/>
        <color rgb="FF000000"/>
        <rFont val="Arial"/>
        <family val="0"/>
        <charset val="1"/>
      </rPr>
      <t xml:space="preserve">346</t>
    </r>
    <r>
      <rPr>
        <sz val="10"/>
        <color rgb="FF000000"/>
        <rFont val="Noto Sans CJK SC"/>
        <family val="2"/>
      </rPr>
      <t xml:space="preserve">號白宮企業大樓（</t>
    </r>
    <r>
      <rPr>
        <sz val="10"/>
        <color rgb="FF000000"/>
        <rFont val="Arial"/>
        <family val="0"/>
        <charset val="1"/>
      </rPr>
      <t xml:space="preserve">25.0513632, 121.5480628</t>
    </r>
    <r>
      <rPr>
        <sz val="10"/>
        <color rgb="FF000000"/>
        <rFont val="Noto Sans CJK SC"/>
        <family val="2"/>
      </rPr>
      <t xml:space="preserve">）</t>
    </r>
  </si>
  <si>
    <t xml:space="preserve">J07</t>
  </si>
  <si>
    <t xml:space="preserve">仁愛路4段近復興南路 (鴻霖大樓 25號10樓之2) 10F 210坪</t>
  </si>
  <si>
    <r>
      <rPr>
        <sz val="10"/>
        <color rgb="FF000000"/>
        <rFont val="Noto Sans CJK SC"/>
        <family val="2"/>
      </rPr>
      <t xml:space="preserve">仁愛路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段近復興南路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鴻霖大樓 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樓之</t>
    </r>
    <r>
      <rPr>
        <sz val="10"/>
        <color rgb="FF000000"/>
        <rFont val="Arial"/>
        <family val="0"/>
        <charset val="1"/>
      </rPr>
      <t xml:space="preserve">2)</t>
    </r>
  </si>
  <si>
    <t xml:space="preserve">10F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</si>
  <si>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153</t>
    </r>
  </si>
  <si>
    <r>
      <rPr>
        <sz val="10"/>
        <color rgb="FF000000"/>
        <rFont val="Arial"/>
        <family val="0"/>
        <charset val="1"/>
      </rPr>
      <t xml:space="preserve">367,500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</si>
  <si>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153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67.0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</si>
  <si>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</si>
  <si>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另租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費用未提供</t>
    </r>
    <r>
      <rPr>
        <sz val="10"/>
        <color rgb="FF000000"/>
        <rFont val="Arial"/>
        <family val="0"/>
        <charset val="1"/>
      </rPr>
      <t xml:space="preserve">)</t>
    </r>
  </si>
  <si>
    <t xml:space="preserve">傑森愛華單筆報表PDF（鴻霖10F之2·3頁，含照片）</t>
  </si>
  <si>
    <r>
      <rPr>
        <sz val="10"/>
        <color rgb="FF000000"/>
        <rFont val="Noto Sans CJK SC"/>
        <family val="2"/>
      </rPr>
      <t xml:space="preserve">門牌定位：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地圖：仁愛路四段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號鴻霖大廈（</t>
    </r>
    <r>
      <rPr>
        <sz val="10"/>
        <color rgb="FF000000"/>
        <rFont val="Arial"/>
        <family val="0"/>
        <charset val="1"/>
      </rPr>
      <t xml:space="preserve">25.0385627, 121.5451228</t>
    </r>
    <r>
      <rPr>
        <sz val="10"/>
        <color rgb="FF000000"/>
        <rFont val="Noto Sans CJK SC"/>
        <family val="2"/>
      </rPr>
      <t xml:space="preserve">）</t>
    </r>
  </si>
  <si>
    <t xml:space="preserve">J16</t>
  </si>
  <si>
    <t xml:space="preserve">八德路近復興北路 (中影八德大樓 八德路二段260號2樓全層) 2F 200坪</t>
  </si>
  <si>
    <r>
      <rPr>
        <sz val="10"/>
        <color rgb="FF000000"/>
        <rFont val="Noto Sans CJK SC"/>
        <family val="2"/>
      </rPr>
      <t xml:space="preserve">八德路二段</t>
    </r>
    <r>
      <rPr>
        <sz val="10"/>
        <color rgb="FF000000"/>
        <rFont val="Arial"/>
        <family val="0"/>
        <charset val="1"/>
      </rPr>
      <t xml:space="preserve">260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樓全層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中影八德大樓</t>
    </r>
    <r>
      <rPr>
        <sz val="10"/>
        <color rgb="FF000000"/>
        <rFont val="Arial"/>
        <family val="0"/>
        <charset val="1"/>
      </rPr>
      <t xml:space="preserve">)</t>
    </r>
  </si>
  <si>
    <t xml:space="preserve">2F/11F(B3)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</si>
  <si>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150</t>
    </r>
  </si>
  <si>
    <r>
      <rPr>
        <sz val="10"/>
        <color rgb="FF000000"/>
        <rFont val="Arial"/>
        <family val="0"/>
        <charset val="1"/>
      </rPr>
      <t xml:space="preserve">308,700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</si>
  <si>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70.0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</si>
  <si>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</si>
  <si>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7,000/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未稅</t>
    </r>
    <r>
      <rPr>
        <sz val="10"/>
        <color rgb="FF000000"/>
        <rFont val="Arial"/>
        <family val="0"/>
        <charset val="1"/>
      </rPr>
      <t xml:space="preserve">)</t>
    </r>
  </si>
  <si>
    <t xml:space="preserve">傑森愛華單筆報表PDF（中影八德2F·11頁，含照片/使照）</t>
  </si>
  <si>
    <r>
      <rPr>
        <sz val="10"/>
        <color rgb="FF000000"/>
        <rFont val="Noto Sans CJK SC"/>
        <family val="2"/>
      </rPr>
      <t xml:space="preserve">門牌定位：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地圖：八德路二段</t>
    </r>
    <r>
      <rPr>
        <sz val="10"/>
        <color rgb="FF000000"/>
        <rFont val="Arial"/>
        <family val="0"/>
        <charset val="1"/>
      </rPr>
      <t xml:space="preserve">256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260</t>
    </r>
    <r>
      <rPr>
        <sz val="10"/>
        <color rgb="FF000000"/>
        <rFont val="Noto Sans CJK SC"/>
        <family val="2"/>
      </rPr>
      <t xml:space="preserve">號中影八德大樓（</t>
    </r>
    <r>
      <rPr>
        <sz val="10"/>
        <color rgb="FF000000"/>
        <rFont val="Arial"/>
        <family val="0"/>
        <charset val="1"/>
      </rPr>
      <t xml:space="preserve">25.0466545, 121.5409442</t>
    </r>
    <r>
      <rPr>
        <sz val="10"/>
        <color rgb="FF000000"/>
        <rFont val="Noto Sans CJK SC"/>
        <family val="2"/>
      </rPr>
      <t xml:space="preserve">）</t>
    </r>
  </si>
  <si>
    <t xml:space="preserve">I</t>
  </si>
  <si>
    <t xml:space="preserve">光復北路新大樓 5F</t>
  </si>
  <si>
    <r>
      <rPr>
        <sz val="10"/>
        <color rgb="FF000000"/>
        <rFont val="Noto Sans CJK SC"/>
        <family val="2"/>
      </rPr>
      <t xml:space="preserve">光復北路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門牌未揭露</t>
    </r>
    <r>
      <rPr>
        <sz val="10"/>
        <color rgb="FF000000"/>
        <rFont val="Arial"/>
        <family val="0"/>
        <charset val="1"/>
      </rPr>
      <t xml:space="preserve">)</t>
    </r>
  </si>
  <si>
    <t xml:space="preserve">5F/11F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</si>
  <si>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119.66</t>
    </r>
  </si>
  <si>
    <r>
      <rPr>
        <sz val="10"/>
        <color rgb="FF000000"/>
        <rFont val="Arial"/>
        <family val="0"/>
        <charset val="1"/>
      </rPr>
      <t xml:space="preserve">305,340</t>
    </r>
    <r>
      <rPr>
        <sz val="10"/>
        <color rgb="FF000000"/>
        <rFont val="Noto Sans CJK SC"/>
        <family val="2"/>
      </rPr>
      <t xml:space="preserve">（含稅）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</si>
  <si>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119.66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100.3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</si>
  <si>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</si>
  <si>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無</t>
    </r>
    <r>
      <rPr>
        <sz val="10"/>
        <color rgb="FF000000"/>
        <rFont val="Arial"/>
        <family val="0"/>
        <charset val="1"/>
      </rPr>
      <t xml:space="preserve">;</t>
    </r>
    <r>
      <rPr>
        <sz val="10"/>
        <color rgb="FF000000"/>
        <rFont val="Noto Sans CJK SC"/>
        <family val="2"/>
      </rPr>
      <t xml:space="preserve">可另租坡道平面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費用未提供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</si>
  <si>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信義房屋 復興民生店 施雅惠 </t>
    </r>
    <r>
      <rPr>
        <sz val="10"/>
        <color rgb="FF000000"/>
        <rFont val="Arial"/>
        <family val="0"/>
        <charset val="1"/>
      </rPr>
      <t xml:space="preserve">0955-237827</t>
    </r>
  </si>
  <si>
    <t xml:space="preserve">信義全球 本戶·14張照片（C355686）</t>
  </si>
  <si>
    <r>
      <rPr>
        <sz val="10"/>
        <color rgb="FF000000"/>
        <rFont val="Noto Sans CJK SC"/>
        <family val="2"/>
      </rPr>
      <t xml:space="preserve">概略位置：信義全球物件座標（</t>
    </r>
    <r>
      <rPr>
        <sz val="10"/>
        <color rgb="FF000000"/>
        <rFont val="Arial"/>
        <family val="0"/>
        <charset val="1"/>
      </rPr>
      <t xml:space="preserve">25.050386, 121.559536</t>
    </r>
    <r>
      <rPr>
        <sz val="10"/>
        <color rgb="FF000000"/>
        <rFont val="Noto Sans CJK SC"/>
        <family val="2"/>
      </rPr>
      <t xml:space="preserve">）</t>
    </r>
  </si>
  <si>
    <t xml:space="preserve">S08</t>
  </si>
  <si>
    <t xml:space="preserve">國票大樓 15F C</t>
  </si>
  <si>
    <r>
      <rPr>
        <sz val="10"/>
        <color rgb="FF000000"/>
        <rFont val="Noto Sans CJK SC"/>
        <family val="2"/>
      </rPr>
      <t xml:space="preserve">樂群三路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大直</t>
    </r>
    <r>
      <rPr>
        <sz val="10"/>
        <color rgb="FF000000"/>
        <rFont val="Arial"/>
        <family val="0"/>
        <charset val="1"/>
      </rPr>
      <t xml:space="preserve">)</t>
    </r>
  </si>
  <si>
    <t xml:space="preserve">15F/17F</t>
  </si>
  <si>
    <r>
      <rPr>
        <sz val="10"/>
        <color rgb="FF000000"/>
        <rFont val="Noto Sans CJK SC"/>
        <family val="2"/>
      </rPr>
      <t xml:space="preserve">上一版資料：實用坪</t>
    </r>
    <r>
      <rPr>
        <sz val="10"/>
        <color rgb="FF000000"/>
        <rFont val="Arial"/>
        <family val="0"/>
        <charset val="1"/>
      </rPr>
      <t xml:space="preserve">87.55</t>
    </r>
  </si>
  <si>
    <r>
      <rPr>
        <sz val="10"/>
        <color rgb="FF000000"/>
        <rFont val="Arial"/>
        <family val="0"/>
        <charset val="1"/>
      </rPr>
      <t xml:space="preserve">467,500</t>
    </r>
    <r>
      <rPr>
        <sz val="10"/>
        <color rgb="FF000000"/>
        <rFont val="Noto Sans CJK SC"/>
        <family val="2"/>
      </rPr>
      <t xml:space="preserve">（含稅）</t>
    </r>
  </si>
  <si>
    <r>
      <rPr>
        <sz val="10"/>
        <color rgb="FF000000"/>
        <rFont val="Noto Sans CJK SC"/>
        <family val="2"/>
      </rPr>
      <t xml:space="preserve">不符：實坪</t>
    </r>
    <r>
      <rPr>
        <sz val="10"/>
        <color rgb="FF000000"/>
        <rFont val="Arial"/>
        <family val="0"/>
        <charset val="1"/>
      </rPr>
      <t xml:space="preserve">87.55</t>
    </r>
    <r>
      <rPr>
        <sz val="10"/>
        <color rgb="FF000000"/>
        <rFont val="Noto Sans CJK SC"/>
        <family val="2"/>
      </rPr>
      <t xml:space="preserve">（差</t>
    </r>
    <r>
      <rPr>
        <sz val="10"/>
        <color rgb="FF000000"/>
        <rFont val="Arial"/>
        <family val="0"/>
        <charset val="1"/>
      </rPr>
      <t xml:space="preserve">132.4</t>
    </r>
    <r>
      <rPr>
        <sz val="10"/>
        <color rgb="FF000000"/>
        <rFont val="Noto Sans CJK SC"/>
        <family val="2"/>
      </rPr>
      <t xml:space="preserve">坪）；捷運台北小巨蛋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綠</t>
    </r>
    <r>
      <rPr>
        <sz val="10"/>
        <color rgb="FF000000"/>
        <rFont val="Arial"/>
        <family val="0"/>
        <charset val="1"/>
      </rPr>
      <t xml:space="preserve">) 56</t>
    </r>
    <r>
      <rPr>
        <sz val="10"/>
        <color rgb="FF000000"/>
        <rFont val="Noto Sans CJK SC"/>
        <family val="2"/>
      </rPr>
      <t xml:space="preserve">分太遠；大直（依指示不列優先）</t>
    </r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</si>
  <si>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</si>
  <si>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個坡道平面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含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</si>
  <si>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信義房屋 大直明水店 林彥儒 </t>
    </r>
    <r>
      <rPr>
        <sz val="10"/>
        <color rgb="FF000000"/>
        <rFont val="Arial"/>
        <family val="0"/>
        <charset val="1"/>
      </rPr>
      <t xml:space="preserve">0988-520-520</t>
    </r>
  </si>
  <si>
    <t xml:space="preserve">信義 本戶·12張照片（C346398）</t>
  </si>
  <si>
    <r>
      <rPr>
        <sz val="10"/>
        <color rgb="FF000000"/>
        <rFont val="Noto Sans CJK SC"/>
        <family val="2"/>
      </rPr>
      <t xml:space="preserve">物件頁座標：信義全球物件座標（</t>
    </r>
    <r>
      <rPr>
        <sz val="10"/>
        <color rgb="FF000000"/>
        <rFont val="Arial"/>
        <family val="0"/>
        <charset val="1"/>
      </rPr>
      <t xml:space="preserve">25.082506, 121.554582</t>
    </r>
    <r>
      <rPr>
        <sz val="10"/>
        <color rgb="FF000000"/>
        <rFont val="Noto Sans CJK SC"/>
        <family val="2"/>
      </rPr>
      <t xml:space="preserve">）</t>
    </r>
  </si>
  <si>
    <t xml:space="preserve">W10</t>
  </si>
  <si>
    <t xml:space="preserve">松山路 7F</t>
  </si>
  <si>
    <t xml:space="preserve">松山路</t>
  </si>
  <si>
    <t xml:space="preserve">7F/10F</t>
  </si>
  <si>
    <t xml:space="preserve">未揭露</t>
  </si>
  <si>
    <r>
      <rPr>
        <sz val="10"/>
        <color rgb="FF000000"/>
        <rFont val="Arial"/>
        <family val="0"/>
        <charset val="1"/>
      </rPr>
      <t xml:space="preserve">300,000</t>
    </r>
    <r>
      <rPr>
        <sz val="10"/>
        <color rgb="FF000000"/>
        <rFont val="Noto Sans CJK SC"/>
        <family val="2"/>
      </rPr>
      <t xml:space="preserve">（刊登價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稅別未標）</t>
    </r>
  </si>
  <si>
    <t xml:space="preserve">未確認</t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</si>
  <si>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</t>
    </r>
  </si>
  <si>
    <t xml:space="preserve">缺</t>
  </si>
  <si>
    <t xml:space="preserve">HouseWeb</t>
  </si>
  <si>
    <r>
      <rPr>
        <sz val="10"/>
        <color rgb="FF000000"/>
        <rFont val="Noto Sans CJK SC"/>
        <family val="2"/>
      </rPr>
      <t xml:space="preserve">優昇商用 連先生 </t>
    </r>
    <r>
      <rPr>
        <sz val="10"/>
        <color rgb="FF000000"/>
        <rFont val="Arial"/>
        <family val="0"/>
        <charset val="1"/>
      </rPr>
      <t xml:space="preserve">02-8751-6676</t>
    </r>
  </si>
  <si>
    <t xml:space="preserve">HouseWeb·20張</t>
  </si>
  <si>
    <t xml:space="preserve">W13</t>
  </si>
  <si>
    <t xml:space="preserve">林森北路 6F</t>
  </si>
  <si>
    <t xml:space="preserve">林森北路</t>
  </si>
  <si>
    <t xml:space="preserve">6F/11F(B2)</t>
  </si>
  <si>
    <r>
      <rPr>
        <sz val="10"/>
        <color rgb="FF000000"/>
        <rFont val="Arial"/>
        <family val="0"/>
        <charset val="1"/>
      </rPr>
      <t xml:space="preserve">320,000</t>
    </r>
    <r>
      <rPr>
        <sz val="10"/>
        <color rgb="FF000000"/>
        <rFont val="Noto Sans CJK SC"/>
        <family val="2"/>
      </rPr>
      <t xml:space="preserve">（刊登價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稅別未標）</t>
    </r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</si>
  <si>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200.79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</si>
  <si>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弗利艾樂 辦公室出租商業網 </t>
    </r>
    <r>
      <rPr>
        <sz val="10"/>
        <color rgb="FF000000"/>
        <rFont val="Arial"/>
        <family val="0"/>
        <charset val="1"/>
      </rPr>
      <t xml:space="preserve">0913-958-003</t>
    </r>
  </si>
  <si>
    <t xml:space="preserve">HouseWeb·27張</t>
  </si>
  <si>
    <t xml:space="preserve">N24</t>
  </si>
  <si>
    <t xml:space="preserve">星勢力大樓 4F（大直）</t>
  </si>
  <si>
    <t xml:space="preserve">明水路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</si>
  <si>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只寫</t>
    </r>
    <r>
      <rPr>
        <sz val="10"/>
        <color rgb="FF000000"/>
        <rFont val="Arial"/>
        <family val="0"/>
        <charset val="1"/>
      </rPr>
      <t xml:space="preserve">308.7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</si>
  <si>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Arial"/>
        <family val="0"/>
        <charset val="1"/>
      </rPr>
      <t xml:space="preserve">350,000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591 21803100</t>
    </r>
    <r>
      <rPr>
        <sz val="10"/>
        <color rgb="FF000000"/>
        <rFont val="Noto Sans CJK SC"/>
        <family val="2"/>
      </rPr>
      <t xml:space="preserve">，含車位）</t>
    </r>
  </si>
  <si>
    <r>
      <rPr>
        <sz val="10"/>
        <color rgb="FF000000"/>
        <rFont val="Noto Sans CJK SC"/>
        <family val="2"/>
      </rPr>
      <t xml:space="preserve">大直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 428m</t>
    </r>
  </si>
  <si>
    <t xml:space="preserve">不符：大直（依指示不列優先）</t>
  </si>
  <si>
    <t xml:space="preserve">實坪未揭露</t>
  </si>
  <si>
    <t xml:space="preserve">591 21803100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</si>
  <si>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刊登人</t>
    </r>
  </si>
  <si>
    <t xml:space="preserve">W03</t>
  </si>
  <si>
    <t xml:space="preserve">明水路（大直） 4F</t>
  </si>
  <si>
    <r>
      <rPr>
        <sz val="10"/>
        <color rgb="FF000000"/>
        <rFont val="Arial"/>
        <family val="0"/>
        <charset val="1"/>
      </rPr>
      <t xml:space="preserve">350,000</t>
    </r>
    <r>
      <rPr>
        <sz val="10"/>
        <color rgb="FF000000"/>
        <rFont val="Noto Sans CJK SC"/>
        <family val="2"/>
      </rPr>
      <t xml:space="preserve">（刊登價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稅別未標）</t>
    </r>
  </si>
  <si>
    <r>
      <rPr>
        <sz val="10"/>
        <color rgb="FF000000"/>
        <rFont val="Noto Sans CJK SC"/>
        <family val="2"/>
      </rPr>
      <t xml:space="preserve">不符：捷運台北小巨蛋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綠</t>
    </r>
    <r>
      <rPr>
        <sz val="10"/>
        <color rgb="FF000000"/>
        <rFont val="Arial"/>
        <family val="0"/>
        <charset val="1"/>
      </rPr>
      <t xml:space="preserve">) 54</t>
    </r>
    <r>
      <rPr>
        <sz val="10"/>
        <color rgb="FF000000"/>
        <rFont val="Noto Sans CJK SC"/>
        <family val="2"/>
      </rPr>
      <t xml:space="preserve">分太遠；大直（依指示不列優先）</t>
    </r>
  </si>
  <si>
    <r>
      <rPr>
        <sz val="10"/>
        <color rgb="FF000000"/>
        <rFont val="Noto Sans CJK SC"/>
        <family val="2"/>
      </rPr>
      <t xml:space="preserve">物件頁座標：同 </t>
    </r>
    <r>
      <rPr>
        <sz val="10"/>
        <color rgb="FF000000"/>
        <rFont val="Arial"/>
        <family val="0"/>
        <charset val="1"/>
      </rPr>
      <t xml:space="preserve">S07 </t>
    </r>
    <r>
      <rPr>
        <sz val="10"/>
        <color rgb="FF000000"/>
        <rFont val="Noto Sans CJK SC"/>
        <family val="2"/>
      </rPr>
      <t xml:space="preserve">明水路物件（</t>
    </r>
    <r>
      <rPr>
        <sz val="10"/>
        <color rgb="FF000000"/>
        <rFont val="Arial"/>
        <family val="0"/>
        <charset val="1"/>
      </rPr>
      <t xml:space="preserve">HouseWeb</t>
    </r>
    <r>
      <rPr>
        <sz val="10"/>
        <color rgb="FF000000"/>
        <rFont val="Noto Sans CJK SC"/>
        <family val="2"/>
      </rPr>
      <t xml:space="preserve">同戶）（</t>
    </r>
    <r>
      <rPr>
        <sz val="10"/>
        <color rgb="FF000000"/>
        <rFont val="Arial"/>
        <family val="0"/>
        <charset val="1"/>
      </rPr>
      <t xml:space="preserve">25.081444, 121.551799</t>
    </r>
    <r>
      <rPr>
        <sz val="10"/>
        <color rgb="FF000000"/>
        <rFont val="Noto Sans CJK SC"/>
        <family val="2"/>
      </rPr>
      <t xml:space="preserve">）</t>
    </r>
  </si>
  <si>
    <t xml:space="preserve">W02</t>
  </si>
  <si>
    <t xml:space="preserve">八德路四段 9F</t>
  </si>
  <si>
    <t xml:space="preserve">八德路四段</t>
  </si>
  <si>
    <t xml:space="preserve">9F/16F</t>
  </si>
  <si>
    <r>
      <rPr>
        <sz val="10"/>
        <color rgb="FF000000"/>
        <rFont val="Arial"/>
        <family val="0"/>
        <charset val="1"/>
      </rPr>
      <t xml:space="preserve">350,900</t>
    </r>
    <r>
      <rPr>
        <sz val="10"/>
        <color rgb="FF000000"/>
        <rFont val="Noto Sans CJK SC"/>
        <family val="2"/>
      </rPr>
      <t xml:space="preserve">（刊登價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稅別未標）</t>
    </r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</si>
  <si>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</si>
  <si>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優昇商用 連先生 </t>
    </r>
    <r>
      <rPr>
        <sz val="10"/>
        <color rgb="FF000000"/>
        <rFont val="Arial"/>
        <family val="0"/>
        <charset val="1"/>
      </rPr>
      <t xml:space="preserve">02-8751-6676 / 0939-658-987</t>
    </r>
  </si>
  <si>
    <t xml:space="preserve">HouseWeb·38張</t>
  </si>
  <si>
    <t xml:space="preserve">J11</t>
  </si>
  <si>
    <t xml:space="preserve">八德路vs龍江路 2F 220坪</t>
  </si>
  <si>
    <r>
      <rPr>
        <sz val="10"/>
        <color rgb="FF000000"/>
        <rFont val="Noto Sans CJK SC"/>
        <family val="2"/>
      </rPr>
      <t xml:space="preserve">八德路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龍江路</t>
    </r>
  </si>
  <si>
    <r>
      <rPr>
        <sz val="10"/>
        <color rgb="FF000000"/>
        <rFont val="Arial"/>
        <family val="0"/>
        <charset val="1"/>
      </rPr>
      <t xml:space="preserve">369,600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</si>
  <si>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不符：權狀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坪，公設比需≤</t>
    </r>
    <r>
      <rPr>
        <sz val="10"/>
        <color rgb="FF000000"/>
        <rFont val="Arial"/>
        <family val="0"/>
        <charset val="1"/>
      </rPr>
      <t xml:space="preserve">0.0%</t>
    </r>
    <r>
      <rPr>
        <sz val="10"/>
        <color rgb="FF000000"/>
        <rFont val="Noto Sans CJK SC"/>
        <family val="2"/>
      </rPr>
      <t xml:space="preserve">才達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（實坪未揭露）</t>
    </r>
  </si>
  <si>
    <t xml:space="preserve">傑森愛華原始PDF 第3頁（此列無照片）</t>
  </si>
  <si>
    <r>
      <rPr>
        <sz val="10"/>
        <color rgb="FF000000"/>
        <rFont val="Noto Sans CJK SC"/>
        <family val="2"/>
      </rPr>
      <t xml:space="preserve">概略位置：八德路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龍江路口（清單未給門牌）（</t>
    </r>
    <r>
      <rPr>
        <sz val="10"/>
        <color rgb="FF000000"/>
        <rFont val="Arial"/>
        <family val="0"/>
        <charset val="1"/>
      </rPr>
      <t xml:space="preserve">25.0467545, 121.5404769</t>
    </r>
    <r>
      <rPr>
        <sz val="10"/>
        <color rgb="FF000000"/>
        <rFont val="Noto Sans CJK SC"/>
        <family val="2"/>
      </rPr>
      <t xml:space="preserve">）</t>
    </r>
  </si>
  <si>
    <t xml:space="preserve">W06</t>
  </si>
  <si>
    <r>
      <rPr>
        <sz val="10"/>
        <color rgb="FF000000"/>
        <rFont val="Arial"/>
        <family val="0"/>
        <charset val="1"/>
      </rPr>
      <t xml:space="preserve">380,000</t>
    </r>
    <r>
      <rPr>
        <sz val="10"/>
        <color rgb="FF000000"/>
        <rFont val="Noto Sans CJK SC"/>
        <family val="2"/>
      </rPr>
      <t xml:space="preserve">（刊登價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稅別未標）</t>
    </r>
  </si>
  <si>
    <t xml:space="preserve">HouseWeb·37張</t>
  </si>
  <si>
    <r>
      <rPr>
        <sz val="10"/>
        <color rgb="FF000000"/>
        <rFont val="Noto Sans CJK SC"/>
        <family val="2"/>
      </rPr>
      <t xml:space="preserve">概略位置：同明水路大樓（推定，</t>
    </r>
    <r>
      <rPr>
        <sz val="10"/>
        <color rgb="FF000000"/>
        <rFont val="Arial"/>
        <family val="0"/>
        <charset val="1"/>
      </rPr>
      <t xml:space="preserve">HouseWeb</t>
    </r>
    <r>
      <rPr>
        <sz val="10"/>
        <color rgb="FF000000"/>
        <rFont val="Noto Sans CJK SC"/>
        <family val="2"/>
      </rPr>
      <t xml:space="preserve">未給門牌）（</t>
    </r>
    <r>
      <rPr>
        <sz val="10"/>
        <color rgb="FF000000"/>
        <rFont val="Arial"/>
        <family val="0"/>
        <charset val="1"/>
      </rPr>
      <t xml:space="preserve">25.081444, 121.551799</t>
    </r>
    <r>
      <rPr>
        <sz val="10"/>
        <color rgb="FF000000"/>
        <rFont val="Noto Sans CJK SC"/>
        <family val="2"/>
      </rPr>
      <t xml:space="preserve">）</t>
    </r>
  </si>
  <si>
    <t xml:space="preserve">W11</t>
  </si>
  <si>
    <t xml:space="preserve">光復南路 7F</t>
  </si>
  <si>
    <t xml:space="preserve">7F/11F(B2)</t>
  </si>
  <si>
    <r>
      <rPr>
        <sz val="10"/>
        <color rgb="FF000000"/>
        <rFont val="Arial"/>
        <family val="0"/>
        <charset val="1"/>
      </rPr>
      <t xml:space="preserve">400,000</t>
    </r>
    <r>
      <rPr>
        <sz val="10"/>
        <color rgb="FF000000"/>
        <rFont val="Noto Sans CJK SC"/>
        <family val="2"/>
      </rPr>
      <t xml:space="preserve">（含稅</t>
    </r>
    <r>
      <rPr>
        <sz val="10"/>
        <color rgb="FF000000"/>
        <rFont val="Arial"/>
        <family val="0"/>
        <charset val="1"/>
      </rPr>
      <t xml:space="preserve">(591</t>
    </r>
    <r>
      <rPr>
        <sz val="10"/>
        <color rgb="FF000000"/>
        <rFont val="Noto Sans CJK SC"/>
        <family val="2"/>
      </rPr>
      <t xml:space="preserve">備註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</si>
  <si>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211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</t>
    </r>
  </si>
  <si>
    <t xml:space="preserve">可承租</t>
  </si>
  <si>
    <r>
      <rPr>
        <sz val="10"/>
        <color rgb="FF000000"/>
        <rFont val="Noto Sans CJK SC"/>
        <family val="2"/>
      </rPr>
      <t xml:space="preserve">弗利艾樂 辦公室出租商業網 </t>
    </r>
    <r>
      <rPr>
        <sz val="10"/>
        <color rgb="FF000000"/>
        <rFont val="Arial"/>
        <family val="0"/>
        <charset val="1"/>
      </rPr>
      <t xml:space="preserve">0913-958-003 / 02-2547-1511</t>
    </r>
  </si>
  <si>
    <t xml:space="preserve">HouseWeb·40張</t>
  </si>
  <si>
    <t xml:space="preserve">H</t>
  </si>
  <si>
    <r>
      <rPr>
        <sz val="10"/>
        <color rgb="FF000000"/>
        <rFont val="Noto Sans CJK SC"/>
        <family val="2"/>
      </rPr>
      <t xml:space="preserve">光復南路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門牌未揭露</t>
    </r>
    <r>
      <rPr>
        <sz val="10"/>
        <color rgb="FF000000"/>
        <rFont val="Arial"/>
        <family val="0"/>
        <charset val="1"/>
      </rPr>
      <t xml:space="preserve">)</t>
    </r>
  </si>
  <si>
    <t xml:space="preserve">7F/11F</t>
  </si>
  <si>
    <r>
      <rPr>
        <sz val="10"/>
        <color rgb="FF000000"/>
        <rFont val="Arial"/>
        <family val="0"/>
        <charset val="1"/>
      </rPr>
      <t xml:space="preserve">400,000</t>
    </r>
    <r>
      <rPr>
        <sz val="10"/>
        <color rgb="FF000000"/>
        <rFont val="Noto Sans CJK SC"/>
        <family val="2"/>
      </rPr>
      <t xml:space="preserve">（含稅）</t>
    </r>
  </si>
  <si>
    <t xml:space="preserve">591</t>
  </si>
  <si>
    <r>
      <rPr>
        <sz val="10"/>
        <color rgb="FF000000"/>
        <rFont val="Noto Sans CJK SC"/>
        <family val="2"/>
      </rPr>
      <t xml:space="preserve">言成不動產 呂小姐 </t>
    </r>
    <r>
      <rPr>
        <sz val="10"/>
        <color rgb="FF000000"/>
        <rFont val="Arial"/>
        <family val="0"/>
        <charset val="1"/>
      </rPr>
      <t xml:space="preserve">0955-577-686</t>
    </r>
  </si>
  <si>
    <t xml:space="preserve">HouseWeb 本戶·40張照片</t>
  </si>
  <si>
    <t xml:space="preserve">J01</t>
  </si>
  <si>
    <t xml:space="preserve">信義路5段(環球) 18F 201坪</t>
  </si>
  <si>
    <r>
      <rPr>
        <sz val="10"/>
        <color rgb="FF000000"/>
        <rFont val="Noto Sans CJK SC"/>
        <family val="2"/>
      </rPr>
      <t xml:space="preserve">信義路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環球</t>
    </r>
    <r>
      <rPr>
        <sz val="10"/>
        <color rgb="FF000000"/>
        <rFont val="Arial"/>
        <family val="0"/>
        <charset val="1"/>
      </rPr>
      <t xml:space="preserve">)</t>
    </r>
  </si>
  <si>
    <t xml:space="preserve">18F</t>
  </si>
  <si>
    <r>
      <rPr>
        <sz val="10"/>
        <color rgb="FF000000"/>
        <rFont val="Arial"/>
        <family val="0"/>
        <charset val="1"/>
      </rPr>
      <t xml:space="preserve">401,100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</si>
  <si>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</t>
    </r>
  </si>
  <si>
    <t xml:space="preserve">傑森愛華原始PDF 第1頁（含照片）</t>
  </si>
  <si>
    <r>
      <rPr>
        <sz val="10"/>
        <color rgb="FF000000"/>
        <rFont val="Noto Sans CJK SC"/>
        <family val="2"/>
      </rPr>
      <t xml:space="preserve">概略位置：同環球世貿（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座標，清單未給門牌）（</t>
    </r>
    <r>
      <rPr>
        <sz val="10"/>
        <color rgb="FF000000"/>
        <rFont val="Arial"/>
        <family val="0"/>
        <charset val="1"/>
      </rPr>
      <t xml:space="preserve">25.028332, 121.571059</t>
    </r>
    <r>
      <rPr>
        <sz val="10"/>
        <color rgb="FF000000"/>
        <rFont val="Noto Sans CJK SC"/>
        <family val="2"/>
      </rPr>
      <t xml:space="preserve">）</t>
    </r>
  </si>
  <si>
    <t xml:space="preserve">J02</t>
  </si>
  <si>
    <t xml:space="preserve">南京東路5段近三民站 5F 204坪</t>
  </si>
  <si>
    <r>
      <rPr>
        <sz val="10"/>
        <color rgb="FF000000"/>
        <rFont val="Noto Sans CJK SC"/>
        <family val="2"/>
      </rPr>
      <t xml:space="preserve">南京東路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段近三民站</t>
    </r>
  </si>
  <si>
    <t xml:space="preserve">5F</t>
  </si>
  <si>
    <r>
      <rPr>
        <sz val="10"/>
        <color rgb="FF000000"/>
        <rFont val="Arial"/>
        <family val="0"/>
        <charset val="1"/>
      </rPr>
      <t xml:space="preserve">404,985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</si>
  <si>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t xml:space="preserve">W07</t>
  </si>
  <si>
    <t xml:space="preserve">明水路（大直） 3F</t>
  </si>
  <si>
    <t xml:space="preserve">3F/10F</t>
  </si>
  <si>
    <r>
      <rPr>
        <sz val="10"/>
        <color rgb="FF000000"/>
        <rFont val="Arial"/>
        <family val="0"/>
        <charset val="1"/>
      </rPr>
      <t xml:space="preserve">413,800</t>
    </r>
    <r>
      <rPr>
        <sz val="10"/>
        <color rgb="FF000000"/>
        <rFont val="Noto Sans CJK SC"/>
        <family val="2"/>
      </rPr>
      <t xml:space="preserve">（刊登價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稅別未標）</t>
    </r>
  </si>
  <si>
    <r>
      <rPr>
        <sz val="10"/>
        <color rgb="FF000000"/>
        <rFont val="Noto Sans CJK SC"/>
        <family val="2"/>
      </rPr>
      <t xml:space="preserve">平面式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費用另計</t>
    </r>
    <r>
      <rPr>
        <sz val="10"/>
        <color rgb="FF000000"/>
        <rFont val="Arial"/>
        <family val="0"/>
        <charset val="1"/>
      </rPr>
      <t xml:space="preserve">)</t>
    </r>
  </si>
  <si>
    <t xml:space="preserve">N22</t>
  </si>
  <si>
    <t xml:space="preserve">建國北路三段 2F（合併物件）</t>
  </si>
  <si>
    <t xml:space="preserve">建國北路三段</t>
  </si>
  <si>
    <t xml:space="preserve">2F/11F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</si>
  <si>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原文「刊登權狀坪數</t>
    </r>
    <r>
      <rPr>
        <sz val="10"/>
        <color rgb="FF000000"/>
        <rFont val="Arial"/>
        <family val="0"/>
        <charset val="1"/>
      </rPr>
      <t xml:space="preserve">306.62</t>
    </r>
    <r>
      <rPr>
        <sz val="10"/>
        <color rgb="FF000000"/>
        <rFont val="Noto Sans CJK SC"/>
        <family val="2"/>
      </rPr>
      <t xml:space="preserve">坪（此為合併物件）」</t>
    </r>
  </si>
  <si>
    <r>
      <rPr>
        <sz val="10"/>
        <color rgb="FF000000"/>
        <rFont val="Arial"/>
        <family val="0"/>
        <charset val="1"/>
      </rPr>
      <t xml:space="preserve">398,000 </t>
    </r>
    <r>
      <rPr>
        <sz val="10"/>
        <color rgb="FF000000"/>
        <rFont val="Noto Sans CJK SC"/>
        <family val="2"/>
      </rPr>
      <t xml:space="preserve">未稅（</t>
    </r>
    <r>
      <rPr>
        <sz val="10"/>
        <color rgb="FF000000"/>
        <rFont val="Arial"/>
        <family val="0"/>
        <charset val="1"/>
      </rPr>
      <t xml:space="preserve">591 21200503</t>
    </r>
    <r>
      <rPr>
        <sz val="10"/>
        <color rgb="FF000000"/>
        <rFont val="Noto Sans CJK SC"/>
        <family val="2"/>
      </rPr>
      <t xml:space="preserve">）→ 含稅 </t>
    </r>
    <r>
      <rPr>
        <sz val="10"/>
        <color rgb="FF000000"/>
        <rFont val="Arial"/>
        <family val="0"/>
        <charset val="1"/>
      </rPr>
      <t xml:space="preserve">417,900</t>
    </r>
    <r>
      <rPr>
        <sz val="10"/>
        <color rgb="FF000000"/>
        <rFont val="Noto Sans CJK SC"/>
        <family val="2"/>
      </rPr>
      <t xml:space="preserve">；另一刊登 </t>
    </r>
    <r>
      <rPr>
        <sz val="10"/>
        <color rgb="FF000000"/>
        <rFont val="Arial"/>
        <family val="0"/>
        <charset val="1"/>
      </rPr>
      <t xml:space="preserve">22058045 </t>
    </r>
    <r>
      <rPr>
        <sz val="10"/>
        <color rgb="FF000000"/>
        <rFont val="Noto Sans CJK SC"/>
        <family val="2"/>
      </rPr>
      <t xml:space="preserve">寫</t>
    </r>
    <r>
      <rPr>
        <sz val="10"/>
        <color rgb="FF000000"/>
        <rFont val="Arial"/>
        <family val="0"/>
        <charset val="1"/>
      </rPr>
      <t xml:space="preserve">306</t>
    </r>
    <r>
      <rPr>
        <sz val="10"/>
        <color rgb="FF000000"/>
        <rFont val="Noto Sans CJK SC"/>
        <family val="2"/>
      </rPr>
      <t xml:space="preserve">坪 </t>
    </r>
    <r>
      <rPr>
        <sz val="10"/>
        <color rgb="FF000000"/>
        <rFont val="Arial"/>
        <family val="0"/>
        <charset val="1"/>
      </rPr>
      <t xml:space="preserve">415,000</t>
    </r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</si>
  <si>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橘</t>
    </r>
    <r>
      <rPr>
        <sz val="10"/>
        <color rgb="FF000000"/>
        <rFont val="Arial"/>
        <family val="0"/>
        <charset val="1"/>
      </rPr>
      <t xml:space="preserve">) 486m</t>
    </r>
  </si>
  <si>
    <r>
      <rPr>
        <sz val="10"/>
        <color rgb="FF000000"/>
        <rFont val="Noto Sans CJK SC"/>
        <family val="2"/>
      </rPr>
      <t xml:space="preserve">不符：附近無綠紅藍線（僅橘線行天宮</t>
    </r>
    <r>
      <rPr>
        <sz val="10"/>
        <color rgb="FF000000"/>
        <rFont val="Arial"/>
        <family val="0"/>
        <charset val="1"/>
      </rPr>
      <t xml:space="preserve">486m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</si>
  <si>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591 21200503</t>
    </r>
    <r>
      <rPr>
        <sz val="10"/>
        <color rgb="FF000000"/>
        <rFont val="Noto Sans CJK SC"/>
        <family val="2"/>
      </rPr>
      <t xml:space="preserve">（尚揚 陳先生）、</t>
    </r>
    <r>
      <rPr>
        <sz val="10"/>
        <color rgb="FF000000"/>
        <rFont val="Arial"/>
        <family val="0"/>
        <charset val="1"/>
      </rPr>
      <t xml:space="preserve">22058045</t>
    </r>
  </si>
  <si>
    <t xml:space="preserve">J09</t>
  </si>
  <si>
    <t xml:space="preserve">敦化北路VS民生東路 2F 211坪</t>
  </si>
  <si>
    <r>
      <rPr>
        <sz val="10"/>
        <color rgb="FF000000"/>
        <rFont val="Noto Sans CJK SC"/>
        <family val="2"/>
      </rPr>
      <t xml:space="preserve">敦化北路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民生東路</t>
    </r>
  </si>
  <si>
    <r>
      <rPr>
        <sz val="10"/>
        <color rgb="FF000000"/>
        <rFont val="Arial"/>
        <family val="0"/>
        <charset val="1"/>
      </rPr>
      <t xml:space="preserve">436,800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</si>
  <si>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t xml:space="preserve">傑森愛華原始PDF 第3頁（含照片）</t>
  </si>
  <si>
    <r>
      <rPr>
        <sz val="10"/>
        <color rgb="FF000000"/>
        <rFont val="Noto Sans CJK SC"/>
        <family val="2"/>
      </rPr>
      <t xml:space="preserve">概略位置：敦化北路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民生東路口（清單未給門牌）（</t>
    </r>
    <r>
      <rPr>
        <sz val="10"/>
        <color rgb="FF000000"/>
        <rFont val="Arial"/>
        <family val="0"/>
        <charset val="1"/>
      </rPr>
      <t xml:space="preserve">25.058038, 121.549018</t>
    </r>
    <r>
      <rPr>
        <sz val="10"/>
        <color rgb="FF000000"/>
        <rFont val="Noto Sans CJK SC"/>
        <family val="2"/>
      </rPr>
      <t xml:space="preserve">）</t>
    </r>
  </si>
  <si>
    <t xml:space="preserve">J06</t>
  </si>
  <si>
    <t xml:space="preserve">中山北路1段近市民大道 9F 209坪</t>
  </si>
  <si>
    <r>
      <rPr>
        <sz val="10"/>
        <color rgb="FF000000"/>
        <rFont val="Noto Sans CJK SC"/>
        <family val="2"/>
      </rPr>
      <t xml:space="preserve">中山北路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段近市民大道</t>
    </r>
  </si>
  <si>
    <t xml:space="preserve">9F</t>
  </si>
  <si>
    <r>
      <rPr>
        <sz val="10"/>
        <color rgb="FF000000"/>
        <rFont val="Arial"/>
        <family val="0"/>
        <charset val="1"/>
      </rPr>
      <t xml:space="preserve">438,900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</si>
  <si>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209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</t>
    </r>
  </si>
  <si>
    <t xml:space="preserve">傑森愛華原始PDF 第2頁（含照片）</t>
  </si>
  <si>
    <r>
      <rPr>
        <sz val="10"/>
        <color rgb="FF000000"/>
        <rFont val="Noto Sans CJK SC"/>
        <family val="2"/>
      </rPr>
      <t xml:space="preserve">概略位置：中山北路一段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市民大道口（清單未給門牌）（</t>
    </r>
    <r>
      <rPr>
        <sz val="10"/>
        <color rgb="FF000000"/>
        <rFont val="Arial"/>
        <family val="0"/>
        <charset val="1"/>
      </rPr>
      <t xml:space="preserve">25.0482394, 121.5206867</t>
    </r>
    <r>
      <rPr>
        <sz val="10"/>
        <color rgb="FF000000"/>
        <rFont val="Noto Sans CJK SC"/>
        <family val="2"/>
      </rPr>
      <t xml:space="preserve">）</t>
    </r>
  </si>
  <si>
    <t xml:space="preserve">W04</t>
  </si>
  <si>
    <t xml:space="preserve">植福路（大直） 9F</t>
  </si>
  <si>
    <r>
      <rPr>
        <sz val="10"/>
        <color rgb="FF000000"/>
        <rFont val="Noto Sans CJK SC"/>
        <family val="2"/>
      </rPr>
      <t xml:space="preserve">植福路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大直</t>
    </r>
    <r>
      <rPr>
        <sz val="10"/>
        <color rgb="FF000000"/>
        <rFont val="Arial"/>
        <family val="0"/>
        <charset val="1"/>
      </rPr>
      <t xml:space="preserve">)</t>
    </r>
  </si>
  <si>
    <t xml:space="preserve">9F/10F</t>
  </si>
  <si>
    <r>
      <rPr>
        <sz val="10"/>
        <color rgb="FF000000"/>
        <rFont val="Arial"/>
        <family val="0"/>
        <charset val="1"/>
      </rPr>
      <t xml:space="preserve">446,800</t>
    </r>
    <r>
      <rPr>
        <sz val="10"/>
        <color rgb="FF000000"/>
        <rFont val="Noto Sans CJK SC"/>
        <family val="2"/>
      </rPr>
      <t xml:space="preserve">（刊登價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稅別未標）</t>
    </r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</si>
  <si>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）；大直（依指示不列優先）</t>
    </r>
  </si>
  <si>
    <t xml:space="preserve">HouseWeb·43張</t>
  </si>
  <si>
    <t xml:space="preserve">Y1</t>
  </si>
  <si>
    <t xml:space="preserve">安敦國際大樓 14F</t>
  </si>
  <si>
    <r>
      <rPr>
        <sz val="10"/>
        <color rgb="FF000000"/>
        <rFont val="Noto Sans CJK SC"/>
        <family val="2"/>
      </rPr>
      <t xml:space="preserve">安和路一段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安敦國際大樓</t>
    </r>
    <r>
      <rPr>
        <sz val="10"/>
        <color rgb="FF000000"/>
        <rFont val="Arial"/>
        <family val="0"/>
        <charset val="1"/>
      </rPr>
      <t xml:space="preserve">)</t>
    </r>
  </si>
  <si>
    <t xml:space="preserve">14F/18F</t>
  </si>
  <si>
    <r>
      <rPr>
        <sz val="10"/>
        <color rgb="FF000000"/>
        <rFont val="Arial"/>
        <family val="0"/>
        <charset val="1"/>
      </rPr>
      <t xml:space="preserve">448,000</t>
    </r>
    <r>
      <rPr>
        <sz val="10"/>
        <color rgb="FF000000"/>
        <rFont val="Noto Sans CJK SC"/>
        <family val="2"/>
      </rPr>
      <t xml:space="preserve">（含稅）</t>
    </r>
  </si>
  <si>
    <r>
      <rPr>
        <sz val="10"/>
        <color rgb="FF000000"/>
        <rFont val="Noto Sans CJK SC"/>
        <family val="2"/>
      </rPr>
      <t xml:space="preserve">不符：權狀</t>
    </r>
    <r>
      <rPr>
        <sz val="10"/>
        <color rgb="FF000000"/>
        <rFont val="Arial"/>
        <family val="0"/>
        <charset val="1"/>
      </rPr>
      <t xml:space="preserve">224.18</t>
    </r>
    <r>
      <rPr>
        <sz val="10"/>
        <color rgb="FF000000"/>
        <rFont val="Noto Sans CJK SC"/>
        <family val="2"/>
      </rPr>
      <t xml:space="preserve">坪，公設比需≤</t>
    </r>
    <r>
      <rPr>
        <sz val="10"/>
        <color rgb="FF000000"/>
        <rFont val="Arial"/>
        <family val="0"/>
        <charset val="1"/>
      </rPr>
      <t xml:space="preserve">1.9%</t>
    </r>
    <r>
      <rPr>
        <sz val="10"/>
        <color rgb="FF000000"/>
        <rFont val="Noto Sans CJK SC"/>
        <family val="2"/>
      </rPr>
      <t xml:space="preserve">才達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（實坪未揭露）</t>
    </r>
  </si>
  <si>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</si>
  <si>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租金內含坡道平面車位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數量未標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</si>
  <si>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永慶房屋 南京光復直營店 簡伊涵 </t>
    </r>
    <r>
      <rPr>
        <sz val="10"/>
        <color rgb="FF000000"/>
        <rFont val="Arial"/>
        <family val="0"/>
        <charset val="1"/>
      </rPr>
      <t xml:space="preserve">0916-263-633</t>
    </r>
  </si>
  <si>
    <t xml:space="preserve">永慶 本戶14F·15張照片</t>
  </si>
  <si>
    <r>
      <rPr>
        <sz val="10"/>
        <color rgb="FF000000"/>
        <rFont val="Noto Sans CJK SC"/>
        <family val="2"/>
      </rPr>
      <t xml:space="preserve">物件頁座標：同安敦國際大樓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信義全球座標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25.03901, 121.550592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</si>
  <si>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591 11580037 </t>
    </r>
    <r>
      <rPr>
        <sz val="10"/>
        <color rgb="FF000000"/>
        <rFont val="Noto Sans CJK SC"/>
        <family val="2"/>
      </rPr>
      <t xml:space="preserve">刊登</t>
    </r>
    <r>
      <rPr>
        <sz val="10"/>
        <color rgb="FF000000"/>
        <rFont val="Arial"/>
        <family val="0"/>
        <charset val="1"/>
      </rPr>
      <t xml:space="preserve">303</t>
    </r>
    <r>
      <rPr>
        <sz val="10"/>
        <color rgb="FF000000"/>
        <rFont val="Noto Sans CJK SC"/>
        <family val="2"/>
      </rPr>
      <t xml:space="preserve">坪，內文「廣告顯示使用面積為含公設面積」</t>
    </r>
  </si>
  <si>
    <r>
      <rPr>
        <sz val="10"/>
        <color rgb="FF000000"/>
        <rFont val="Arial"/>
        <family val="0"/>
        <charset val="1"/>
      </rPr>
      <t xml:space="preserve">591 11580037</t>
    </r>
    <r>
      <rPr>
        <sz val="10"/>
        <color rgb="FF000000"/>
        <rFont val="Noto Sans CJK SC"/>
        <family val="2"/>
      </rPr>
      <t xml:space="preserve">（住商不動產安和仁愛加盟店 林玉蘋）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</si>
  <si>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591 11580037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25.0641548, 121.5204928</t>
    </r>
    <r>
      <rPr>
        <sz val="10"/>
        <color rgb="FF000000"/>
        <rFont val="Noto Sans CJK SC"/>
        <family val="2"/>
      </rPr>
      <t xml:space="preserve">）</t>
    </r>
  </si>
  <si>
    <t xml:space="preserve">W01</t>
  </si>
  <si>
    <t xml:space="preserve">敦南商圈（路名未揭露）</t>
  </si>
  <si>
    <r>
      <rPr>
        <sz val="10"/>
        <color rgb="FF000000"/>
        <rFont val="Noto Sans CJK SC"/>
        <family val="2"/>
      </rPr>
      <t xml:space="preserve">敦南商圈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路名未揭露</t>
    </r>
    <r>
      <rPr>
        <sz val="10"/>
        <color rgb="FF000000"/>
        <rFont val="Arial"/>
        <family val="0"/>
        <charset val="1"/>
      </rPr>
      <t xml:space="preserve">)</t>
    </r>
  </si>
  <si>
    <t xml:space="preserve">—/27F(B4)</t>
  </si>
  <si>
    <r>
      <rPr>
        <sz val="10"/>
        <color rgb="FF000000"/>
        <rFont val="Arial"/>
        <family val="0"/>
        <charset val="1"/>
      </rPr>
      <t xml:space="preserve">469,000</t>
    </r>
    <r>
      <rPr>
        <sz val="10"/>
        <color rgb="FF000000"/>
        <rFont val="Noto Sans CJK SC"/>
        <family val="2"/>
      </rPr>
      <t xml:space="preserve">（刊登價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稅別未標）</t>
    </r>
  </si>
  <si>
    <r>
      <rPr>
        <sz val="10"/>
        <color rgb="FF000000"/>
        <rFont val="Noto Sans CJK SC"/>
        <family val="2"/>
      </rPr>
      <t xml:space="preserve">滿意房屋 </t>
    </r>
    <r>
      <rPr>
        <sz val="10"/>
        <color rgb="FF000000"/>
        <rFont val="Arial"/>
        <family val="0"/>
        <charset val="1"/>
      </rPr>
      <t xml:space="preserve">02-2713-5151</t>
    </r>
  </si>
  <si>
    <t xml:space="preserve">HouseWeb·26張</t>
  </si>
  <si>
    <r>
      <rPr>
        <sz val="10"/>
        <color rgb="FF000000"/>
        <rFont val="Arial"/>
        <family val="0"/>
        <charset val="1"/>
      </rPr>
      <t xml:space="preserve">591 22062144 </t>
    </r>
    <r>
      <rPr>
        <sz val="10"/>
        <color rgb="FF000000"/>
        <rFont val="Noto Sans CJK SC"/>
        <family val="2"/>
      </rPr>
      <t xml:space="preserve">刊登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Noto Sans CJK SC"/>
        <family val="2"/>
      </rPr>
      <t xml:space="preserve">坪，內文「廣告坪數為權狀坪數」</t>
    </r>
  </si>
  <si>
    <r>
      <rPr>
        <sz val="10"/>
        <color rgb="FF000000"/>
        <rFont val="Arial"/>
        <family val="0"/>
        <charset val="1"/>
      </rPr>
      <t xml:space="preserve">591 22062144</t>
    </r>
    <r>
      <rPr>
        <sz val="10"/>
        <color rgb="FF000000"/>
        <rFont val="Noto Sans CJK SC"/>
        <family val="2"/>
      </rPr>
      <t xml:space="preserve">（易信 王先生）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</si>
  <si>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物件頁地圖座標（概略）（</t>
    </r>
    <r>
      <rPr>
        <sz val="10"/>
        <color rgb="FF000000"/>
        <rFont val="Arial"/>
        <family val="0"/>
        <charset val="1"/>
      </rPr>
      <t xml:space="preserve">25.0277004, 121.5485169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</si>
  <si>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591 17979949 </t>
    </r>
    <r>
      <rPr>
        <sz val="10"/>
        <color rgb="FF000000"/>
        <rFont val="Noto Sans CJK SC"/>
        <family val="2"/>
      </rPr>
      <t xml:space="preserve">刊登「</t>
    </r>
    <r>
      <rPr>
        <sz val="10"/>
        <color rgb="FF000000"/>
        <rFont val="Arial"/>
        <family val="0"/>
        <charset val="1"/>
      </rPr>
      <t xml:space="preserve">195</t>
    </r>
    <r>
      <rPr>
        <sz val="10"/>
        <color rgb="FF000000"/>
        <rFont val="Noto Sans CJK SC"/>
        <family val="2"/>
      </rPr>
      <t xml:space="preserve">坪」（未說明權狀或使用坪數；內文「使用坪數超值、超低公設」）</t>
    </r>
  </si>
  <si>
    <r>
      <rPr>
        <sz val="10"/>
        <color rgb="FF000000"/>
        <rFont val="Arial"/>
        <family val="0"/>
        <charset val="1"/>
      </rPr>
      <t xml:space="preserve">591 17979949</t>
    </r>
    <r>
      <rPr>
        <sz val="10"/>
        <color rgb="FF000000"/>
        <rFont val="Noto Sans CJK SC"/>
        <family val="2"/>
      </rPr>
      <t xml:space="preserve">（尚揚 陳先生）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</si>
  <si>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591 17979949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25.0529935, 121.5528903</t>
    </r>
    <r>
      <rPr>
        <sz val="10"/>
        <color rgb="FF000000"/>
        <rFont val="Noto Sans CJK SC"/>
        <family val="2"/>
      </rPr>
      <t xml:space="preserve">）</t>
    </r>
  </si>
  <si>
    <t xml:space="preserve">J13</t>
  </si>
  <si>
    <t xml:space="preserve">民生東路VS建國北路 2*F 225坪</t>
  </si>
  <si>
    <r>
      <rPr>
        <sz val="10"/>
        <color rgb="FF000000"/>
        <rFont val="Noto Sans CJK SC"/>
        <family val="2"/>
      </rPr>
      <t xml:space="preserve">民生東路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建國北路</t>
    </r>
  </si>
  <si>
    <t xml:space="preserve">2*F</t>
  </si>
  <si>
    <r>
      <rPr>
        <sz val="10"/>
        <color rgb="FF000000"/>
        <rFont val="Arial"/>
        <family val="0"/>
        <charset val="1"/>
      </rPr>
      <t xml:space="preserve">472,500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</si>
  <si>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不符：權狀</t>
    </r>
    <r>
      <rPr>
        <sz val="10"/>
        <color rgb="FF000000"/>
        <rFont val="Arial"/>
        <family val="0"/>
        <charset val="1"/>
      </rPr>
      <t xml:space="preserve">225</t>
    </r>
    <r>
      <rPr>
        <sz val="10"/>
        <color rgb="FF000000"/>
        <rFont val="Noto Sans CJK SC"/>
        <family val="2"/>
      </rPr>
      <t xml:space="preserve">坪，公設比需≤</t>
    </r>
    <r>
      <rPr>
        <sz val="10"/>
        <color rgb="FF000000"/>
        <rFont val="Arial"/>
        <family val="0"/>
        <charset val="1"/>
      </rPr>
      <t xml:space="preserve">2.2%</t>
    </r>
    <r>
      <rPr>
        <sz val="10"/>
        <color rgb="FF000000"/>
        <rFont val="Noto Sans CJK SC"/>
        <family val="2"/>
      </rPr>
      <t xml:space="preserve">才達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（實坪未揭露）</t>
    </r>
  </si>
  <si>
    <t xml:space="preserve">傑森愛華原始PDF 第4頁（含照片）</t>
  </si>
  <si>
    <r>
      <rPr>
        <sz val="10"/>
        <color rgb="FF000000"/>
        <rFont val="Noto Sans CJK SC"/>
        <family val="2"/>
      </rPr>
      <t xml:space="preserve">概略位置：民生東路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建國北路口（清單未給門牌）（</t>
    </r>
    <r>
      <rPr>
        <sz val="10"/>
        <color rgb="FF000000"/>
        <rFont val="Arial"/>
        <family val="0"/>
        <charset val="1"/>
      </rPr>
      <t xml:space="preserve">25.0576372, 121.5376791</t>
    </r>
    <r>
      <rPr>
        <sz val="10"/>
        <color rgb="FF000000"/>
        <rFont val="Noto Sans CJK SC"/>
        <family val="2"/>
      </rPr>
      <t xml:space="preserve">）</t>
    </r>
  </si>
  <si>
    <t xml:space="preserve">J04</t>
  </si>
  <si>
    <t xml:space="preserve">民生東路3段vs復興北路 11F 205坪</t>
  </si>
  <si>
    <r>
      <rPr>
        <sz val="10"/>
        <color rgb="FF000000"/>
        <rFont val="Noto Sans CJK SC"/>
        <family val="2"/>
      </rPr>
      <t xml:space="preserve">民生東路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復興北路</t>
    </r>
  </si>
  <si>
    <t xml:space="preserve">11F</t>
  </si>
  <si>
    <r>
      <rPr>
        <sz val="10"/>
        <color rgb="FF000000"/>
        <rFont val="Arial"/>
        <family val="0"/>
        <charset val="1"/>
      </rPr>
      <t xml:space="preserve">486,465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</si>
  <si>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概略位置：民生東路三段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復興北路口（清單未給門牌）（</t>
    </r>
    <r>
      <rPr>
        <sz val="10"/>
        <color rgb="FF000000"/>
        <rFont val="Arial"/>
        <family val="0"/>
        <charset val="1"/>
      </rPr>
      <t xml:space="preserve">25.0576954, 121.5440874</t>
    </r>
    <r>
      <rPr>
        <sz val="10"/>
        <color rgb="FF000000"/>
        <rFont val="Noto Sans CJK SC"/>
        <family val="2"/>
      </rPr>
      <t xml:space="preserve">）</t>
    </r>
  </si>
  <si>
    <t xml:space="preserve">J05</t>
  </si>
  <si>
    <t xml:space="preserve">民生東路3段vs復興北路 3F 205坪</t>
  </si>
  <si>
    <t xml:space="preserve">3F</t>
  </si>
  <si>
    <t xml:space="preserve">J03</t>
  </si>
  <si>
    <t xml:space="preserve">中山北路近市民大道 17F 204坪</t>
  </si>
  <si>
    <t xml:space="preserve">中山北路近市民大道</t>
  </si>
  <si>
    <t xml:space="preserve">17F</t>
  </si>
  <si>
    <r>
      <rPr>
        <sz val="10"/>
        <color rgb="FF000000"/>
        <rFont val="Arial"/>
        <family val="0"/>
        <charset val="1"/>
      </rPr>
      <t xml:space="preserve">490,245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</si>
  <si>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年</t>
    </r>
  </si>
  <si>
    <t xml:space="preserve">傑森愛華原始PDF 第1頁（此列無照片）；同戶照片見W08 HouseWeb</t>
  </si>
  <si>
    <t xml:space="preserve">W08</t>
  </si>
  <si>
    <t xml:space="preserve">中山北路一段 17F</t>
  </si>
  <si>
    <t xml:space="preserve">中山北路一段</t>
  </si>
  <si>
    <t xml:space="preserve">17F/18F(B4)</t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</si>
  <si>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</si>
  <si>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松高房屋 洪小姐 </t>
    </r>
    <r>
      <rPr>
        <sz val="10"/>
        <color rgb="FF000000"/>
        <rFont val="Arial"/>
        <family val="0"/>
        <charset val="1"/>
      </rPr>
      <t xml:space="preserve">0984-278-218</t>
    </r>
  </si>
  <si>
    <t xml:space="preserve">HouseWeb·35張</t>
  </si>
  <si>
    <r>
      <rPr>
        <sz val="10"/>
        <color rgb="FF000000"/>
        <rFont val="Noto Sans CJK SC"/>
        <family val="2"/>
      </rPr>
      <t xml:space="preserve">概略位置：中山北路一段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市民大道口（</t>
    </r>
    <r>
      <rPr>
        <sz val="10"/>
        <color rgb="FF000000"/>
        <rFont val="Arial"/>
        <family val="0"/>
        <charset val="1"/>
      </rPr>
      <t xml:space="preserve">HouseWeb</t>
    </r>
    <r>
      <rPr>
        <sz val="10"/>
        <color rgb="FF000000"/>
        <rFont val="Noto Sans CJK SC"/>
        <family val="2"/>
      </rPr>
      <t xml:space="preserve">未給門牌）（</t>
    </r>
    <r>
      <rPr>
        <sz val="10"/>
        <color rgb="FF000000"/>
        <rFont val="Arial"/>
        <family val="0"/>
        <charset val="1"/>
      </rPr>
      <t xml:space="preserve">25.0482394, 121.5206867</t>
    </r>
    <r>
      <rPr>
        <sz val="10"/>
        <color rgb="FF000000"/>
        <rFont val="Noto Sans CJK SC"/>
        <family val="2"/>
      </rPr>
      <t xml:space="preserve">）</t>
    </r>
  </si>
  <si>
    <t xml:space="preserve">J10</t>
  </si>
  <si>
    <t xml:space="preserve">安和路一段 (即安敦國際大樓17F) 17F 214坪</t>
  </si>
  <si>
    <r>
      <rPr>
        <sz val="10"/>
        <color rgb="FF000000"/>
        <rFont val="Noto Sans CJK SC"/>
        <family val="2"/>
      </rPr>
      <t xml:space="preserve">安和路一段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即安敦國際大樓</t>
    </r>
    <r>
      <rPr>
        <sz val="10"/>
        <color rgb="FF000000"/>
        <rFont val="Arial"/>
        <family val="0"/>
        <charset val="1"/>
      </rPr>
      <t xml:space="preserve">17F)</t>
    </r>
  </si>
  <si>
    <r>
      <rPr>
        <sz val="10"/>
        <color rgb="FF000000"/>
        <rFont val="Arial"/>
        <family val="0"/>
        <charset val="1"/>
      </rPr>
      <t xml:space="preserve">494,340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</si>
  <si>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214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</t>
    </r>
  </si>
  <si>
    <t xml:space="preserve">傑森愛華原始PDF 第3頁（含照片）；同戶另見信義CZ05290</t>
  </si>
  <si>
    <r>
      <rPr>
        <sz val="10"/>
        <color rgb="FF000000"/>
        <rFont val="Arial"/>
        <family val="0"/>
        <charset val="1"/>
      </rPr>
      <t xml:space="preserve">591 21423260 </t>
    </r>
    <r>
      <rPr>
        <sz val="10"/>
        <color rgb="FF000000"/>
        <rFont val="Noto Sans CJK SC"/>
        <family val="2"/>
      </rPr>
      <t xml:space="preserve">刊登</t>
    </r>
    <r>
      <rPr>
        <sz val="10"/>
        <color rgb="FF000000"/>
        <rFont val="Arial"/>
        <family val="0"/>
        <charset val="1"/>
      </rPr>
      <t xml:space="preserve">209.16</t>
    </r>
    <r>
      <rPr>
        <sz val="10"/>
        <color rgb="FF000000"/>
        <rFont val="Noto Sans CJK SC"/>
        <family val="2"/>
      </rPr>
      <t xml:space="preserve">坪，內文「權狀約</t>
    </r>
    <r>
      <rPr>
        <sz val="10"/>
        <color rgb="FF000000"/>
        <rFont val="Arial"/>
        <family val="0"/>
        <charset val="1"/>
      </rPr>
      <t xml:space="preserve">209</t>
    </r>
    <r>
      <rPr>
        <sz val="10"/>
        <color rgb="FF000000"/>
        <rFont val="Noto Sans CJK SC"/>
        <family val="2"/>
      </rPr>
      <t xml:space="preserve">坪」</t>
    </r>
  </si>
  <si>
    <r>
      <rPr>
        <sz val="10"/>
        <color rgb="FF000000"/>
        <rFont val="Arial"/>
        <family val="0"/>
        <charset val="1"/>
      </rPr>
      <t xml:space="preserve">591 21423260</t>
    </r>
    <r>
      <rPr>
        <sz val="10"/>
        <color rgb="FF000000"/>
        <rFont val="Noto Sans CJK SC"/>
        <family val="2"/>
      </rPr>
      <t xml:space="preserve">（尚揚 陳先生）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</si>
  <si>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591 21423260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25.0507974, 121.5430008</t>
    </r>
    <r>
      <rPr>
        <sz val="10"/>
        <color rgb="FF000000"/>
        <rFont val="Noto Sans CJK SC"/>
        <family val="2"/>
      </rPr>
      <t xml:space="preserve">）</t>
    </r>
  </si>
  <si>
    <t xml:space="preserve">J08</t>
  </si>
  <si>
    <t xml:space="preserve">南京東路近龍江路 8F 210坪</t>
  </si>
  <si>
    <t xml:space="preserve">南京東路近龍江路</t>
  </si>
  <si>
    <r>
      <rPr>
        <sz val="10"/>
        <color rgb="FF000000"/>
        <rFont val="Arial"/>
        <family val="0"/>
        <charset val="1"/>
      </rPr>
      <t xml:space="preserve">507,150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</si>
  <si>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不符：權狀僅</t>
    </r>
    <r>
      <rPr>
        <sz val="10"/>
        <color rgb="FF000000"/>
        <rFont val="Arial"/>
        <family val="0"/>
        <charset val="1"/>
      </rPr>
      <t xml:space="preserve">210</t>
    </r>
    <r>
      <rPr>
        <sz val="10"/>
        <color rgb="FF000000"/>
        <rFont val="Noto Sans CJK SC"/>
        <family val="2"/>
      </rPr>
      <t xml:space="preserve">坪（實坪必低於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</si>
  <si>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概略位置：南京東路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龍江路口（清單未給門牌）（</t>
    </r>
    <r>
      <rPr>
        <sz val="10"/>
        <color rgb="FF000000"/>
        <rFont val="Arial"/>
        <family val="0"/>
        <charset val="1"/>
      </rPr>
      <t xml:space="preserve">25.051929, 121.540853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</si>
  <si>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591 20903777 </t>
    </r>
    <r>
      <rPr>
        <sz val="10"/>
        <color rgb="FF000000"/>
        <rFont val="Noto Sans CJK SC"/>
        <family val="2"/>
      </rPr>
      <t xml:space="preserve">刊登</t>
    </r>
    <r>
      <rPr>
        <sz val="10"/>
        <color rgb="FF000000"/>
        <rFont val="Arial"/>
        <family val="0"/>
        <charset val="1"/>
      </rPr>
      <t xml:space="preserve">221</t>
    </r>
    <r>
      <rPr>
        <sz val="10"/>
        <color rgb="FF000000"/>
        <rFont val="Noto Sans CJK SC"/>
        <family val="2"/>
      </rPr>
      <t xml:space="preserve">坪，內文「此顯示坪數皆為權狀登記坪數；此物件為分割案件」</t>
    </r>
  </si>
  <si>
    <r>
      <rPr>
        <sz val="10"/>
        <color rgb="FF000000"/>
        <rFont val="Arial"/>
        <family val="0"/>
        <charset val="1"/>
      </rPr>
      <t xml:space="preserve">591 20903777</t>
    </r>
    <r>
      <rPr>
        <sz val="10"/>
        <color rgb="FF000000"/>
        <rFont val="Noto Sans CJK SC"/>
        <family val="2"/>
      </rPr>
      <t xml:space="preserve">（經紀人 李炳興）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</si>
  <si>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591 20903777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25.0512031, 121.5510999</t>
    </r>
    <r>
      <rPr>
        <sz val="10"/>
        <color rgb="FF000000"/>
        <rFont val="Noto Sans CJK SC"/>
        <family val="2"/>
      </rPr>
      <t xml:space="preserve">）</t>
    </r>
  </si>
  <si>
    <t xml:space="preserve">N23</t>
  </si>
  <si>
    <t xml:space="preserve">民權東路三段 9F</t>
  </si>
  <si>
    <t xml:space="preserve">民權東路三段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</si>
  <si>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只寫使用坪數</t>
    </r>
    <r>
      <rPr>
        <sz val="10"/>
        <color rgb="FF000000"/>
        <rFont val="Arial"/>
        <family val="0"/>
        <charset val="1"/>
      </rPr>
      <t xml:space="preserve">306.48</t>
    </r>
  </si>
  <si>
    <r>
      <rPr>
        <sz val="10"/>
        <color rgb="FF000000"/>
        <rFont val="Arial"/>
        <family val="0"/>
        <charset val="1"/>
      </rPr>
      <t xml:space="preserve">484,857 </t>
    </r>
    <r>
      <rPr>
        <sz val="10"/>
        <color rgb="FF000000"/>
        <rFont val="Noto Sans CJK SC"/>
        <family val="2"/>
      </rPr>
      <t xml:space="preserve">未稅（</t>
    </r>
    <r>
      <rPr>
        <sz val="10"/>
        <color rgb="FF000000"/>
        <rFont val="Arial"/>
        <family val="0"/>
        <charset val="1"/>
      </rPr>
      <t xml:space="preserve">591 21587259</t>
    </r>
    <r>
      <rPr>
        <sz val="10"/>
        <color rgb="FF000000"/>
        <rFont val="Noto Sans CJK SC"/>
        <family val="2"/>
      </rPr>
      <t xml:space="preserve">）→ 含稅 </t>
    </r>
    <r>
      <rPr>
        <sz val="10"/>
        <color rgb="FF000000"/>
        <rFont val="Arial"/>
        <family val="0"/>
        <charset val="1"/>
      </rPr>
      <t xml:space="preserve">509,100</t>
    </r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</si>
  <si>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 138m</t>
    </r>
  </si>
  <si>
    <r>
      <rPr>
        <sz val="10"/>
        <color rgb="FF000000"/>
        <rFont val="Noto Sans CJK SC"/>
        <family val="2"/>
      </rPr>
      <t xml:space="preserve">不符：附近只有棕線（中山國中</t>
    </r>
    <r>
      <rPr>
        <sz val="10"/>
        <color rgb="FF000000"/>
        <rFont val="Arial"/>
        <family val="0"/>
        <charset val="1"/>
      </rPr>
      <t xml:space="preserve">138m</t>
    </r>
    <r>
      <rPr>
        <sz val="10"/>
        <color rgb="FF000000"/>
        <rFont val="Noto Sans CJK SC"/>
        <family val="2"/>
      </rPr>
      <t xml:space="preserve">），綠紅藍線未確認</t>
    </r>
  </si>
  <si>
    <r>
      <rPr>
        <sz val="10"/>
        <color rgb="FF000000"/>
        <rFont val="Arial"/>
        <family val="0"/>
        <charset val="1"/>
      </rPr>
      <t xml:space="preserve">591 21587259</t>
    </r>
    <r>
      <rPr>
        <sz val="10"/>
        <color rgb="FF000000"/>
        <rFont val="Noto Sans CJK SC"/>
        <family val="2"/>
      </rPr>
      <t xml:space="preserve">（兆淇 童先生）、</t>
    </r>
    <r>
      <rPr>
        <sz val="10"/>
        <color rgb="FF000000"/>
        <rFont val="Arial"/>
        <family val="0"/>
        <charset val="1"/>
      </rPr>
      <t xml:space="preserve">21921504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21983146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22062115</t>
    </r>
  </si>
  <si>
    <r>
      <rPr>
        <sz val="10"/>
        <color rgb="FF000000"/>
        <rFont val="Noto Sans CJK SC"/>
        <family val="2"/>
      </rPr>
      <t xml:space="preserve">兆淇 童先生 </t>
    </r>
    <r>
      <rPr>
        <sz val="10"/>
        <color rgb="FF000000"/>
        <rFont val="Arial"/>
        <family val="0"/>
        <charset val="1"/>
      </rPr>
      <t xml:space="preserve">0972-080-924</t>
    </r>
  </si>
  <si>
    <t xml:space="preserve">J14</t>
  </si>
  <si>
    <t xml:space="preserve">民生東路近敦化北路 8F 226坪</t>
  </si>
  <si>
    <t xml:space="preserve">民生東路近敦化北路</t>
  </si>
  <si>
    <r>
      <rPr>
        <sz val="10"/>
        <color rgb="FF000000"/>
        <rFont val="Arial"/>
        <family val="0"/>
        <charset val="1"/>
      </rPr>
      <t xml:space="preserve">522,375</t>
    </r>
    <r>
      <rPr>
        <sz val="10"/>
        <color rgb="FF000000"/>
        <rFont val="Noto Sans CJK SC"/>
        <family val="2"/>
      </rPr>
      <t xml:space="preserve">（未稅</t>
    </r>
    <r>
      <rPr>
        <sz val="10"/>
        <color rgb="FF000000"/>
        <rFont val="Arial"/>
        <family val="0"/>
        <charset val="1"/>
      </rPr>
      <t xml:space="preserve">×1.05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</si>
  <si>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不符：權狀</t>
    </r>
    <r>
      <rPr>
        <sz val="10"/>
        <color rgb="FF000000"/>
        <rFont val="Arial"/>
        <family val="0"/>
        <charset val="1"/>
      </rPr>
      <t xml:space="preserve">226</t>
    </r>
    <r>
      <rPr>
        <sz val="10"/>
        <color rgb="FF000000"/>
        <rFont val="Noto Sans CJK SC"/>
        <family val="2"/>
      </rPr>
      <t xml:space="preserve">坪，公設比需≤</t>
    </r>
    <r>
      <rPr>
        <sz val="10"/>
        <color rgb="FF000000"/>
        <rFont val="Arial"/>
        <family val="0"/>
        <charset val="1"/>
      </rPr>
      <t xml:space="preserve">2.7%</t>
    </r>
    <r>
      <rPr>
        <sz val="10"/>
        <color rgb="FF000000"/>
        <rFont val="Noto Sans CJK SC"/>
        <family val="2"/>
      </rPr>
      <t xml:space="preserve">才達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（實坪未揭露）</t>
    </r>
  </si>
  <si>
    <r>
      <rPr>
        <sz val="10"/>
        <color rgb="FF000000"/>
        <rFont val="Noto Sans CJK SC"/>
        <family val="2"/>
      </rPr>
      <t xml:space="preserve">概略位置：民生東路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敦化北路口（清單未給門牌）（</t>
    </r>
    <r>
      <rPr>
        <sz val="10"/>
        <color rgb="FF000000"/>
        <rFont val="Arial"/>
        <family val="0"/>
        <charset val="1"/>
      </rPr>
      <t xml:space="preserve">25.058038, 121.549018</t>
    </r>
    <r>
      <rPr>
        <sz val="10"/>
        <color rgb="FF000000"/>
        <rFont val="Noto Sans CJK SC"/>
        <family val="2"/>
      </rPr>
      <t xml:space="preserve">）</t>
    </r>
  </si>
  <si>
    <t xml:space="preserve">N16</t>
  </si>
  <si>
    <t xml:space="preserve">環亞大樓 11F（南京東路三段）</t>
  </si>
  <si>
    <t xml:space="preserve">南京東路（環亞樓上）</t>
  </si>
  <si>
    <r>
      <rPr>
        <sz val="10"/>
        <color rgb="FF000000"/>
        <rFont val="Noto Sans CJK SC"/>
        <family val="2"/>
      </rPr>
      <t xml:space="preserve">清單只有坪數</t>
    </r>
    <r>
      <rPr>
        <sz val="10"/>
        <color rgb="FF000000"/>
        <rFont val="Arial"/>
        <family val="0"/>
        <charset val="1"/>
      </rPr>
      <t xml:space="preserve">262</t>
    </r>
  </si>
  <si>
    <r>
      <rPr>
        <sz val="10"/>
        <color rgb="FF000000"/>
        <rFont val="Arial"/>
        <family val="0"/>
        <charset val="1"/>
      </rPr>
      <t xml:space="preserve">524,000 </t>
    </r>
    <r>
      <rPr>
        <sz val="10"/>
        <color rgb="FF000000"/>
        <rFont val="Noto Sans CJK SC"/>
        <family val="2"/>
      </rPr>
      <t xml:space="preserve">未稅（</t>
    </r>
    <r>
      <rPr>
        <sz val="10"/>
        <color rgb="FF000000"/>
        <rFont val="Arial"/>
        <family val="0"/>
        <charset val="1"/>
      </rPr>
      <t xml:space="preserve">@2,000</t>
    </r>
    <r>
      <rPr>
        <sz val="10"/>
        <color rgb="FF000000"/>
        <rFont val="Noto Sans CJK SC"/>
        <family val="2"/>
      </rPr>
      <t xml:space="preserve">）→ 含稅 </t>
    </r>
    <r>
      <rPr>
        <sz val="10"/>
        <color rgb="FF000000"/>
        <rFont val="Arial"/>
        <family val="0"/>
        <charset val="1"/>
      </rPr>
      <t xml:space="preserve">550,200</t>
    </r>
  </si>
  <si>
    <r>
      <rPr>
        <sz val="10"/>
        <color rgb="FF000000"/>
        <rFont val="Noto Sans CJK SC"/>
        <family val="2"/>
      </rPr>
      <t xml:space="preserve">不符：月租</t>
    </r>
    <r>
      <rPr>
        <sz val="10"/>
        <color rgb="FF000000"/>
        <rFont val="Arial"/>
        <family val="0"/>
        <charset val="1"/>
      </rPr>
      <t xml:space="preserve">550,200</t>
    </r>
    <r>
      <rPr>
        <sz val="10"/>
        <color rgb="FF000000"/>
        <rFont val="Noto Sans CJK SC"/>
        <family val="2"/>
      </rPr>
      <t xml:space="preserve">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</t>
    </r>
  </si>
  <si>
    <t xml:space="preserve">實坪未揭露；大樓名稱為推定</t>
  </si>
  <si>
    <r>
      <rPr>
        <sz val="10"/>
        <color rgb="FF000000"/>
        <rFont val="Noto Sans CJK SC"/>
        <family val="2"/>
      </rPr>
      <t xml:space="preserve">廁所無照片：傑森愛華清單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張（毛胚室內、窗景），沒有拍廁所。</t>
    </r>
  </si>
  <si>
    <r>
      <rPr>
        <sz val="10"/>
        <color rgb="FF000000"/>
        <rFont val="Noto Sans CJK SC"/>
        <family val="2"/>
      </rPr>
      <t xml:space="preserve">好房網：</t>
    </r>
    <r>
      <rPr>
        <sz val="10"/>
        <color rgb="FF000000"/>
        <rFont val="Arial"/>
        <family val="0"/>
        <charset val="1"/>
      </rPr>
      <t xml:space="preserve">1983/10</t>
    </r>
    <r>
      <rPr>
        <sz val="10"/>
        <color rgb="FF000000"/>
        <rFont val="Noto Sans CJK SC"/>
        <family val="2"/>
      </rPr>
      <t xml:space="preserve">竣工</t>
    </r>
  </si>
  <si>
    <r>
      <rPr>
        <sz val="10"/>
        <color rgb="FF000000"/>
        <rFont val="Noto Sans CJK SC"/>
        <family val="2"/>
      </rPr>
      <t xml:space="preserve">傑森愛華 </t>
    </r>
    <r>
      <rPr>
        <sz val="10"/>
        <color rgb="FF000000"/>
        <rFont val="Arial"/>
        <family val="0"/>
        <charset val="1"/>
      </rPr>
      <t xml:space="preserve">2026/9/23</t>
    </r>
    <r>
      <rPr>
        <sz val="10"/>
        <color rgb="FF000000"/>
        <rFont val="Noto Sans CJK SC"/>
        <family val="2"/>
      </rPr>
      <t xml:space="preserve">清單第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頁</t>
    </r>
  </si>
  <si>
    <t xml:space="preserve">S13</t>
  </si>
  <si>
    <t xml:space="preserve">環球世貿 10F</t>
  </si>
  <si>
    <r>
      <rPr>
        <sz val="10"/>
        <color rgb="FF000000"/>
        <rFont val="Noto Sans CJK SC"/>
        <family val="2"/>
      </rPr>
      <t xml:space="preserve">信義路五段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環球世貿</t>
    </r>
    <r>
      <rPr>
        <sz val="10"/>
        <color rgb="FF000000"/>
        <rFont val="Arial"/>
        <family val="0"/>
        <charset val="1"/>
      </rPr>
      <t xml:space="preserve">)</t>
    </r>
  </si>
  <si>
    <t xml:space="preserve">10F/22F</t>
  </si>
  <si>
    <r>
      <rPr>
        <sz val="10"/>
        <color rgb="FF000000"/>
        <rFont val="Arial"/>
        <family val="0"/>
        <charset val="1"/>
      </rPr>
      <t xml:space="preserve">560,000</t>
    </r>
    <r>
      <rPr>
        <sz val="10"/>
        <color rgb="FF000000"/>
        <rFont val="Noto Sans CJK SC"/>
        <family val="2"/>
      </rPr>
      <t xml:space="preserve">（含稅）</t>
    </r>
  </si>
  <si>
    <r>
      <rPr>
        <sz val="10"/>
        <color rgb="FF000000"/>
        <rFont val="Noto Sans CJK SC"/>
        <family val="2"/>
      </rPr>
      <t xml:space="preserve">不符：月租</t>
    </r>
    <r>
      <rPr>
        <sz val="10"/>
        <color rgb="FF000000"/>
        <rFont val="Arial"/>
        <family val="0"/>
        <charset val="1"/>
      </rPr>
      <t xml:space="preserve">560,000</t>
    </r>
    <r>
      <rPr>
        <sz val="10"/>
        <color rgb="FF000000"/>
        <rFont val="Noto Sans CJK SC"/>
        <family val="2"/>
      </rPr>
      <t xml:space="preserve">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</t>
    </r>
  </si>
  <si>
    <t xml:space="preserve">未標示</t>
  </si>
  <si>
    <r>
      <rPr>
        <sz val="10"/>
        <color rgb="FF000000"/>
        <rFont val="Noto Sans CJK SC"/>
        <family val="2"/>
      </rPr>
      <t xml:space="preserve">信義房屋 忠孝玉成店 林雍勝 </t>
    </r>
    <r>
      <rPr>
        <sz val="10"/>
        <color rgb="FF000000"/>
        <rFont val="Arial"/>
        <family val="0"/>
        <charset val="1"/>
      </rPr>
      <t xml:space="preserve">0915-969-937</t>
    </r>
  </si>
  <si>
    <t xml:space="preserve">信義 本戶（C360646）</t>
  </si>
  <si>
    <r>
      <rPr>
        <sz val="10"/>
        <color rgb="FF000000"/>
        <rFont val="Noto Sans CJK SC"/>
        <family val="2"/>
      </rPr>
      <t xml:space="preserve">物件頁座標：信義全球物件座標（</t>
    </r>
    <r>
      <rPr>
        <sz val="10"/>
        <color rgb="FF000000"/>
        <rFont val="Arial"/>
        <family val="0"/>
        <charset val="1"/>
      </rPr>
      <t xml:space="preserve">25.028332, 121.571059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</si>
  <si>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591 22162790 </t>
    </r>
    <r>
      <rPr>
        <sz val="10"/>
        <color rgb="FF000000"/>
        <rFont val="Noto Sans CJK SC"/>
        <family val="2"/>
      </rPr>
      <t xml:space="preserve">刊登</t>
    </r>
    <r>
      <rPr>
        <sz val="10"/>
        <color rgb="FF000000"/>
        <rFont val="Arial"/>
        <family val="0"/>
        <charset val="1"/>
      </rPr>
      <t xml:space="preserve">196</t>
    </r>
    <r>
      <rPr>
        <sz val="10"/>
        <color rgb="FF000000"/>
        <rFont val="Noto Sans CJK SC"/>
        <family val="2"/>
      </rPr>
      <t xml:space="preserve">坪（內文「刊登坪數、權狀面積依地政機關登記為準」）</t>
    </r>
  </si>
  <si>
    <r>
      <rPr>
        <sz val="10"/>
        <color rgb="FF000000"/>
        <rFont val="Arial"/>
        <family val="0"/>
        <charset val="1"/>
      </rPr>
      <t xml:space="preserve">591 22162790</t>
    </r>
    <r>
      <rPr>
        <sz val="10"/>
        <color rgb="FF000000"/>
        <rFont val="Noto Sans CJK SC"/>
        <family val="2"/>
      </rPr>
      <t xml:space="preserve">（東家國際 蔡泳翰）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</si>
  <si>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591 22162790 </t>
    </r>
    <r>
      <rPr>
        <sz val="10"/>
        <color rgb="FF000000"/>
        <rFont val="Noto Sans CJK SC"/>
        <family val="2"/>
      </rPr>
      <t xml:space="preserve">物件頁地圖座標（門牌未揭露，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標點可能為概略位置）（</t>
    </r>
    <r>
      <rPr>
        <sz val="10"/>
        <color rgb="FF000000"/>
        <rFont val="Arial"/>
        <family val="0"/>
        <charset val="1"/>
      </rPr>
      <t xml:space="preserve">25.0410109, 121.5602062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</si>
  <si>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591 21593285 </t>
    </r>
    <r>
      <rPr>
        <sz val="10"/>
        <color rgb="FF000000"/>
        <rFont val="Noto Sans CJK SC"/>
        <family val="2"/>
      </rPr>
      <t xml:space="preserve">原文「權狀約</t>
    </r>
    <r>
      <rPr>
        <sz val="10"/>
        <color rgb="FF000000"/>
        <rFont val="Arial"/>
        <family val="0"/>
        <charset val="1"/>
      </rPr>
      <t xml:space="preserve">256.77</t>
    </r>
    <r>
      <rPr>
        <sz val="10"/>
        <color rgb="FF000000"/>
        <rFont val="Noto Sans CJK SC"/>
        <family val="2"/>
      </rPr>
      <t xml:space="preserve">坪、使用約</t>
    </r>
    <r>
      <rPr>
        <sz val="10"/>
        <color rgb="FF000000"/>
        <rFont val="Arial"/>
        <family val="0"/>
        <charset val="1"/>
      </rPr>
      <t xml:space="preserve">171</t>
    </r>
    <r>
      <rPr>
        <sz val="10"/>
        <color rgb="FF000000"/>
        <rFont val="Noto Sans CJK SC"/>
        <family val="2"/>
      </rPr>
      <t xml:space="preserve">坪」（同棟</t>
    </r>
    <r>
      <rPr>
        <sz val="10"/>
        <color rgb="FF000000"/>
        <rFont val="Arial"/>
        <family val="0"/>
        <charset val="1"/>
      </rPr>
      <t xml:space="preserve">8F</t>
    </r>
    <r>
      <rPr>
        <sz val="10"/>
        <color rgb="FF000000"/>
        <rFont val="Noto Sans CJK SC"/>
        <family val="2"/>
      </rPr>
      <t xml:space="preserve">，仲介口述）</t>
    </r>
  </si>
  <si>
    <r>
      <rPr>
        <sz val="10"/>
        <color rgb="FF000000"/>
        <rFont val="Noto Sans CJK SC"/>
        <family val="2"/>
      </rPr>
      <t xml:space="preserve">傑森愛華；</t>
    </r>
    <r>
      <rPr>
        <sz val="10"/>
        <color rgb="FF000000"/>
        <rFont val="Arial"/>
        <family val="0"/>
        <charset val="1"/>
      </rPr>
      <t xml:space="preserve">591 22061936</t>
    </r>
    <r>
      <rPr>
        <sz val="10"/>
        <color rgb="FF000000"/>
        <rFont val="Noto Sans CJK SC"/>
        <family val="2"/>
      </rPr>
      <t xml:space="preserve">（易信 王先生 </t>
    </r>
    <r>
      <rPr>
        <sz val="10"/>
        <color rgb="FF000000"/>
        <rFont val="Arial"/>
        <family val="0"/>
        <charset val="1"/>
      </rPr>
      <t xml:space="preserve">0955-866-400</t>
    </r>
    <r>
      <rPr>
        <sz val="10"/>
        <color rgb="FF000000"/>
        <rFont val="Noto Sans CJK SC"/>
        <family val="2"/>
      </rPr>
      <t xml:space="preserve">）</t>
    </r>
  </si>
  <si>
    <t xml:space="preserve">傑森愛華原始PDF 第5頁（此列無照片）</t>
  </si>
  <si>
    <r>
      <rPr>
        <sz val="10"/>
        <color rgb="FF000000"/>
        <rFont val="Noto Sans CJK SC"/>
        <family val="2"/>
      </rPr>
      <t xml:space="preserve">概略位置：市民大道三段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復興南路口（清單未給門牌）（</t>
    </r>
    <r>
      <rPr>
        <sz val="10"/>
        <color rgb="FF000000"/>
        <rFont val="Arial"/>
        <family val="0"/>
        <charset val="1"/>
      </rPr>
      <t xml:space="preserve">25.044961, 121.54338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</si>
  <si>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591 22129776 </t>
    </r>
    <r>
      <rPr>
        <sz val="10"/>
        <color rgb="FF000000"/>
        <rFont val="Noto Sans CJK SC"/>
        <family val="2"/>
      </rPr>
      <t xml:space="preserve">刊登「</t>
    </r>
    <r>
      <rPr>
        <sz val="10"/>
        <color rgb="FF000000"/>
        <rFont val="Arial"/>
        <family val="0"/>
        <charset val="1"/>
      </rPr>
      <t xml:space="preserve">254.53</t>
    </r>
    <r>
      <rPr>
        <sz val="10"/>
        <color rgb="FF000000"/>
        <rFont val="Noto Sans CJK SC"/>
        <family val="2"/>
      </rPr>
      <t xml:space="preserve">坪」（未說明是否權狀，無主建物／附屬分項；內文「一層二戶低公設、使用坪數大」）</t>
    </r>
  </si>
  <si>
    <r>
      <rPr>
        <sz val="10"/>
        <color rgb="FF000000"/>
        <rFont val="Arial"/>
        <family val="0"/>
        <charset val="1"/>
      </rPr>
      <t xml:space="preserve">591 22129776</t>
    </r>
    <r>
      <rPr>
        <sz val="10"/>
        <color rgb="FF000000"/>
        <rFont val="Noto Sans CJK SC"/>
        <family val="2"/>
      </rPr>
      <t xml:space="preserve">（同陽商仲 房先生）</t>
    </r>
  </si>
  <si>
    <r>
      <rPr>
        <sz val="10"/>
        <color rgb="FF000000"/>
        <rFont val="Noto Sans CJK SC"/>
        <family val="2"/>
      </rPr>
      <t xml:space="preserve">概略位置：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物件頁地圖座標（概略）（</t>
    </r>
    <r>
      <rPr>
        <sz val="10"/>
        <color rgb="FF000000"/>
        <rFont val="Arial"/>
        <family val="0"/>
        <charset val="1"/>
      </rPr>
      <t xml:space="preserve">25.0616853, 121.5451777</t>
    </r>
    <r>
      <rPr>
        <sz val="10"/>
        <color rgb="FF000000"/>
        <rFont val="Noto Sans CJK SC"/>
        <family val="2"/>
      </rPr>
      <t xml:space="preserve">）</t>
    </r>
  </si>
  <si>
    <t xml:space="preserve">欄位</t>
  </si>
  <si>
    <r>
      <rPr>
        <sz val="10"/>
        <color rgb="FF000000"/>
        <rFont val="Noto Sans CJK SC"/>
        <family val="2"/>
      </rPr>
      <t xml:space="preserve">建國北路二段 </t>
    </r>
    <r>
      <rPr>
        <sz val="10"/>
        <color rgb="FF000000"/>
        <rFont val="Arial"/>
        <family val="0"/>
        <charset val="1"/>
      </rPr>
      <t xml:space="preserve">10F</t>
    </r>
    <r>
      <rPr>
        <sz val="10"/>
        <color rgb="FF000000"/>
        <rFont val="Noto Sans CJK SC"/>
        <family val="2"/>
      </rPr>
      <t xml:space="preserve">（大辦公室＋大倉儲）</t>
    </r>
  </si>
  <si>
    <r>
      <rPr>
        <sz val="10"/>
        <color rgb="FF000000"/>
        <rFont val="Noto Sans CJK SC"/>
        <family val="2"/>
      </rPr>
      <t xml:space="preserve">信義大樓 </t>
    </r>
    <r>
      <rPr>
        <sz val="10"/>
        <color rgb="FF000000"/>
        <rFont val="Arial"/>
        <family val="0"/>
        <charset val="1"/>
      </rPr>
      <t xml:space="preserve">10F</t>
    </r>
  </si>
  <si>
    <r>
      <rPr>
        <sz val="10"/>
        <color rgb="FF000000"/>
        <rFont val="Noto Sans CJK SC"/>
        <family val="2"/>
      </rPr>
      <t xml:space="preserve">旭寶大樓 </t>
    </r>
    <r>
      <rPr>
        <sz val="10"/>
        <color rgb="FF000000"/>
        <rFont val="Arial"/>
        <family val="0"/>
        <charset val="1"/>
      </rPr>
      <t xml:space="preserve">5F</t>
    </r>
  </si>
  <si>
    <r>
      <rPr>
        <sz val="10"/>
        <color rgb="FF000000"/>
        <rFont val="Noto Sans CJK SC"/>
        <family val="2"/>
      </rPr>
      <t xml:space="preserve">廣成大廈 </t>
    </r>
    <r>
      <rPr>
        <sz val="10"/>
        <color rgb="FF000000"/>
        <rFont val="Arial"/>
        <family val="0"/>
        <charset val="1"/>
      </rPr>
      <t xml:space="preserve">4F</t>
    </r>
  </si>
  <si>
    <r>
      <rPr>
        <sz val="10"/>
        <color rgb="FF000000"/>
        <rFont val="Noto Sans CJK SC"/>
        <family val="2"/>
      </rPr>
      <t xml:space="preserve">全球人壽信義大樓 </t>
    </r>
    <r>
      <rPr>
        <sz val="10"/>
        <color rgb="FF000000"/>
        <rFont val="Arial"/>
        <family val="0"/>
        <charset val="1"/>
      </rPr>
      <t xml:space="preserve">21F</t>
    </r>
  </si>
  <si>
    <r>
      <rPr>
        <sz val="10"/>
        <color rgb="FF000000"/>
        <rFont val="Noto Sans CJK SC"/>
        <family val="2"/>
      </rPr>
      <t xml:space="preserve">南海開發大樓 </t>
    </r>
    <r>
      <rPr>
        <sz val="10"/>
        <color rgb="FF000000"/>
        <rFont val="Arial"/>
        <family val="0"/>
        <charset val="1"/>
      </rPr>
      <t xml:space="preserve">5F</t>
    </r>
  </si>
  <si>
    <r>
      <rPr>
        <sz val="10"/>
        <color rgb="FF000000"/>
        <rFont val="Noto Sans CJK SC"/>
        <family val="2"/>
      </rPr>
      <t xml:space="preserve">信義大樓 </t>
    </r>
    <r>
      <rPr>
        <sz val="10"/>
        <color rgb="FF000000"/>
        <rFont val="Arial"/>
        <family val="0"/>
        <charset val="1"/>
      </rPr>
      <t xml:space="preserve">8F</t>
    </r>
  </si>
  <si>
    <r>
      <rPr>
        <sz val="10"/>
        <color rgb="FF000000"/>
        <rFont val="Noto Sans CJK SC"/>
        <family val="2"/>
      </rPr>
      <t xml:space="preserve">松江路 </t>
    </r>
    <r>
      <rPr>
        <sz val="10"/>
        <color rgb="FF000000"/>
        <rFont val="Arial"/>
        <family val="0"/>
        <charset val="1"/>
      </rPr>
      <t xml:space="preserve">3F</t>
    </r>
    <r>
      <rPr>
        <sz val="10"/>
        <color rgb="FF000000"/>
        <rFont val="Noto Sans CJK SC"/>
        <family val="2"/>
      </rPr>
      <t xml:space="preserve">（松江南京站）</t>
    </r>
  </si>
  <si>
    <r>
      <rPr>
        <sz val="10"/>
        <color rgb="FF000000"/>
        <rFont val="Noto Sans CJK SC"/>
        <family val="2"/>
      </rPr>
      <t xml:space="preserve">八德大樓 </t>
    </r>
    <r>
      <rPr>
        <sz val="10"/>
        <color rgb="FF000000"/>
        <rFont val="Arial"/>
        <family val="0"/>
        <charset val="1"/>
      </rPr>
      <t xml:space="preserve">5F</t>
    </r>
    <r>
      <rPr>
        <sz val="10"/>
        <color rgb="FF000000"/>
        <rFont val="Noto Sans CJK SC"/>
        <family val="2"/>
      </rPr>
      <t xml:space="preserve">（出租</t>
    </r>
    <r>
      <rPr>
        <sz val="10"/>
        <color rgb="FF000000"/>
        <rFont val="Arial"/>
        <family val="0"/>
        <charset val="1"/>
      </rPr>
      <t xml:space="preserve">285.67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</si>
  <si>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Noto Sans CJK SC"/>
        <family val="2"/>
      </rPr>
      <t xml:space="preserve">光復北路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巷 </t>
    </r>
    <r>
      <rPr>
        <sz val="10"/>
        <color rgb="FF000000"/>
        <rFont val="Arial"/>
        <family val="0"/>
        <charset val="1"/>
      </rPr>
      <t xml:space="preserve">2F</t>
    </r>
    <r>
      <rPr>
        <sz val="10"/>
        <color rgb="FF000000"/>
        <rFont val="Noto Sans CJK SC"/>
        <family val="2"/>
      </rPr>
      <t xml:space="preserve">（南京三民站）</t>
    </r>
  </si>
  <si>
    <r>
      <rPr>
        <sz val="10"/>
        <color rgb="FF000000"/>
        <rFont val="Noto Sans CJK SC"/>
        <family val="2"/>
      </rPr>
      <t xml:space="preserve">旭寶大樓 </t>
    </r>
    <r>
      <rPr>
        <sz val="10"/>
        <color rgb="FF000000"/>
        <rFont val="Arial"/>
        <family val="0"/>
        <charset val="1"/>
      </rPr>
      <t xml:space="preserve">4F</t>
    </r>
  </si>
  <si>
    <r>
      <rPr>
        <sz val="10"/>
        <color rgb="FF000000"/>
        <rFont val="Noto Sans CJK SC"/>
        <family val="2"/>
      </rPr>
      <t xml:space="preserve">忠孝東路四段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延吉街 </t>
    </r>
    <r>
      <rPr>
        <sz val="10"/>
        <color rgb="FF000000"/>
        <rFont val="Arial"/>
        <family val="0"/>
        <charset val="1"/>
      </rPr>
      <t xml:space="preserve">4F</t>
    </r>
  </si>
  <si>
    <r>
      <rPr>
        <sz val="10"/>
        <color rgb="FF000000"/>
        <rFont val="Noto Sans CJK SC"/>
        <family val="2"/>
      </rPr>
      <t xml:space="preserve">忠孝東路一段 </t>
    </r>
    <r>
      <rPr>
        <sz val="10"/>
        <color rgb="FF000000"/>
        <rFont val="Arial"/>
        <family val="0"/>
        <charset val="1"/>
      </rPr>
      <t xml:space="preserve">11F</t>
    </r>
    <r>
      <rPr>
        <sz val="10"/>
        <color rgb="FF000000"/>
        <rFont val="Noto Sans CJK SC"/>
        <family val="2"/>
      </rPr>
      <t xml:space="preserve">（台北車站）</t>
    </r>
  </si>
  <si>
    <r>
      <rPr>
        <sz val="10"/>
        <color rgb="FF000000"/>
        <rFont val="Noto Sans CJK SC"/>
        <family val="2"/>
      </rPr>
      <t xml:space="preserve">中山北路三段 </t>
    </r>
    <r>
      <rPr>
        <sz val="10"/>
        <color rgb="FF000000"/>
        <rFont val="Arial"/>
        <family val="0"/>
        <charset val="1"/>
      </rPr>
      <t xml:space="preserve">6F</t>
    </r>
    <r>
      <rPr>
        <sz val="10"/>
        <color rgb="FF000000"/>
        <rFont val="Noto Sans CJK SC"/>
        <family val="2"/>
      </rPr>
      <t xml:space="preserve">（民權西路站）</t>
    </r>
  </si>
  <si>
    <r>
      <rPr>
        <sz val="10"/>
        <color rgb="FF000000"/>
        <rFont val="Noto Sans CJK SC"/>
        <family val="2"/>
      </rPr>
      <t xml:space="preserve">忠孝東路一段 </t>
    </r>
    <r>
      <rPr>
        <sz val="10"/>
        <color rgb="FF000000"/>
        <rFont val="Arial"/>
        <family val="0"/>
        <charset val="1"/>
      </rPr>
      <t xml:space="preserve">2F</t>
    </r>
    <r>
      <rPr>
        <sz val="10"/>
        <color rgb="FF000000"/>
        <rFont val="Noto Sans CJK SC"/>
        <family val="2"/>
      </rPr>
      <t xml:space="preserve">（善導寺站）</t>
    </r>
  </si>
  <si>
    <r>
      <rPr>
        <sz val="10"/>
        <color rgb="FF000000"/>
        <rFont val="Noto Sans CJK SC"/>
        <family val="2"/>
      </rPr>
      <t xml:space="preserve">民生東路二段 </t>
    </r>
    <r>
      <rPr>
        <sz val="10"/>
        <color rgb="FF000000"/>
        <rFont val="Arial"/>
        <family val="0"/>
        <charset val="1"/>
      </rPr>
      <t xml:space="preserve">6F</t>
    </r>
    <r>
      <rPr>
        <sz val="10"/>
        <color rgb="FF000000"/>
        <rFont val="Noto Sans CJK SC"/>
        <family val="2"/>
      </rPr>
      <t xml:space="preserve">（仲介稱使用約</t>
    </r>
    <r>
      <rPr>
        <sz val="10"/>
        <color rgb="FF000000"/>
        <rFont val="Arial"/>
        <family val="0"/>
        <charset val="1"/>
      </rPr>
      <t xml:space="preserve">226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</si>
  <si>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Noto Sans CJK SC"/>
        <family val="2"/>
      </rPr>
      <t xml:space="preserve">八德大樓 </t>
    </r>
    <r>
      <rPr>
        <sz val="10"/>
        <color rgb="FF000000"/>
        <rFont val="Arial"/>
        <family val="0"/>
        <charset val="1"/>
      </rPr>
      <t xml:space="preserve">7F</t>
    </r>
    <r>
      <rPr>
        <sz val="10"/>
        <color rgb="FF000000"/>
        <rFont val="Noto Sans CJK SC"/>
        <family val="2"/>
      </rPr>
      <t xml:space="preserve">（出租</t>
    </r>
    <r>
      <rPr>
        <sz val="10"/>
        <color rgb="FF000000"/>
        <rFont val="Arial"/>
        <family val="0"/>
        <charset val="1"/>
      </rPr>
      <t xml:space="preserve">254.06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</si>
  <si>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Noto Sans CJK SC"/>
        <family val="2"/>
      </rPr>
      <t xml:space="preserve">長春路 </t>
    </r>
    <r>
      <rPr>
        <sz val="10"/>
        <color rgb="FF000000"/>
        <rFont val="Arial"/>
        <family val="0"/>
        <charset val="1"/>
      </rPr>
      <t xml:space="preserve">8F</t>
    </r>
    <r>
      <rPr>
        <sz val="10"/>
        <color rgb="FF000000"/>
        <rFont val="Noto Sans CJK SC"/>
        <family val="2"/>
      </rPr>
      <t xml:space="preserve">（松江南京站）</t>
    </r>
  </si>
  <si>
    <r>
      <rPr>
        <sz val="10"/>
        <color rgb="FF000000"/>
        <rFont val="Noto Sans CJK SC"/>
        <family val="2"/>
      </rPr>
      <t xml:space="preserve">南京東路五段 </t>
    </r>
    <r>
      <rPr>
        <sz val="10"/>
        <color rgb="FF000000"/>
        <rFont val="Arial"/>
        <family val="0"/>
        <charset val="1"/>
      </rPr>
      <t xml:space="preserve">3F</t>
    </r>
    <r>
      <rPr>
        <sz val="10"/>
        <color rgb="FF000000"/>
        <rFont val="Noto Sans CJK SC"/>
        <family val="2"/>
      </rPr>
      <t xml:space="preserve">（南京三民站）</t>
    </r>
  </si>
  <si>
    <t xml:space="preserve">大樓</t>
  </si>
  <si>
    <t xml:space="preserve">（大樓名未揭露）</t>
  </si>
  <si>
    <t xml:space="preserve">全球人壽信義大樓（信義大樓）</t>
  </si>
  <si>
    <t xml:space="preserve">旭寶大樓</t>
  </si>
  <si>
    <t xml:space="preserve">廣成大廈</t>
  </si>
  <si>
    <t xml:space="preserve">南海開發大樓</t>
  </si>
  <si>
    <t xml:space="preserve">全球人壽信義大樓（信義大樓）（推定）</t>
  </si>
  <si>
    <r>
      <rPr>
        <sz val="10"/>
        <color rgb="FF000000"/>
        <rFont val="Noto Sans CJK SC"/>
        <family val="2"/>
      </rPr>
      <t xml:space="preserve">八德大樓（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匯幸稱）</t>
    </r>
  </si>
  <si>
    <r>
      <rPr>
        <sz val="10"/>
        <color rgb="FF000000"/>
        <rFont val="Noto Sans CJK SC"/>
        <family val="2"/>
      </rPr>
      <t xml:space="preserve">推定：光復北路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巷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號（台北瓦斯「光復大樓」）</t>
    </r>
  </si>
  <si>
    <r>
      <rPr>
        <sz val="10"/>
        <color rgb="FF000000"/>
        <rFont val="Noto Sans CJK SC"/>
        <family val="2"/>
      </rPr>
      <t xml:space="preserve">推定：太平洋商業大樓（忠孝東路四段</t>
    </r>
    <r>
      <rPr>
        <sz val="10"/>
        <color rgb="FF000000"/>
        <rFont val="Arial"/>
        <family val="0"/>
        <charset val="1"/>
      </rPr>
      <t xml:space="preserve">285</t>
    </r>
    <r>
      <rPr>
        <sz val="10"/>
        <color rgb="FF000000"/>
        <rFont val="Noto Sans CJK SC"/>
        <family val="2"/>
      </rPr>
      <t xml:space="preserve">號）</t>
    </r>
  </si>
  <si>
    <r>
      <rPr>
        <sz val="10"/>
        <color rgb="FF000000"/>
        <rFont val="Noto Sans CJK SC"/>
        <family val="2"/>
      </rPr>
      <t xml:space="preserve">（未揭露；同路段 </t>
    </r>
    <r>
      <rPr>
        <sz val="10"/>
        <color rgb="FF000000"/>
        <rFont val="Arial"/>
        <family val="0"/>
        <charset val="1"/>
      </rPr>
      <t xml:space="preserve">6F/14F </t>
    </r>
    <r>
      <rPr>
        <sz val="10"/>
        <color rgb="FF000000"/>
        <rFont val="Noto Sans CJK SC"/>
        <family val="2"/>
      </rPr>
      <t xml:space="preserve">另有「新設工大樓」刊登）</t>
    </r>
  </si>
  <si>
    <t xml:space="preserve">（大樓名未揭露；另一刊登稱「凱撒世貿中心」）</t>
  </si>
  <si>
    <r>
      <rPr>
        <b val="true"/>
        <sz val="10"/>
        <rFont val="Noto Sans CJK SC"/>
        <family val="2"/>
      </rPr>
      <t xml:space="preserve">實坪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主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附</t>
    </r>
    <r>
      <rPr>
        <b val="true"/>
        <sz val="10"/>
        <rFont val="Arial"/>
        <family val="0"/>
        <charset val="1"/>
      </rPr>
      <t xml:space="preserve">)</t>
    </r>
  </si>
  <si>
    <t xml:space="preserve">公設比</t>
  </si>
  <si>
    <t xml:space="preserve">5.6%</t>
  </si>
  <si>
    <t xml:space="preserve">9.0%</t>
  </si>
  <si>
    <t xml:space="preserve">9.46%</t>
  </si>
  <si>
    <t xml:space="preserve">22.43%</t>
  </si>
  <si>
    <t xml:space="preserve">9.04%</t>
  </si>
  <si>
    <t xml:space="preserve">12.51%</t>
  </si>
  <si>
    <r>
      <rPr>
        <b val="true"/>
        <sz val="10"/>
        <rFont val="Noto Sans CJK SC"/>
        <family val="2"/>
      </rPr>
      <t xml:space="preserve">月租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含稅</t>
    </r>
    <r>
      <rPr>
        <b val="true"/>
        <sz val="10"/>
        <rFont val="Arial"/>
        <family val="0"/>
        <charset val="1"/>
      </rPr>
      <t xml:space="preserve">)</t>
    </r>
  </si>
  <si>
    <t xml:space="preserve">租金原文</t>
  </si>
  <si>
    <t xml:space="preserve">稅別</t>
  </si>
  <si>
    <t xml:space="preserve">頁面未寫含稅或未稅</t>
  </si>
  <si>
    <r>
      <rPr>
        <sz val="10"/>
        <color rgb="FF000000"/>
        <rFont val="Noto Sans CJK SC"/>
        <family val="2"/>
      </rPr>
      <t xml:space="preserve">未寫（若為未稅，含稅為</t>
    </r>
    <r>
      <rPr>
        <sz val="10"/>
        <color rgb="FF000000"/>
        <rFont val="Arial"/>
        <family val="0"/>
        <charset val="1"/>
      </rPr>
      <t xml:space="preserve">504,000</t>
    </r>
    <r>
      <rPr>
        <sz val="10"/>
        <color rgb="FF000000"/>
        <rFont val="Noto Sans CJK SC"/>
        <family val="2"/>
      </rPr>
      <t xml:space="preserve">）</t>
    </r>
  </si>
  <si>
    <t xml:space="preserve">含稅</t>
  </si>
  <si>
    <t xml:space="preserve">含稅（物調表）— 三個來源不一致</t>
  </si>
  <si>
    <r>
      <rPr>
        <sz val="10"/>
        <color rgb="FF000000"/>
        <rFont val="Noto Sans CJK SC"/>
        <family val="2"/>
      </rPr>
      <t xml:space="preserve">未稅</t>
    </r>
    <r>
      <rPr>
        <sz val="10"/>
        <color rgb="FF000000"/>
        <rFont val="Arial"/>
        <family val="0"/>
        <charset val="1"/>
      </rPr>
      <t xml:space="preserve">×1.05</t>
    </r>
  </si>
  <si>
    <t xml:space="preserve">頁面未寫</t>
  </si>
  <si>
    <t xml:space="preserve">未寫</t>
  </si>
  <si>
    <r>
      <rPr>
        <sz val="10"/>
        <color rgb="FF000000"/>
        <rFont val="Noto Sans CJK SC"/>
        <family val="2"/>
      </rPr>
      <t xml:space="preserve">未寫（若為未稅，含稅為</t>
    </r>
    <r>
      <rPr>
        <sz val="10"/>
        <color rgb="FF000000"/>
        <rFont val="Arial"/>
        <family val="0"/>
        <charset val="1"/>
      </rPr>
      <t xml:space="preserve">442,966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</si>
  <si>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未寫（若為未稅，含稅為</t>
    </r>
    <r>
      <rPr>
        <sz val="10"/>
        <color rgb="FF000000"/>
        <rFont val="Arial"/>
        <family val="0"/>
        <charset val="1"/>
      </rPr>
      <t xml:space="preserve">504,037</t>
    </r>
    <r>
      <rPr>
        <sz val="10"/>
        <color rgb="FF000000"/>
        <rFont val="Noto Sans CJK SC"/>
        <family val="2"/>
      </rPr>
      <t xml:space="preserve">）</t>
    </r>
  </si>
  <si>
    <t xml:space="preserve">管理費</t>
  </si>
  <si>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37,500</t>
    </r>
    <r>
      <rPr>
        <sz val="10"/>
        <color rgb="FF000000"/>
        <rFont val="Noto Sans CJK SC"/>
        <family val="2"/>
      </rPr>
      <t xml:space="preserve">（不含於租金）</t>
    </r>
  </si>
  <si>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49,533</t>
    </r>
    <r>
      <rPr>
        <sz val="10"/>
        <color rgb="FF000000"/>
        <rFont val="Noto Sans CJK SC"/>
        <family val="2"/>
      </rPr>
      <t xml:space="preserve">（信義頁）</t>
    </r>
  </si>
  <si>
    <t xml:space="preserve">33,847</t>
  </si>
  <si>
    <t xml:space="preserve">31,053</t>
  </si>
  <si>
    <r>
      <rPr>
        <sz val="10"/>
        <color rgb="FF000000"/>
        <rFont val="Arial"/>
        <family val="0"/>
        <charset val="1"/>
      </rPr>
      <t xml:space="preserve">39,873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</si>
  <si>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Noto Sans CJK SC"/>
        <family val="2"/>
      </rPr>
      <t xml:space="preserve">實支實付（物調表：約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萬～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萬）</t>
    </r>
  </si>
  <si>
    <r>
      <rPr>
        <sz val="10"/>
        <color rgb="FF000000"/>
        <rFont val="Noto Sans CJK SC"/>
        <family val="2"/>
      </rPr>
      <t xml:space="preserve">未提供（同棟約</t>
    </r>
    <r>
      <rPr>
        <sz val="10"/>
        <color rgb="FF000000"/>
        <rFont val="Arial"/>
        <family val="0"/>
        <charset val="1"/>
      </rPr>
      <t xml:space="preserve">49,500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</si>
  <si>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47,136</t>
    </r>
  </si>
  <si>
    <r>
      <rPr>
        <sz val="10"/>
        <color rgb="FF000000"/>
        <rFont val="Arial"/>
        <family val="0"/>
        <charset val="1"/>
      </rPr>
      <t xml:space="preserve">591</t>
    </r>
    <r>
      <rPr>
        <sz val="10"/>
        <color rgb="FF000000"/>
        <rFont val="Noto Sans CJK SC"/>
        <family val="2"/>
      </rPr>
      <t xml:space="preserve">：租金已含管理費</t>
    </r>
  </si>
  <si>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41,920</t>
    </r>
  </si>
  <si>
    <r>
      <rPr>
        <sz val="10"/>
        <color rgb="FF000000"/>
        <rFont val="Noto Sans CJK SC"/>
        <family val="2"/>
      </rPr>
      <t xml:space="preserve">最短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</si>
  <si>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只能租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年（之後都更；使用者 </t>
    </r>
    <r>
      <rPr>
        <sz val="10"/>
        <color rgb="FF000000"/>
        <rFont val="Arial"/>
        <family val="0"/>
        <charset val="1"/>
      </rPr>
      <t xml:space="preserve">2026-09-24 </t>
    </r>
    <r>
      <rPr>
        <sz val="10"/>
        <color rgb="FF000000"/>
        <rFont val="Noto Sans CJK SC"/>
        <family val="2"/>
      </rPr>
      <t xml:space="preserve">告知）；物調表寫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</si>
  <si>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年（信義頁：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</si>
  <si>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最多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年約（都更）</t>
    </r>
  </si>
  <si>
    <t xml:space="preserve">屋齡／竣工</t>
  </si>
  <si>
    <r>
      <rPr>
        <sz val="10"/>
        <color rgb="FF000000"/>
        <rFont val="Noto Sans CJK SC"/>
        <family val="2"/>
      </rPr>
      <t xml:space="preserve">松江南京（綠）</t>
    </r>
    <r>
      <rPr>
        <sz val="10"/>
        <color rgb="FF000000"/>
        <rFont val="Arial"/>
        <family val="0"/>
        <charset val="1"/>
      </rPr>
      <t xml:space="preserve">530m·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</si>
  <si>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象山（紅）</t>
    </r>
    <r>
      <rPr>
        <sz val="10"/>
        <color rgb="FF000000"/>
        <rFont val="Arial"/>
        <family val="0"/>
        <charset val="1"/>
      </rPr>
      <t xml:space="preserve">950m·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</si>
  <si>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忠孝敦化（藍）</t>
    </r>
    <r>
      <rPr>
        <sz val="10"/>
        <color rgb="FF000000"/>
        <rFont val="Arial"/>
        <family val="0"/>
        <charset val="1"/>
      </rPr>
      <t xml:space="preserve">570m·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</si>
  <si>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小南門（綠）</t>
    </r>
    <r>
      <rPr>
        <sz val="10"/>
        <color rgb="FF000000"/>
        <rFont val="Arial"/>
        <family val="0"/>
        <charset val="1"/>
      </rPr>
      <t xml:space="preserve">380m·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</si>
  <si>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中正紀念堂（紅綠）</t>
    </r>
    <r>
      <rPr>
        <sz val="10"/>
        <color rgb="FF000000"/>
        <rFont val="Arial"/>
        <family val="0"/>
        <charset val="1"/>
      </rPr>
      <t xml:space="preserve">150m·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</si>
  <si>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松江南京（綠）</t>
    </r>
    <r>
      <rPr>
        <sz val="10"/>
        <color rgb="FF000000"/>
        <rFont val="Arial"/>
        <family val="0"/>
        <charset val="1"/>
      </rPr>
      <t xml:space="preserve">156m·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</si>
  <si>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忠孝復興（藍）</t>
    </r>
    <r>
      <rPr>
        <sz val="10"/>
        <color rgb="FF000000"/>
        <rFont val="Arial"/>
        <family val="0"/>
        <charset val="1"/>
      </rPr>
      <t xml:space="preserve">620m·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</si>
  <si>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南京三民（綠）</t>
    </r>
    <r>
      <rPr>
        <sz val="10"/>
        <color rgb="FF000000"/>
        <rFont val="Arial"/>
        <family val="0"/>
        <charset val="1"/>
      </rPr>
      <t xml:space="preserve">88m·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</si>
  <si>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國父紀念館（藍）</t>
    </r>
    <r>
      <rPr>
        <sz val="10"/>
        <color rgb="FF000000"/>
        <rFont val="Arial"/>
        <family val="0"/>
        <charset val="1"/>
      </rPr>
      <t xml:space="preserve">300m·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</si>
  <si>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台北車站（紅藍）</t>
    </r>
    <r>
      <rPr>
        <sz val="10"/>
        <color rgb="FF000000"/>
        <rFont val="Arial"/>
        <family val="0"/>
        <charset val="1"/>
      </rPr>
      <t xml:space="preserve">171m·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</si>
  <si>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民權西路（紅）</t>
    </r>
    <r>
      <rPr>
        <sz val="10"/>
        <color rgb="FF000000"/>
        <rFont val="Arial"/>
        <family val="0"/>
        <charset val="1"/>
      </rPr>
      <t xml:space="preserve">170m·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</si>
  <si>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善導寺（藍）</t>
    </r>
    <r>
      <rPr>
        <sz val="10"/>
        <color rgb="FF000000"/>
        <rFont val="Arial"/>
        <family val="0"/>
        <charset val="1"/>
      </rPr>
      <t xml:space="preserve">119m·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</si>
  <si>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松江南京（綠）</t>
    </r>
    <r>
      <rPr>
        <sz val="10"/>
        <color rgb="FF000000"/>
        <rFont val="Arial"/>
        <family val="0"/>
        <charset val="1"/>
      </rPr>
      <t xml:space="preserve">310m·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分</t>
    </r>
  </si>
  <si>
    <r>
      <rPr>
        <sz val="10"/>
        <color rgb="FF000000"/>
        <rFont val="Noto Sans CJK SC"/>
        <family val="2"/>
      </rPr>
      <t xml:space="preserve">南京三民（綠）</t>
    </r>
    <r>
      <rPr>
        <sz val="10"/>
        <color rgb="FF000000"/>
        <rFont val="Arial"/>
        <family val="0"/>
        <charset val="1"/>
      </rPr>
      <t xml:space="preserve">48m·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分</t>
    </r>
  </si>
  <si>
    <t xml:space="preserve">距離依據</t>
  </si>
  <si>
    <t xml:space="preserve">信義全球物件座標</t>
  </si>
  <si>
    <t xml:space="preserve">同信義大樓座標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</si>
  <si>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地圖：敦化南路一段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號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</si>
  <si>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地圖：延平南路</t>
    </r>
    <r>
      <rPr>
        <sz val="10"/>
        <color rgb="FF000000"/>
        <rFont val="Arial"/>
        <family val="0"/>
        <charset val="1"/>
      </rPr>
      <t xml:space="preserve">189</t>
    </r>
    <r>
      <rPr>
        <sz val="10"/>
        <color rgb="FF000000"/>
        <rFont val="Noto Sans CJK SC"/>
        <family val="2"/>
      </rPr>
      <t xml:space="preserve">號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</si>
  <si>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地圖：南海路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號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</si>
  <si>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物件頁寫明</t>
    </r>
  </si>
  <si>
    <t xml:space="preserve">同旭寶大樓座標</t>
  </si>
  <si>
    <r>
      <rPr>
        <sz val="10"/>
        <color rgb="FF000000"/>
        <rFont val="Noto Sans CJK SC"/>
        <family val="2"/>
      </rPr>
      <t xml:space="preserve">忠孝東路四段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延吉街口（清單未給門牌）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</si>
  <si>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只寫橘線行天宮站</t>
    </r>
    <r>
      <rPr>
        <sz val="10"/>
        <color rgb="FF000000"/>
        <rFont val="Arial"/>
        <family val="0"/>
        <charset val="1"/>
      </rPr>
      <t xml:space="preserve">153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188m</t>
    </r>
    <r>
      <rPr>
        <sz val="10"/>
        <color rgb="FF000000"/>
        <rFont val="Noto Sans CJK SC"/>
        <family val="2"/>
      </rPr>
      <t xml:space="preserve">；綠紅藍線最近站距離未確認</t>
    </r>
  </si>
  <si>
    <t xml:space="preserve">判定</t>
  </si>
  <si>
    <t xml:space="preserve">缺漏</t>
  </si>
  <si>
    <t xml:space="preserve">特色／備註</t>
  </si>
  <si>
    <t xml:space="preserve">一層一戶、三面採光、室內有水線；標題含「大倉儲」，實際辦公可用範圍需現勘</t>
  </si>
  <si>
    <r>
      <rPr>
        <sz val="10"/>
        <color rgb="FF000000"/>
        <rFont val="Noto Sans CJK SC"/>
        <family val="2"/>
      </rPr>
      <t xml:space="preserve">同一層兩個報價差近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48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vs 57.8</t>
    </r>
    <r>
      <rPr>
        <sz val="10"/>
        <color rgb="FF000000"/>
        <rFont val="Noto Sans CJK SC"/>
        <family val="2"/>
      </rPr>
      <t xml:space="preserve">萬），需問清楚是否同一戶、稅別；⚠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再查：</t>
    </r>
    <r>
      <rPr>
        <sz val="10"/>
        <color rgb="FF000000"/>
        <rFont val="Arial"/>
        <family val="0"/>
        <charset val="1"/>
      </rPr>
      <t xml:space="preserve">591 21537848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48</t>
    </r>
    <r>
      <rPr>
        <sz val="10"/>
        <color rgb="FF000000"/>
        <rFont val="Noto Sans CJK SC"/>
        <family val="2"/>
      </rPr>
      <t xml:space="preserve">萬）顯示「物件找不到了」已下架，目前仍在刊登的只有信義 </t>
    </r>
    <r>
      <rPr>
        <sz val="10"/>
        <color rgb="FF000000"/>
        <rFont val="Arial"/>
        <family val="0"/>
        <charset val="1"/>
      </rPr>
      <t xml:space="preserve">C904200 577,885</t>
    </r>
    <r>
      <rPr>
        <sz val="10"/>
        <color rgb="FF000000"/>
        <rFont val="Noto Sans CJK SC"/>
        <family val="2"/>
      </rPr>
      <t xml:space="preserve">（超過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萬上限）。</t>
    </r>
    <r>
      <rPr>
        <sz val="10"/>
        <color rgb="FF000000"/>
        <rFont val="Arial"/>
        <family val="0"/>
        <charset val="1"/>
      </rPr>
      <t xml:space="preserve">48</t>
    </r>
    <r>
      <rPr>
        <sz val="10"/>
        <color rgb="FF000000"/>
        <rFont val="Noto Sans CJK SC"/>
        <family val="2"/>
      </rPr>
      <t xml:space="preserve">萬是否仍有效需向傑森愛華張先生確認</t>
    </r>
  </si>
  <si>
    <r>
      <rPr>
        <sz val="10"/>
        <color rgb="FF000000"/>
        <rFont val="Noto Sans CJK SC"/>
        <family val="2"/>
      </rPr>
      <t xml:space="preserve">⚠ 只能租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年，之後大樓都更（使用者 </t>
    </r>
    <r>
      <rPr>
        <sz val="10"/>
        <color rgb="FF000000"/>
        <rFont val="Arial"/>
        <family val="0"/>
        <charset val="1"/>
      </rPr>
      <t xml:space="preserve">2026-09-24 </t>
    </r>
    <r>
      <rPr>
        <sz val="10"/>
        <color rgb="FF000000"/>
        <rFont val="Noto Sans CJK SC"/>
        <family val="2"/>
      </rPr>
      <t xml:space="preserve">告知）；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刊登坪數</t>
    </r>
    <r>
      <rPr>
        <sz val="10"/>
        <color rgb="FF000000"/>
        <rFont val="Arial"/>
        <family val="0"/>
        <charset val="1"/>
      </rPr>
      <t xml:space="preserve">282.06</t>
    </r>
    <r>
      <rPr>
        <sz val="10"/>
        <color rgb="FF000000"/>
        <rFont val="Noto Sans CJK SC"/>
        <family val="2"/>
      </rPr>
      <t xml:space="preserve">為「使用坪數」、物調表實用</t>
    </r>
    <r>
      <rPr>
        <sz val="10"/>
        <color rgb="FF000000"/>
        <rFont val="Arial"/>
        <family val="0"/>
        <charset val="1"/>
      </rPr>
      <t xml:space="preserve">255.38</t>
    </r>
    <r>
      <rPr>
        <sz val="10"/>
        <color rgb="FF000000"/>
        <rFont val="Noto Sans CJK SC"/>
        <family val="2"/>
      </rPr>
      <t xml:space="preserve">，兩者不同，以物調表為準；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最短租期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</si>
  <si>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一層一戶、中央空調</t>
    </r>
    <r>
      <rPr>
        <sz val="10"/>
        <color rgb="FF000000"/>
        <rFont val="Arial"/>
        <family val="0"/>
        <charset val="1"/>
      </rPr>
      <t xml:space="preserve">08-22</t>
    </r>
    <r>
      <rPr>
        <sz val="10"/>
        <color rgb="FF000000"/>
        <rFont val="Noto Sans CJK SC"/>
        <family val="2"/>
      </rPr>
      <t xml:space="preserve">、可自加獨立空調；第三種住宅區；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層樓華廈型大樓</t>
    </r>
  </si>
  <si>
    <r>
      <rPr>
        <sz val="10"/>
        <color rgb="FF000000"/>
        <rFont val="Noto Sans CJK SC"/>
        <family val="2"/>
      </rPr>
      <t xml:space="preserve">精裝修、格局方正、可立即使用；中央空調（</t>
    </r>
    <r>
      <rPr>
        <sz val="10"/>
        <color rgb="FF000000"/>
        <rFont val="Arial"/>
        <family val="0"/>
        <charset val="1"/>
      </rPr>
      <t xml:space="preserve">8-18</t>
    </r>
    <r>
      <rPr>
        <sz val="10"/>
        <color rgb="FF000000"/>
        <rFont val="Noto Sans CJK SC"/>
        <family val="2"/>
      </rPr>
      <t xml:space="preserve">，加班另計）、樓高</t>
    </r>
    <r>
      <rPr>
        <sz val="10"/>
        <color rgb="FF000000"/>
        <rFont val="Arial"/>
        <family val="0"/>
        <charset val="1"/>
      </rPr>
      <t xml:space="preserve">4M</t>
    </r>
    <r>
      <rPr>
        <sz val="10"/>
        <color rgb="FF000000"/>
        <rFont val="Noto Sans CJK SC"/>
        <family val="2"/>
      </rPr>
      <t xml:space="preserve">；第三種住宅區；</t>
    </r>
    <r>
      <rPr>
        <sz val="10"/>
        <color rgb="FF000000"/>
        <rFont val="Arial"/>
        <family val="0"/>
        <charset val="1"/>
      </rPr>
      <t xml:space="preserve">2026/3 </t>
    </r>
    <r>
      <rPr>
        <sz val="10"/>
        <color rgb="FF000000"/>
        <rFont val="Noto Sans CJK SC"/>
        <family val="2"/>
      </rPr>
      <t xml:space="preserve">大樓由興富發買下（經濟日報），新業主可能調租</t>
    </r>
  </si>
  <si>
    <t xml:space="preserve">優質帷幕純辦、開放式空間、獨立空調；第三種商業區；使用者資料夾名稱寫「南港開發大樓」，物調表為「南海開發大樓」（中正區南海路），以物調表為準</t>
  </si>
  <si>
    <t xml:space="preserve">純辦、三邊臨馬路、地標大樓、公設低、大理石外牆</t>
  </si>
  <si>
    <t xml:space="preserve">帷幕純辦、一層一戶、中央空調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</si>
  <si>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寫南京復興站</t>
    </r>
    <r>
      <rPr>
        <sz val="10"/>
        <color rgb="FF000000"/>
        <rFont val="Arial"/>
        <family val="0"/>
        <charset val="1"/>
      </rPr>
      <t xml:space="preserve">127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259m</t>
    </r>
    <r>
      <rPr>
        <sz val="10"/>
        <color rgb="FF000000"/>
        <rFont val="Noto Sans CJK SC"/>
        <family val="2"/>
      </rPr>
      <t xml:space="preserve">，本表以物件座標計算為忠孝復興約</t>
    </r>
    <r>
      <rPr>
        <sz val="10"/>
        <color rgb="FF000000"/>
        <rFont val="Arial"/>
        <family val="0"/>
        <charset val="1"/>
      </rPr>
      <t xml:space="preserve">620m</t>
    </r>
    <r>
      <rPr>
        <sz val="10"/>
        <color rgb="FF000000"/>
        <rFont val="Noto Sans CJK SC"/>
        <family val="2"/>
      </rPr>
      <t xml:space="preserve">（兩者不同，需現場確認）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</si>
  <si>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級純辦、玻璃帷幕、尚未裝潢</t>
    </r>
  </si>
  <si>
    <r>
      <rPr>
        <sz val="10"/>
        <color rgb="FF000000"/>
        <rFont val="Noto Sans CJK SC"/>
        <family val="2"/>
      </rPr>
      <t xml:space="preserve">純辦、稀有低公設、全層使用；租約最多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年（大樓將都更）</t>
    </r>
  </si>
  <si>
    <r>
      <rPr>
        <sz val="10"/>
        <color rgb="FF000000"/>
        <rFont val="Noto Sans CJK SC"/>
        <family val="2"/>
      </rPr>
      <t xml:space="preserve">地標帷幕純辦、</t>
    </r>
    <r>
      <rPr>
        <sz val="10"/>
        <color rgb="FF000000"/>
        <rFont val="Arial"/>
        <family val="0"/>
        <charset val="1"/>
      </rPr>
      <t xml:space="preserve">OPEN</t>
    </r>
    <r>
      <rPr>
        <sz val="10"/>
        <color rgb="FF000000"/>
        <rFont val="Noto Sans CJK SC"/>
        <family val="2"/>
      </rPr>
      <t xml:space="preserve">、毛胚、多門牌（可分割）</t>
    </r>
  </si>
  <si>
    <r>
      <rPr>
        <sz val="10"/>
        <color rgb="FF000000"/>
        <rFont val="Noto Sans CJK SC"/>
        <family val="2"/>
      </rPr>
      <t xml:space="preserve">高層帷幕純辦、一層一戶、可加獨冷；⚠ </t>
    </r>
    <r>
      <rPr>
        <sz val="10"/>
        <color rgb="FF000000"/>
        <rFont val="Arial"/>
        <family val="0"/>
        <charset val="1"/>
      </rPr>
      <t xml:space="preserve">2026-09-24 </t>
    </r>
    <r>
      <rPr>
        <sz val="10"/>
        <color rgb="FF000000"/>
        <rFont val="Noto Sans CJK SC"/>
        <family val="2"/>
      </rPr>
      <t xml:space="preserve">再查 </t>
    </r>
    <r>
      <rPr>
        <sz val="10"/>
        <color rgb="FF000000"/>
        <rFont val="Arial"/>
        <family val="0"/>
        <charset val="1"/>
      </rPr>
      <t xml:space="preserve">591 19506910 </t>
    </r>
    <r>
      <rPr>
        <sz val="10"/>
        <color rgb="FF000000"/>
        <rFont val="Noto Sans CJK SC"/>
        <family val="2"/>
      </rPr>
      <t xml:space="preserve">顯示「物件找不到了」（已下架），需向尚揚確認是否仍可租</t>
    </r>
  </si>
  <si>
    <t xml:space="preserve">若與新設工大樓同棟，該棟使用分區為「第三種工業區／工廠」，需確認可否登記一般辦公</t>
  </si>
  <si>
    <t xml:space="preserve">內有水線、獨立空調、可招牌；同一戶多家刊登</t>
  </si>
  <si>
    <r>
      <rPr>
        <sz val="10"/>
        <color rgb="FF000000"/>
        <rFont val="Noto Sans CJK SC"/>
        <family val="2"/>
      </rPr>
      <t xml:space="preserve">一層一戶、四面採光、室內有水線；依 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物件頁概略座標推算，最近綠紅藍站為松江南京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綠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780m</t>
    </r>
    <r>
      <rPr>
        <sz val="10"/>
        <color rgb="FF000000"/>
        <rFont val="Noto Sans CJK SC"/>
        <family val="2"/>
      </rPr>
      <t xml:space="preserve">（約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分），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標點非門牌，僅供參考；</t>
    </r>
    <r>
      <rPr>
        <sz val="10"/>
        <color rgb="FF000000"/>
        <rFont val="Arial"/>
        <family val="0"/>
        <charset val="1"/>
      </rPr>
      <t xml:space="preserve">591 21812612 </t>
    </r>
    <r>
      <rPr>
        <sz val="10"/>
        <color rgb="FF000000"/>
        <rFont val="Noto Sans CJK SC"/>
        <family val="2"/>
      </rPr>
      <t xml:space="preserve">內文：三面採光、一層一戶、廁所設於室內</t>
    </r>
  </si>
  <si>
    <r>
      <rPr>
        <sz val="10"/>
        <color rgb="FF000000"/>
        <rFont val="Noto Sans CJK SC"/>
        <family val="2"/>
      </rPr>
      <t xml:space="preserve">權狀</t>
    </r>
    <r>
      <rPr>
        <sz val="10"/>
        <color rgb="FF000000"/>
        <rFont val="Arial"/>
        <family val="0"/>
        <charset val="1"/>
      </rPr>
      <t xml:space="preserve">254</t>
    </r>
    <r>
      <rPr>
        <sz val="10"/>
        <color rgb="FF000000"/>
        <rFont val="Noto Sans CJK SC"/>
        <family val="2"/>
      </rPr>
      <t xml:space="preserve">坪 → 實坪必低於</t>
    </r>
    <r>
      <rPr>
        <sz val="10"/>
        <color rgb="FF000000"/>
        <rFont val="Arial"/>
        <family val="0"/>
        <charset val="1"/>
      </rPr>
      <t xml:space="preserve">254</t>
    </r>
    <r>
      <rPr>
        <sz val="10"/>
        <color rgb="FF000000"/>
        <rFont val="Noto Sans CJK SC"/>
        <family val="2"/>
      </rPr>
      <t xml:space="preserve">；若公設比</t>
    </r>
    <r>
      <rPr>
        <sz val="10"/>
        <color rgb="FF000000"/>
        <rFont val="Arial"/>
        <family val="0"/>
        <charset val="1"/>
      </rPr>
      <t xml:space="preserve">&gt;13.4%</t>
    </r>
    <r>
      <rPr>
        <sz val="10"/>
        <color rgb="FF000000"/>
        <rFont val="Noto Sans CJK SC"/>
        <family val="2"/>
      </rPr>
      <t xml:space="preserve">即不足</t>
    </r>
    <r>
      <rPr>
        <sz val="10"/>
        <color rgb="FF000000"/>
        <rFont val="Arial"/>
        <family val="0"/>
        <charset val="1"/>
      </rPr>
      <t xml:space="preserve">220</t>
    </r>
  </si>
  <si>
    <t xml:space="preserve">高檔裝潢</t>
  </si>
  <si>
    <t xml:space="preserve">同戶／同棟</t>
  </si>
  <si>
    <r>
      <rPr>
        <sz val="10"/>
        <color rgb="FF000000"/>
        <rFont val="Noto Sans CJK SC"/>
        <family val="2"/>
      </rPr>
      <t xml:space="preserve">同棟 </t>
    </r>
    <r>
      <rPr>
        <sz val="10"/>
        <color rgb="FF000000"/>
        <rFont val="Arial"/>
        <family val="0"/>
        <charset val="1"/>
      </rPr>
      <t xml:space="preserve">S06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7F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</si>
  <si>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同棟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5F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</si>
  <si>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同棟 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5F</t>
    </r>
    <r>
      <rPr>
        <sz val="10"/>
        <color rgb="FF000000"/>
        <rFont val="Noto Sans CJK SC"/>
        <family val="2"/>
      </rPr>
      <t xml:space="preserve">）</t>
    </r>
  </si>
  <si>
    <t xml:space="preserve">591 物件頁（9/30 已下架）</t>
  </si>
  <si>
    <t xml:space="preserve">591 房仲提供案</t>
  </si>
  <si>
    <t xml:space="preserve">591 同戶（葛林威）</t>
  </si>
  <si>
    <t xml:space="preserve">大樓介紹（findoffice）</t>
  </si>
  <si>
    <t xml:space="preserve">591 同戶（兆淇）</t>
  </si>
  <si>
    <t xml:space="preserve">傑森愛華清單 第2頁</t>
  </si>
  <si>
    <t xml:space="preserve">推定大樓照片（好房網31張）</t>
  </si>
  <si>
    <t xml:space="preserve">591 21812612（易信）</t>
  </si>
  <si>
    <t xml:space="preserve">大樓照片（好房網18張）</t>
  </si>
  <si>
    <t xml:space="preserve">591 大樓頁</t>
  </si>
  <si>
    <t xml:space="preserve">缺什麼</t>
  </si>
  <si>
    <t xml:space="preserve">要問誰</t>
  </si>
  <si>
    <t xml:space="preserve">建議問題</t>
  </si>
  <si>
    <t xml:space="preserve">租金稅別未寫</t>
  </si>
  <si>
    <t xml:space="preserve">租金是含稅還是未稅？</t>
  </si>
  <si>
    <t xml:space="preserve">廁所老舊需整修</t>
  </si>
  <si>
    <t xml:space="preserve">廁所整修可否由房東在交屋前完成？若由我方整修，可否以免租期或租金折讓抵？</t>
  </si>
  <si>
    <r>
      <rPr>
        <sz val="10"/>
        <color rgb="FF000000"/>
        <rFont val="Arial"/>
        <family val="0"/>
        <charset val="1"/>
      </rPr>
      <t xml:space="preserve">591 48</t>
    </r>
    <r>
      <rPr>
        <sz val="10"/>
        <color rgb="FF000000"/>
        <rFont val="Noto Sans CJK SC"/>
        <family val="2"/>
      </rPr>
      <t xml:space="preserve">萬刊登已下架（</t>
    </r>
    <r>
      <rPr>
        <sz val="10"/>
        <color rgb="FF000000"/>
        <rFont val="Arial"/>
        <family val="0"/>
        <charset val="1"/>
      </rPr>
      <t xml:space="preserve">9/30</t>
    </r>
    <r>
      <rPr>
        <sz val="10"/>
        <color rgb="FF000000"/>
        <rFont val="Noto Sans CJK SC"/>
        <family val="2"/>
      </rPr>
      <t xml:space="preserve">），現存刊登為信義 </t>
    </r>
    <r>
      <rPr>
        <sz val="10"/>
        <color rgb="FF000000"/>
        <rFont val="Arial"/>
        <family val="0"/>
        <charset val="1"/>
      </rPr>
      <t xml:space="preserve">577,885</t>
    </r>
    <r>
      <rPr>
        <sz val="10"/>
        <color rgb="FF000000"/>
        <rFont val="Noto Sans CJK SC"/>
        <family val="2"/>
      </rPr>
      <t xml:space="preserve">（超過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</t>
    </r>
  </si>
  <si>
    <t xml:space="preserve">請書面確認</t>
  </si>
  <si>
    <t xml:space="preserve">兩方報價不同</t>
  </si>
  <si>
    <r>
      <rPr>
        <sz val="10"/>
        <color rgb="FF000000"/>
        <rFont val="Noto Sans CJK SC"/>
        <family val="2"/>
      </rPr>
      <t xml:space="preserve">同一層信義房屋報</t>
    </r>
    <r>
      <rPr>
        <sz val="10"/>
        <color rgb="FF000000"/>
        <rFont val="Arial"/>
        <family val="0"/>
        <charset val="1"/>
      </rPr>
      <t xml:space="preserve">57.8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591</t>
    </r>
    <r>
      <rPr>
        <sz val="10"/>
        <color rgb="FF000000"/>
        <rFont val="Noto Sans CJK SC"/>
        <family val="2"/>
      </rPr>
      <t xml:space="preserve">報</t>
    </r>
    <r>
      <rPr>
        <sz val="10"/>
        <color rgb="FF000000"/>
        <rFont val="Arial"/>
        <family val="0"/>
        <charset val="1"/>
      </rPr>
      <t xml:space="preserve">48</t>
    </r>
    <r>
      <rPr>
        <sz val="10"/>
        <color rgb="FF000000"/>
        <rFont val="Noto Sans CJK SC"/>
        <family val="2"/>
      </rPr>
      <t xml:space="preserve">萬，哪個是現行條件？是否同一戶？</t>
    </r>
  </si>
  <si>
    <r>
      <rPr>
        <sz val="10"/>
        <color rgb="FF000000"/>
        <rFont val="Noto Sans CJK SC"/>
        <family val="2"/>
      </rPr>
      <t xml:space="preserve">只能租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年（之後都更）</t>
    </r>
  </si>
  <si>
    <r>
      <rPr>
        <sz val="10"/>
        <color rgb="FF000000"/>
        <rFont val="Noto Sans CJK SC"/>
        <family val="2"/>
      </rPr>
      <t xml:space="preserve">都更時程：何時啟動？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年後可否續租或優先承租？提前解約條款與搬遷補償？裝潢攤提以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年計</t>
    </r>
  </si>
  <si>
    <r>
      <rPr>
        <sz val="10"/>
        <color rgb="FF000000"/>
        <rFont val="Noto Sans CJK SC"/>
        <family val="2"/>
      </rPr>
      <t xml:space="preserve">租金是否含稅、是否含管理費：物調表／傑森愛華／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三方說法不同，需書面確認</t>
    </r>
  </si>
  <si>
    <t xml:space="preserve">廁所需現勘</t>
  </si>
  <si>
    <t xml:space="preserve">看屋時請拍廁所與茶水間；確認是否為本層專用、男女分廁、何時整修過</t>
  </si>
  <si>
    <r>
      <rPr>
        <sz val="10"/>
        <color rgb="FF000000"/>
        <rFont val="Noto Sans CJK SC"/>
        <family val="2"/>
      </rPr>
      <t xml:space="preserve">管理費只有區間（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萬～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萬），無確切金額</t>
    </r>
  </si>
  <si>
    <t xml:space="preserve">請提供謄本或物調表：主建物＋附屬建物坪數（不含公設）</t>
  </si>
  <si>
    <t xml:space="preserve">管理費未提供</t>
  </si>
  <si>
    <t xml:space="preserve">管理費每月多少？是否含在租金內？</t>
  </si>
  <si>
    <t xml:space="preserve">出租部分實坪未揭露</t>
  </si>
  <si>
    <t xml:space="preserve">出租這一戶的主建物＋附屬坪數是多少？</t>
  </si>
  <si>
    <t xml:space="preserve">大樓名稱為推定</t>
  </si>
  <si>
    <t xml:space="preserve">請確認大樓名稱與門牌</t>
  </si>
  <si>
    <t xml:space="preserve">門牌與大樓名稱為推定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</si>
  <si>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刊登已下架（</t>
    </r>
    <r>
      <rPr>
        <sz val="10"/>
        <color rgb="FF000000"/>
        <rFont val="Arial"/>
        <family val="0"/>
        <charset val="1"/>
      </rPr>
      <t xml:space="preserve">9/24 </t>
    </r>
    <r>
      <rPr>
        <sz val="10"/>
        <color rgb="FF000000"/>
        <rFont val="Noto Sans CJK SC"/>
        <family val="2"/>
      </rPr>
      <t xml:space="preserve">查），需確認是否仍可租</t>
    </r>
  </si>
  <si>
    <t xml:space="preserve">大樓名稱未揭露</t>
  </si>
  <si>
    <t xml:space="preserve">請確認大樓名稱、門牌、使用分區（可否一般辦公登記）</t>
  </si>
  <si>
    <r>
      <rPr>
        <sz val="10"/>
        <color rgb="FF000000"/>
        <rFont val="Noto Sans CJK SC"/>
        <family val="2"/>
      </rPr>
      <t xml:space="preserve">兩種報價（</t>
    </r>
    <r>
      <rPr>
        <sz val="10"/>
        <color rgb="FF000000"/>
        <rFont val="Arial"/>
        <family val="0"/>
        <charset val="1"/>
      </rPr>
      <t xml:space="preserve">42.2</t>
    </r>
    <r>
      <rPr>
        <sz val="10"/>
        <color rgb="FF000000"/>
        <rFont val="Noto Sans CJK SC"/>
        <family val="2"/>
      </rPr>
      <t xml:space="preserve">萬／</t>
    </r>
    <r>
      <rPr>
        <sz val="10"/>
        <color rgb="FF000000"/>
        <rFont val="Arial"/>
        <family val="0"/>
        <charset val="1"/>
      </rPr>
      <t xml:space="preserve">48</t>
    </r>
    <r>
      <rPr>
        <sz val="10"/>
        <color rgb="FF000000"/>
        <rFont val="Noto Sans CJK SC"/>
        <family val="2"/>
      </rPr>
      <t xml:space="preserve">萬）</t>
    </r>
  </si>
  <si>
    <r>
      <rPr>
        <sz val="10"/>
        <color rgb="FF000000"/>
        <rFont val="Noto Sans CJK SC"/>
        <family val="2"/>
      </rPr>
      <t xml:space="preserve">同一戶 </t>
    </r>
    <r>
      <rPr>
        <sz val="10"/>
        <color rgb="FF000000"/>
        <rFont val="Arial"/>
        <family val="0"/>
        <charset val="1"/>
      </rPr>
      <t xml:space="preserve">42.2</t>
    </r>
    <r>
      <rPr>
        <sz val="10"/>
        <color rgb="FF000000"/>
        <rFont val="Noto Sans CJK SC"/>
        <family val="2"/>
      </rPr>
      <t xml:space="preserve">萬與</t>
    </r>
    <r>
      <rPr>
        <sz val="10"/>
        <color rgb="FF000000"/>
        <rFont val="Arial"/>
        <family val="0"/>
        <charset val="1"/>
      </rPr>
      <t xml:space="preserve">48</t>
    </r>
    <r>
      <rPr>
        <sz val="10"/>
        <color rgb="FF000000"/>
        <rFont val="Noto Sans CJK SC"/>
        <family val="2"/>
      </rPr>
      <t xml:space="preserve">萬兩種報價，差在哪裡（稅別／管理費／車位）？</t>
    </r>
  </si>
  <si>
    <t xml:space="preserve">實坪只有仲介口述</t>
  </si>
  <si>
    <r>
      <rPr>
        <sz val="10"/>
        <color rgb="FF000000"/>
        <rFont val="Noto Sans CJK SC"/>
        <family val="2"/>
      </rPr>
      <t xml:space="preserve">「使用約</t>
    </r>
    <r>
      <rPr>
        <sz val="10"/>
        <color rgb="FF000000"/>
        <rFont val="Arial"/>
        <family val="0"/>
        <charset val="1"/>
      </rPr>
      <t xml:space="preserve">226</t>
    </r>
    <r>
      <rPr>
        <sz val="10"/>
        <color rgb="FF000000"/>
        <rFont val="Noto Sans CJK SC"/>
        <family val="2"/>
      </rPr>
      <t xml:space="preserve">坪」請提供謄本分項佐證</t>
    </r>
  </si>
  <si>
    <r>
      <rPr>
        <sz val="10"/>
        <color rgb="FF000000"/>
        <rFont val="Noto Sans CJK SC"/>
        <family val="2"/>
      </rPr>
      <t xml:space="preserve">綠紅藍捷運距離未確認（概略座標推算松江南京約</t>
    </r>
    <r>
      <rPr>
        <sz val="10"/>
        <color rgb="FF000000"/>
        <rFont val="Arial"/>
        <family val="0"/>
        <charset val="1"/>
      </rPr>
      <t xml:space="preserve">780m</t>
    </r>
    <r>
      <rPr>
        <sz val="10"/>
        <color rgb="FF000000"/>
        <rFont val="Noto Sans CJK SC"/>
        <family val="2"/>
      </rPr>
      <t xml:space="preserve">）</t>
    </r>
  </si>
  <si>
    <t xml:space="preserve">請提供門牌，以計算到松江南京站距離</t>
  </si>
  <si>
    <r>
      <rPr>
        <sz val="10"/>
        <color rgb="FF000000"/>
        <rFont val="Noto Sans CJK SC"/>
        <family val="2"/>
      </rPr>
      <t xml:space="preserve">稅別依據（</t>
    </r>
    <r>
      <rPr>
        <sz val="10"/>
        <color rgb="FF000000"/>
        <rFont val="Arial"/>
        <family val="0"/>
        <charset val="1"/>
      </rPr>
      <t xml:space="preserve">591 21595066</t>
    </r>
    <r>
      <rPr>
        <sz val="10"/>
        <color rgb="FF000000"/>
        <rFont val="Noto Sans CJK SC"/>
        <family val="2"/>
      </rPr>
      <t xml:space="preserve">「未含稅」）已下架，現存刊登未寫稅別</t>
    </r>
  </si>
  <si>
    <r>
      <rPr>
        <sz val="10"/>
        <color rgb="FF000000"/>
        <rFont val="Noto Sans CJK SC"/>
        <family val="2"/>
      </rPr>
      <t xml:space="preserve">稅別未寫（未稅則超過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萬）</t>
    </r>
  </si>
  <si>
    <t xml:space="preserve">其他較近站（非綠紅藍）</t>
  </si>
  <si>
    <t xml:space="preserve">依據</t>
  </si>
  <si>
    <t xml:space="preserve">計算方式</t>
  </si>
  <si>
    <t xml:space="preserve">座標直線距離（站點座標見下方）</t>
  </si>
  <si>
    <t xml:space="preserve">採物件頁寫明的距離</t>
  </si>
  <si>
    <t xml:space="preserve">無法計算</t>
  </si>
  <si>
    <r>
      <rPr>
        <sz val="10"/>
        <color rgb="FF000000"/>
        <rFont val="Noto Sans CJK SC"/>
        <family val="2"/>
      </rPr>
      <t xml:space="preserve">信義大樓 </t>
    </r>
    <r>
      <rPr>
        <sz val="10"/>
        <color rgb="FF000000"/>
        <rFont val="Arial"/>
        <family val="0"/>
        <charset val="1"/>
      </rPr>
      <t xml:space="preserve">5F</t>
    </r>
  </si>
  <si>
    <r>
      <rPr>
        <sz val="10"/>
        <color rgb="FF000000"/>
        <rFont val="Noto Sans CJK SC"/>
        <family val="2"/>
      </rPr>
      <t xml:space="preserve">信義大樓 </t>
    </r>
    <r>
      <rPr>
        <sz val="10"/>
        <color rgb="FF000000"/>
        <rFont val="Arial"/>
        <family val="0"/>
        <charset val="1"/>
      </rPr>
      <t xml:space="preserve">9F</t>
    </r>
  </si>
  <si>
    <r>
      <rPr>
        <sz val="10"/>
        <color rgb="FF000000"/>
        <rFont val="Noto Sans CJK SC"/>
        <family val="2"/>
      </rPr>
      <t xml:space="preserve">復興南路稀有大空間地下室 </t>
    </r>
    <r>
      <rPr>
        <sz val="10"/>
        <color rgb="FF000000"/>
        <rFont val="Arial"/>
        <family val="0"/>
        <charset val="1"/>
      </rPr>
      <t xml:space="preserve">B1</t>
    </r>
  </si>
  <si>
    <r>
      <rPr>
        <sz val="10"/>
        <color rgb="FF000000"/>
        <rFont val="Noto Sans CJK SC"/>
        <family val="2"/>
      </rPr>
      <t xml:space="preserve">新設工大樓 </t>
    </r>
    <r>
      <rPr>
        <sz val="10"/>
        <color rgb="FF000000"/>
        <rFont val="Arial"/>
        <family val="0"/>
        <charset val="1"/>
      </rPr>
      <t xml:space="preserve">6C</t>
    </r>
    <r>
      <rPr>
        <sz val="10"/>
        <color rgb="FF000000"/>
        <rFont val="Noto Sans CJK SC"/>
        <family val="2"/>
      </rPr>
      <t xml:space="preserve">（中山北路三段）</t>
    </r>
  </si>
  <si>
    <r>
      <rPr>
        <sz val="10"/>
        <color rgb="FF000000"/>
        <rFont val="Noto Sans CJK SC"/>
        <family val="2"/>
      </rPr>
      <t xml:space="preserve">信義大樓 </t>
    </r>
    <r>
      <rPr>
        <sz val="10"/>
        <color rgb="FF000000"/>
        <rFont val="Arial"/>
        <family val="0"/>
        <charset val="1"/>
      </rPr>
      <t xml:space="preserve">22F</t>
    </r>
  </si>
  <si>
    <r>
      <rPr>
        <sz val="10"/>
        <color rgb="FF000000"/>
        <rFont val="Noto Sans CJK SC"/>
        <family val="2"/>
      </rPr>
      <t xml:space="preserve">光復南路大坪數辦公 </t>
    </r>
    <r>
      <rPr>
        <sz val="10"/>
        <color rgb="FF000000"/>
        <rFont val="Arial"/>
        <family val="0"/>
        <charset val="1"/>
      </rPr>
      <t xml:space="preserve">6F</t>
    </r>
  </si>
  <si>
    <r>
      <rPr>
        <sz val="10"/>
        <color rgb="FF000000"/>
        <rFont val="Noto Sans CJK SC"/>
        <family val="2"/>
      </rPr>
      <t xml:space="preserve">敦化財經大樓 </t>
    </r>
    <r>
      <rPr>
        <sz val="10"/>
        <color rgb="FF000000"/>
        <rFont val="Arial"/>
        <family val="0"/>
        <charset val="1"/>
      </rPr>
      <t xml:space="preserve">4F</t>
    </r>
    <r>
      <rPr>
        <sz val="10"/>
        <color rgb="FF000000"/>
        <rFont val="Noto Sans CJK SC"/>
        <family val="2"/>
      </rPr>
      <t xml:space="preserve">之</t>
    </r>
    <r>
      <rPr>
        <sz val="10"/>
        <color rgb="FF000000"/>
        <rFont val="Arial"/>
        <family val="0"/>
        <charset val="1"/>
      </rPr>
      <t xml:space="preserve">1</t>
    </r>
  </si>
  <si>
    <t xml:space="preserve">綠紅藍線距離未確認</t>
  </si>
  <si>
    <r>
      <rPr>
        <sz val="10"/>
        <color rgb="FF000000"/>
        <rFont val="Noto Sans CJK SC"/>
        <family val="2"/>
      </rPr>
      <t xml:space="preserve">永春地下大空間店商辦 </t>
    </r>
    <r>
      <rPr>
        <sz val="10"/>
        <color rgb="FF000000"/>
        <rFont val="Arial"/>
        <family val="0"/>
        <charset val="1"/>
      </rPr>
      <t xml:space="preserve">B1</t>
    </r>
  </si>
  <si>
    <r>
      <rPr>
        <sz val="10"/>
        <color rgb="FF000000"/>
        <rFont val="Noto Sans CJK SC"/>
        <family val="2"/>
      </rPr>
      <t xml:space="preserve">國泰世華銀行大樓 </t>
    </r>
    <r>
      <rPr>
        <sz val="10"/>
        <color rgb="FF000000"/>
        <rFont val="Arial"/>
        <family val="0"/>
        <charset val="1"/>
      </rPr>
      <t xml:space="preserve">6F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</si>
  <si>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地圖：仁愛路四段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號</t>
    </r>
  </si>
  <si>
    <r>
      <rPr>
        <sz val="10"/>
        <color rgb="FF000000"/>
        <rFont val="Noto Sans CJK SC"/>
        <family val="2"/>
      </rPr>
      <t xml:space="preserve">敦北長城大樓 </t>
    </r>
    <r>
      <rPr>
        <sz val="10"/>
        <color rgb="FF000000"/>
        <rFont val="Arial"/>
        <family val="0"/>
        <charset val="1"/>
      </rPr>
      <t xml:space="preserve">3F</t>
    </r>
  </si>
  <si>
    <r>
      <rPr>
        <sz val="10"/>
        <color rgb="FF000000"/>
        <rFont val="Noto Sans CJK SC"/>
        <family val="2"/>
      </rPr>
      <t xml:space="preserve">松哖大樓 </t>
    </r>
    <r>
      <rPr>
        <sz val="10"/>
        <color rgb="FF000000"/>
        <rFont val="Arial"/>
        <family val="0"/>
        <charset val="1"/>
      </rPr>
      <t xml:space="preserve">2F</t>
    </r>
  </si>
  <si>
    <r>
      <rPr>
        <sz val="10"/>
        <color rgb="FF000000"/>
        <rFont val="Noto Sans CJK SC"/>
        <family val="2"/>
      </rPr>
      <t xml:space="preserve">物調表「捷運站：小巨蛋站</t>
    </r>
    <r>
      <rPr>
        <sz val="10"/>
        <color rgb="FF000000"/>
        <rFont val="Arial"/>
        <family val="0"/>
        <charset val="1"/>
      </rPr>
      <t xml:space="preserve">(1)</t>
    </r>
    <r>
      <rPr>
        <sz val="10"/>
        <color rgb="FF000000"/>
        <rFont val="Noto Sans CJK SC"/>
        <family val="2"/>
      </rPr>
      <t xml:space="preserve">」疑為範本未改；</t>
    </r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寫行天宮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橘</t>
    </r>
    <r>
      <rPr>
        <sz val="10"/>
        <color rgb="FF000000"/>
        <rFont val="Arial"/>
        <family val="0"/>
        <charset val="1"/>
      </rPr>
      <t xml:space="preserve">)185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299m</t>
    </r>
  </si>
  <si>
    <r>
      <rPr>
        <sz val="10"/>
        <color rgb="FF000000"/>
        <rFont val="Noto Sans CJK SC"/>
        <family val="2"/>
      </rPr>
      <t xml:space="preserve">安和路一段 </t>
    </r>
    <r>
      <rPr>
        <sz val="10"/>
        <color rgb="FF000000"/>
        <rFont val="Arial"/>
        <family val="0"/>
        <charset val="1"/>
      </rPr>
      <t xml:space="preserve">11F</t>
    </r>
  </si>
  <si>
    <t xml:space="preserve">住商物件頁寫明</t>
  </si>
  <si>
    <r>
      <rPr>
        <sz val="10"/>
        <color rgb="FF000000"/>
        <rFont val="Noto Sans CJK SC"/>
        <family val="2"/>
      </rPr>
      <t xml:space="preserve">友聯大樓 </t>
    </r>
    <r>
      <rPr>
        <sz val="10"/>
        <color rgb="FF000000"/>
        <rFont val="Arial"/>
        <family val="0"/>
        <charset val="1"/>
      </rPr>
      <t xml:space="preserve">5F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</si>
  <si>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地圖：南京東路五段</t>
    </r>
    <r>
      <rPr>
        <sz val="10"/>
        <color rgb="FF000000"/>
        <rFont val="Arial"/>
        <family val="0"/>
        <charset val="1"/>
      </rPr>
      <t xml:space="preserve">89</t>
    </r>
    <r>
      <rPr>
        <sz val="10"/>
        <color rgb="FF000000"/>
        <rFont val="Noto Sans CJK SC"/>
        <family val="2"/>
      </rPr>
      <t xml:space="preserve">號</t>
    </r>
  </si>
  <si>
    <r>
      <rPr>
        <sz val="10"/>
        <color rgb="FF000000"/>
        <rFont val="Noto Sans CJK SC"/>
        <family val="2"/>
      </rPr>
      <t xml:space="preserve">安敦國際大樓 </t>
    </r>
    <r>
      <rPr>
        <sz val="10"/>
        <color rgb="FF000000"/>
        <rFont val="Arial"/>
        <family val="0"/>
        <charset val="1"/>
      </rPr>
      <t xml:space="preserve">7F</t>
    </r>
  </si>
  <si>
    <r>
      <rPr>
        <sz val="10"/>
        <color rgb="FF000000"/>
        <rFont val="Arial"/>
        <family val="0"/>
        <charset val="1"/>
      </rPr>
      <t xml:space="preserve">591</t>
    </r>
    <r>
      <rPr>
        <sz val="10"/>
        <color rgb="FF000000"/>
        <rFont val="Noto Sans CJK SC"/>
        <family val="2"/>
      </rPr>
      <t xml:space="preserve">物件頁寫明</t>
    </r>
  </si>
  <si>
    <r>
      <rPr>
        <sz val="10"/>
        <color rgb="FF000000"/>
        <rFont val="Noto Sans CJK SC"/>
        <family val="2"/>
      </rPr>
      <t xml:space="preserve">中鼎大樓 </t>
    </r>
    <r>
      <rPr>
        <sz val="10"/>
        <color rgb="FF000000"/>
        <rFont val="Arial"/>
        <family val="0"/>
        <charset val="1"/>
      </rPr>
      <t xml:space="preserve">15F</t>
    </r>
    <r>
      <rPr>
        <sz val="10"/>
        <color rgb="FF000000"/>
        <rFont val="Noto Sans CJK SC"/>
        <family val="2"/>
      </rPr>
      <t xml:space="preserve">之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</si>
  <si>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信義全球物件座標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中鼎大樓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</si>
  <si>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敦化南路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中鼎大樓 </t>
    </r>
    <r>
      <rPr>
        <sz val="10"/>
        <color rgb="FF000000"/>
        <rFont val="Arial"/>
        <family val="0"/>
        <charset val="1"/>
      </rPr>
      <t xml:space="preserve">77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樓</t>
    </r>
    <r>
      <rPr>
        <sz val="10"/>
        <color rgb="FF000000"/>
        <rFont val="Arial"/>
        <family val="0"/>
        <charset val="1"/>
      </rPr>
      <t xml:space="preserve">) 22F 230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</si>
  <si>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同中鼎大樓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信義全球座標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</si>
  <si>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敦化南路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中鼎大樓 </t>
    </r>
    <r>
      <rPr>
        <sz val="10"/>
        <color rgb="FF000000"/>
        <rFont val="Arial"/>
        <family val="0"/>
        <charset val="1"/>
      </rPr>
      <t xml:space="preserve">77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樓</t>
    </r>
    <r>
      <rPr>
        <sz val="10"/>
        <color rgb="FF000000"/>
        <rFont val="Arial"/>
        <family val="0"/>
        <charset val="1"/>
      </rPr>
      <t xml:space="preserve">) 2F 222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</si>
  <si>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明水路營業用商辦 </t>
    </r>
    <r>
      <rPr>
        <sz val="10"/>
        <color rgb="FF000000"/>
        <rFont val="Arial"/>
        <family val="0"/>
        <charset val="1"/>
      </rPr>
      <t xml:space="preserve">4F</t>
    </r>
  </si>
  <si>
    <r>
      <rPr>
        <sz val="10"/>
        <color rgb="FF000000"/>
        <rFont val="Noto Sans CJK SC"/>
        <family val="2"/>
      </rPr>
      <t xml:space="preserve">大直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 500m</t>
    </r>
  </si>
  <si>
    <r>
      <rPr>
        <sz val="10"/>
        <color rgb="FF000000"/>
        <rFont val="Noto Sans CJK SC"/>
        <family val="2"/>
      </rPr>
      <t xml:space="preserve">家美金融大樓 </t>
    </r>
    <r>
      <rPr>
        <sz val="10"/>
        <color rgb="FF000000"/>
        <rFont val="Arial"/>
        <family val="0"/>
        <charset val="1"/>
      </rPr>
      <t xml:space="preserve">15F</t>
    </r>
  </si>
  <si>
    <r>
      <rPr>
        <sz val="10"/>
        <color rgb="FF000000"/>
        <rFont val="Noto Sans CJK SC"/>
        <family val="2"/>
      </rPr>
      <t xml:space="preserve">信義全球物件座標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家美金融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</si>
  <si>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白宮企業大樓 </t>
    </r>
    <r>
      <rPr>
        <sz val="10"/>
        <color rgb="FF000000"/>
        <rFont val="Arial"/>
        <family val="0"/>
        <charset val="1"/>
      </rPr>
      <t xml:space="preserve">5F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</si>
  <si>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地圖：南京東路三段</t>
    </r>
    <r>
      <rPr>
        <sz val="10"/>
        <color rgb="FF000000"/>
        <rFont val="Arial"/>
        <family val="0"/>
        <charset val="1"/>
      </rPr>
      <t xml:space="preserve">346</t>
    </r>
    <r>
      <rPr>
        <sz val="10"/>
        <color rgb="FF000000"/>
        <rFont val="Noto Sans CJK SC"/>
        <family val="2"/>
      </rPr>
      <t xml:space="preserve">號白宮企業大樓</t>
    </r>
  </si>
  <si>
    <r>
      <rPr>
        <sz val="10"/>
        <color rgb="FF000000"/>
        <rFont val="Noto Sans CJK SC"/>
        <family val="2"/>
      </rPr>
      <t xml:space="preserve">仁愛路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段近復興南路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鴻霖大樓 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樓之</t>
    </r>
    <r>
      <rPr>
        <sz val="10"/>
        <color rgb="FF000000"/>
        <rFont val="Arial"/>
        <family val="0"/>
        <charset val="1"/>
      </rPr>
      <t xml:space="preserve">2) 10F 210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</si>
  <si>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地圖：仁愛路四段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號鴻霖大廈</t>
    </r>
  </si>
  <si>
    <r>
      <rPr>
        <sz val="10"/>
        <color rgb="FF000000"/>
        <rFont val="Noto Sans CJK SC"/>
        <family val="2"/>
      </rPr>
      <t xml:space="preserve">八德路近復興北路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中影八德大樓 八德路二段</t>
    </r>
    <r>
      <rPr>
        <sz val="10"/>
        <color rgb="FF000000"/>
        <rFont val="Arial"/>
        <family val="0"/>
        <charset val="1"/>
      </rPr>
      <t xml:space="preserve">260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樓全層</t>
    </r>
    <r>
      <rPr>
        <sz val="10"/>
        <color rgb="FF000000"/>
        <rFont val="Arial"/>
        <family val="0"/>
        <charset val="1"/>
      </rPr>
      <t xml:space="preserve">) 2F 200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</si>
  <si>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地圖：八德路二段</t>
    </r>
    <r>
      <rPr>
        <sz val="10"/>
        <color rgb="FF000000"/>
        <rFont val="Arial"/>
        <family val="0"/>
        <charset val="1"/>
      </rPr>
      <t xml:space="preserve">256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260</t>
    </r>
    <r>
      <rPr>
        <sz val="10"/>
        <color rgb="FF000000"/>
        <rFont val="Noto Sans CJK SC"/>
        <family val="2"/>
      </rPr>
      <t xml:space="preserve">號中影八德大樓</t>
    </r>
  </si>
  <si>
    <r>
      <rPr>
        <sz val="10"/>
        <color rgb="FF000000"/>
        <rFont val="Noto Sans CJK SC"/>
        <family val="2"/>
      </rPr>
      <t xml:space="preserve">光復北路新大樓 </t>
    </r>
    <r>
      <rPr>
        <sz val="10"/>
        <color rgb="FF000000"/>
        <rFont val="Arial"/>
        <family val="0"/>
        <charset val="1"/>
      </rPr>
      <t xml:space="preserve">5F</t>
    </r>
  </si>
  <si>
    <r>
      <rPr>
        <sz val="10"/>
        <color rgb="FF000000"/>
        <rFont val="Noto Sans CJK SC"/>
        <family val="2"/>
      </rPr>
      <t xml:space="preserve">國票大樓 </t>
    </r>
    <r>
      <rPr>
        <sz val="10"/>
        <color rgb="FF000000"/>
        <rFont val="Arial"/>
        <family val="0"/>
        <charset val="1"/>
      </rPr>
      <t xml:space="preserve">15F C</t>
    </r>
  </si>
  <si>
    <r>
      <rPr>
        <sz val="10"/>
        <color rgb="FF000000"/>
        <rFont val="Noto Sans CJK SC"/>
        <family val="2"/>
      </rPr>
      <t xml:space="preserve">劍南路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 250m</t>
    </r>
  </si>
  <si>
    <r>
      <rPr>
        <sz val="10"/>
        <color rgb="FF000000"/>
        <rFont val="Noto Sans CJK SC"/>
        <family val="2"/>
      </rPr>
      <t xml:space="preserve">松山路 </t>
    </r>
    <r>
      <rPr>
        <sz val="10"/>
        <color rgb="FF000000"/>
        <rFont val="Arial"/>
        <family val="0"/>
        <charset val="1"/>
      </rPr>
      <t xml:space="preserve">7F</t>
    </r>
  </si>
  <si>
    <t xml:space="preserve">門牌未揭露，無法計算</t>
  </si>
  <si>
    <r>
      <rPr>
        <sz val="10"/>
        <color rgb="FF000000"/>
        <rFont val="Noto Sans CJK SC"/>
        <family val="2"/>
      </rPr>
      <t xml:space="preserve">林森北路 </t>
    </r>
    <r>
      <rPr>
        <sz val="10"/>
        <color rgb="FF000000"/>
        <rFont val="Arial"/>
        <family val="0"/>
        <charset val="1"/>
      </rPr>
      <t xml:space="preserve">6F</t>
    </r>
  </si>
  <si>
    <r>
      <rPr>
        <sz val="10"/>
        <color rgb="FF000000"/>
        <rFont val="Noto Sans CJK SC"/>
        <family val="2"/>
      </rPr>
      <t xml:space="preserve">星勢力大樓 </t>
    </r>
    <r>
      <rPr>
        <sz val="10"/>
        <color rgb="FF000000"/>
        <rFont val="Arial"/>
        <family val="0"/>
        <charset val="1"/>
      </rPr>
      <t xml:space="preserve">4F</t>
    </r>
    <r>
      <rPr>
        <sz val="10"/>
        <color rgb="FF000000"/>
        <rFont val="Noto Sans CJK SC"/>
        <family val="2"/>
      </rPr>
      <t xml:space="preserve">（大直）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</si>
  <si>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寫棕線大直</t>
    </r>
    <r>
      <rPr>
        <sz val="10"/>
        <color rgb="FF000000"/>
        <rFont val="Arial"/>
        <family val="0"/>
        <charset val="1"/>
      </rPr>
      <t xml:space="preserve">428m</t>
    </r>
  </si>
  <si>
    <r>
      <rPr>
        <sz val="10"/>
        <color rgb="FF000000"/>
        <rFont val="Noto Sans CJK SC"/>
        <family val="2"/>
      </rPr>
      <t xml:space="preserve">明水路（大直） </t>
    </r>
    <r>
      <rPr>
        <sz val="10"/>
        <color rgb="FF000000"/>
        <rFont val="Arial"/>
        <family val="0"/>
        <charset val="1"/>
      </rPr>
      <t xml:space="preserve">4F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</si>
  <si>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S07 </t>
    </r>
    <r>
      <rPr>
        <sz val="10"/>
        <color rgb="FF000000"/>
        <rFont val="Noto Sans CJK SC"/>
        <family val="2"/>
      </rPr>
      <t xml:space="preserve">明水路物件（</t>
    </r>
    <r>
      <rPr>
        <sz val="10"/>
        <color rgb="FF000000"/>
        <rFont val="Arial"/>
        <family val="0"/>
        <charset val="1"/>
      </rPr>
      <t xml:space="preserve">HouseWeb</t>
    </r>
    <r>
      <rPr>
        <sz val="10"/>
        <color rgb="FF000000"/>
        <rFont val="Noto Sans CJK SC"/>
        <family val="2"/>
      </rPr>
      <t xml:space="preserve">同戶）</t>
    </r>
  </si>
  <si>
    <r>
      <rPr>
        <sz val="10"/>
        <color rgb="FF000000"/>
        <rFont val="Noto Sans CJK SC"/>
        <family val="2"/>
      </rPr>
      <t xml:space="preserve">八德路四段 </t>
    </r>
    <r>
      <rPr>
        <sz val="10"/>
        <color rgb="FF000000"/>
        <rFont val="Arial"/>
        <family val="0"/>
        <charset val="1"/>
      </rPr>
      <t xml:space="preserve">9F</t>
    </r>
  </si>
  <si>
    <r>
      <rPr>
        <sz val="10"/>
        <color rgb="FF000000"/>
        <rFont val="Noto Sans CJK SC"/>
        <family val="2"/>
      </rPr>
      <t xml:space="preserve">八德路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龍江路 </t>
    </r>
    <r>
      <rPr>
        <sz val="10"/>
        <color rgb="FF000000"/>
        <rFont val="Arial"/>
        <family val="0"/>
        <charset val="1"/>
      </rPr>
      <t xml:space="preserve">2F 220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</si>
  <si>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八德路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龍江路口（清單未給門牌）</t>
    </r>
  </si>
  <si>
    <r>
      <rPr>
        <sz val="10"/>
        <color rgb="FF000000"/>
        <rFont val="Noto Sans CJK SC"/>
        <family val="2"/>
      </rPr>
      <t xml:space="preserve">同明水路大樓（推定，</t>
    </r>
    <r>
      <rPr>
        <sz val="10"/>
        <color rgb="FF000000"/>
        <rFont val="Arial"/>
        <family val="0"/>
        <charset val="1"/>
      </rPr>
      <t xml:space="preserve">HouseWeb</t>
    </r>
    <r>
      <rPr>
        <sz val="10"/>
        <color rgb="FF000000"/>
        <rFont val="Noto Sans CJK SC"/>
        <family val="2"/>
      </rPr>
      <t xml:space="preserve">未給門牌）</t>
    </r>
  </si>
  <si>
    <r>
      <rPr>
        <sz val="10"/>
        <color rgb="FF000000"/>
        <rFont val="Noto Sans CJK SC"/>
        <family val="2"/>
      </rPr>
      <t xml:space="preserve">光復南路 </t>
    </r>
    <r>
      <rPr>
        <sz val="10"/>
        <color rgb="FF000000"/>
        <rFont val="Arial"/>
        <family val="0"/>
        <charset val="1"/>
      </rPr>
      <t xml:space="preserve">7F</t>
    </r>
  </si>
  <si>
    <r>
      <rPr>
        <sz val="10"/>
        <color rgb="FF000000"/>
        <rFont val="Arial"/>
        <family val="0"/>
        <charset val="1"/>
      </rPr>
      <t xml:space="preserve">591/HouseWeb</t>
    </r>
    <r>
      <rPr>
        <sz val="10"/>
        <color rgb="FF000000"/>
        <rFont val="Noto Sans CJK SC"/>
        <family val="2"/>
      </rPr>
      <t xml:space="preserve">同戶</t>
    </r>
  </si>
  <si>
    <r>
      <rPr>
        <sz val="10"/>
        <color rgb="FF000000"/>
        <rFont val="Noto Sans CJK SC"/>
        <family val="2"/>
      </rPr>
      <t xml:space="preserve">信義路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環球</t>
    </r>
    <r>
      <rPr>
        <sz val="10"/>
        <color rgb="FF000000"/>
        <rFont val="Arial"/>
        <family val="0"/>
        <charset val="1"/>
      </rPr>
      <t xml:space="preserve">) 18F 201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</si>
  <si>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同環球世貿（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座標，清單未給門牌）</t>
    </r>
  </si>
  <si>
    <r>
      <rPr>
        <sz val="10"/>
        <color rgb="FF000000"/>
        <rFont val="Noto Sans CJK SC"/>
        <family val="2"/>
      </rPr>
      <t xml:space="preserve">南京東路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段近三民站 </t>
    </r>
    <r>
      <rPr>
        <sz val="10"/>
        <color rgb="FF000000"/>
        <rFont val="Arial"/>
        <family val="0"/>
        <charset val="1"/>
      </rPr>
      <t xml:space="preserve">5F 204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</si>
  <si>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明水路（大直） </t>
    </r>
    <r>
      <rPr>
        <sz val="10"/>
        <color rgb="FF000000"/>
        <rFont val="Arial"/>
        <family val="0"/>
        <charset val="1"/>
      </rPr>
      <t xml:space="preserve">3F</t>
    </r>
  </si>
  <si>
    <r>
      <rPr>
        <sz val="10"/>
        <color rgb="FF000000"/>
        <rFont val="Noto Sans CJK SC"/>
        <family val="2"/>
      </rPr>
      <t xml:space="preserve">建國北路三段 </t>
    </r>
    <r>
      <rPr>
        <sz val="10"/>
        <color rgb="FF000000"/>
        <rFont val="Arial"/>
        <family val="0"/>
        <charset val="1"/>
      </rPr>
      <t xml:space="preserve">2F</t>
    </r>
    <r>
      <rPr>
        <sz val="10"/>
        <color rgb="FF000000"/>
        <rFont val="Noto Sans CJK SC"/>
        <family val="2"/>
      </rPr>
      <t xml:space="preserve">（合併物件）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</si>
  <si>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只寫橘線行天宮</t>
    </r>
    <r>
      <rPr>
        <sz val="10"/>
        <color rgb="FF000000"/>
        <rFont val="Arial"/>
        <family val="0"/>
        <charset val="1"/>
      </rPr>
      <t xml:space="preserve">486m</t>
    </r>
    <r>
      <rPr>
        <sz val="10"/>
        <color rgb="FF000000"/>
        <rFont val="Noto Sans CJK SC"/>
        <family val="2"/>
      </rPr>
      <t xml:space="preserve">；綠紅藍線不在步行範圍（未確認距離）</t>
    </r>
  </si>
  <si>
    <r>
      <rPr>
        <sz val="10"/>
        <color rgb="FF000000"/>
        <rFont val="Noto Sans CJK SC"/>
        <family val="2"/>
      </rPr>
      <t xml:space="preserve">敦化北路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民生東路 </t>
    </r>
    <r>
      <rPr>
        <sz val="10"/>
        <color rgb="FF000000"/>
        <rFont val="Arial"/>
        <family val="0"/>
        <charset val="1"/>
      </rPr>
      <t xml:space="preserve">2F 211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</si>
  <si>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 570m</t>
    </r>
  </si>
  <si>
    <r>
      <rPr>
        <sz val="10"/>
        <color rgb="FF000000"/>
        <rFont val="Noto Sans CJK SC"/>
        <family val="2"/>
      </rPr>
      <t xml:space="preserve">敦化北路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民生東路口（清單未給門牌）</t>
    </r>
  </si>
  <si>
    <r>
      <rPr>
        <sz val="10"/>
        <color rgb="FF000000"/>
        <rFont val="Noto Sans CJK SC"/>
        <family val="2"/>
      </rPr>
      <t xml:space="preserve">中山北路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段近市民大道 </t>
    </r>
    <r>
      <rPr>
        <sz val="10"/>
        <color rgb="FF000000"/>
        <rFont val="Arial"/>
        <family val="0"/>
        <charset val="1"/>
      </rPr>
      <t xml:space="preserve">9F 209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</si>
  <si>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中山北路一段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市民大道口（清單未給門牌）</t>
    </r>
  </si>
  <si>
    <r>
      <rPr>
        <sz val="10"/>
        <color rgb="FF000000"/>
        <rFont val="Noto Sans CJK SC"/>
        <family val="2"/>
      </rPr>
      <t xml:space="preserve">植福路（大直） </t>
    </r>
    <r>
      <rPr>
        <sz val="10"/>
        <color rgb="FF000000"/>
        <rFont val="Arial"/>
        <family val="0"/>
        <charset val="1"/>
      </rPr>
      <t xml:space="preserve">9F</t>
    </r>
  </si>
  <si>
    <r>
      <rPr>
        <sz val="10"/>
        <color rgb="FF000000"/>
        <rFont val="Noto Sans CJK SC"/>
        <family val="2"/>
      </rPr>
      <t xml:space="preserve">安敦國際大樓 </t>
    </r>
    <r>
      <rPr>
        <sz val="10"/>
        <color rgb="FF000000"/>
        <rFont val="Arial"/>
        <family val="0"/>
        <charset val="1"/>
      </rPr>
      <t xml:space="preserve">14F</t>
    </r>
  </si>
  <si>
    <r>
      <rPr>
        <sz val="10"/>
        <color rgb="FF000000"/>
        <rFont val="Noto Sans CJK SC"/>
        <family val="2"/>
      </rPr>
      <t xml:space="preserve">同安敦國際大樓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信義全球座標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</si>
  <si>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民權西路 </t>
    </r>
    <r>
      <rPr>
        <sz val="10"/>
        <color rgb="FF000000"/>
        <rFont val="Arial"/>
        <family val="0"/>
        <charset val="1"/>
      </rPr>
      <t xml:space="preserve">5F</t>
    </r>
    <r>
      <rPr>
        <sz val="10"/>
        <color rgb="FF000000"/>
        <rFont val="Noto Sans CJK SC"/>
        <family val="2"/>
      </rPr>
      <t xml:space="preserve">（民權西路站）</t>
    </r>
  </si>
  <si>
    <r>
      <rPr>
        <sz val="10"/>
        <color rgb="FF000000"/>
        <rFont val="Noto Sans CJK SC"/>
        <family val="2"/>
      </rPr>
      <t xml:space="preserve">敦化南路二段 </t>
    </r>
    <r>
      <rPr>
        <sz val="10"/>
        <color rgb="FF000000"/>
        <rFont val="Arial"/>
        <family val="0"/>
        <charset val="1"/>
      </rPr>
      <t xml:space="preserve">15F</t>
    </r>
    <r>
      <rPr>
        <sz val="10"/>
        <color rgb="FF000000"/>
        <rFont val="Noto Sans CJK SC"/>
        <family val="2"/>
      </rPr>
      <t xml:space="preserve">（信義安和站）</t>
    </r>
  </si>
  <si>
    <r>
      <rPr>
        <sz val="10"/>
        <color rgb="FF000000"/>
        <rFont val="Noto Sans CJK SC"/>
        <family val="2"/>
      </rPr>
      <t xml:space="preserve">科技大樓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 540m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</si>
  <si>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物件頁地圖座標（概略）</t>
    </r>
  </si>
  <si>
    <r>
      <rPr>
        <sz val="10"/>
        <color rgb="FF000000"/>
        <rFont val="Noto Sans CJK SC"/>
        <family val="2"/>
      </rPr>
      <t xml:space="preserve">健康路 </t>
    </r>
    <r>
      <rPr>
        <sz val="10"/>
        <color rgb="FF000000"/>
        <rFont val="Arial"/>
        <family val="0"/>
        <charset val="1"/>
      </rPr>
      <t xml:space="preserve">8F</t>
    </r>
    <r>
      <rPr>
        <sz val="10"/>
        <color rgb="FF000000"/>
        <rFont val="Noto Sans CJK SC"/>
        <family val="2"/>
      </rPr>
      <t xml:space="preserve">（南京三民／小巨蛋站）</t>
    </r>
  </si>
  <si>
    <r>
      <rPr>
        <sz val="10"/>
        <color rgb="FF000000"/>
        <rFont val="Noto Sans CJK SC"/>
        <family val="2"/>
      </rPr>
      <t xml:space="preserve">民生東路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建國北路 </t>
    </r>
    <r>
      <rPr>
        <sz val="10"/>
        <color rgb="FF000000"/>
        <rFont val="Arial"/>
        <family val="0"/>
        <charset val="1"/>
      </rPr>
      <t xml:space="preserve">2*F 225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</si>
  <si>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橘</t>
    </r>
    <r>
      <rPr>
        <sz val="10"/>
        <color rgb="FF000000"/>
        <rFont val="Arial"/>
        <family val="0"/>
        <charset val="1"/>
      </rPr>
      <t xml:space="preserve">) 510m</t>
    </r>
  </si>
  <si>
    <r>
      <rPr>
        <sz val="10"/>
        <color rgb="FF000000"/>
        <rFont val="Noto Sans CJK SC"/>
        <family val="2"/>
      </rPr>
      <t xml:space="preserve">民生東路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建國北路口（清單未給門牌）</t>
    </r>
  </si>
  <si>
    <r>
      <rPr>
        <sz val="10"/>
        <color rgb="FF000000"/>
        <rFont val="Noto Sans CJK SC"/>
        <family val="2"/>
      </rPr>
      <t xml:space="preserve">民生東路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復興北路 </t>
    </r>
    <r>
      <rPr>
        <sz val="10"/>
        <color rgb="FF000000"/>
        <rFont val="Arial"/>
        <family val="0"/>
        <charset val="1"/>
      </rPr>
      <t xml:space="preserve">11F 205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</si>
  <si>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 340m</t>
    </r>
  </si>
  <si>
    <r>
      <rPr>
        <sz val="10"/>
        <color rgb="FF000000"/>
        <rFont val="Noto Sans CJK SC"/>
        <family val="2"/>
      </rPr>
      <t xml:space="preserve">民生東路三段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復興北路口（清單未給門牌）</t>
    </r>
  </si>
  <si>
    <r>
      <rPr>
        <sz val="10"/>
        <color rgb="FF000000"/>
        <rFont val="Noto Sans CJK SC"/>
        <family val="2"/>
      </rPr>
      <t xml:space="preserve">民生東路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復興北路 </t>
    </r>
    <r>
      <rPr>
        <sz val="10"/>
        <color rgb="FF000000"/>
        <rFont val="Arial"/>
        <family val="0"/>
        <charset val="1"/>
      </rPr>
      <t xml:space="preserve">3F 205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</si>
  <si>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中山北路近市民大道 </t>
    </r>
    <r>
      <rPr>
        <sz val="10"/>
        <color rgb="FF000000"/>
        <rFont val="Arial"/>
        <family val="0"/>
        <charset val="1"/>
      </rPr>
      <t xml:space="preserve">17F 204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</si>
  <si>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中山北路一段 </t>
    </r>
    <r>
      <rPr>
        <sz val="10"/>
        <color rgb="FF000000"/>
        <rFont val="Arial"/>
        <family val="0"/>
        <charset val="1"/>
      </rPr>
      <t xml:space="preserve">17F</t>
    </r>
  </si>
  <si>
    <r>
      <rPr>
        <sz val="10"/>
        <color rgb="FF000000"/>
        <rFont val="Noto Sans CJK SC"/>
        <family val="2"/>
      </rPr>
      <t xml:space="preserve">中山北路一段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市民大道口（</t>
    </r>
    <r>
      <rPr>
        <sz val="10"/>
        <color rgb="FF000000"/>
        <rFont val="Arial"/>
        <family val="0"/>
        <charset val="1"/>
      </rPr>
      <t xml:space="preserve">HouseWeb</t>
    </r>
    <r>
      <rPr>
        <sz val="10"/>
        <color rgb="FF000000"/>
        <rFont val="Noto Sans CJK SC"/>
        <family val="2"/>
      </rPr>
      <t xml:space="preserve">未給門牌）</t>
    </r>
  </si>
  <si>
    <r>
      <rPr>
        <sz val="10"/>
        <color rgb="FF000000"/>
        <rFont val="Noto Sans CJK SC"/>
        <family val="2"/>
      </rPr>
      <t xml:space="preserve">安和路一段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即安敦國際大樓</t>
    </r>
    <r>
      <rPr>
        <sz val="10"/>
        <color rgb="FF000000"/>
        <rFont val="Arial"/>
        <family val="0"/>
        <charset val="1"/>
      </rPr>
      <t xml:space="preserve">17F) 17F 214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</si>
  <si>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南京東路三段 </t>
    </r>
    <r>
      <rPr>
        <sz val="10"/>
        <color rgb="FF000000"/>
        <rFont val="Arial"/>
        <family val="0"/>
        <charset val="1"/>
      </rPr>
      <t xml:space="preserve">9F</t>
    </r>
    <r>
      <rPr>
        <sz val="10"/>
        <color rgb="FF000000"/>
        <rFont val="Noto Sans CJK SC"/>
        <family val="2"/>
      </rPr>
      <t xml:space="preserve">（南京復興站）</t>
    </r>
  </si>
  <si>
    <r>
      <rPr>
        <sz val="10"/>
        <color rgb="FF000000"/>
        <rFont val="Noto Sans CJK SC"/>
        <family val="2"/>
      </rPr>
      <t xml:space="preserve">南京東路近龍江路 </t>
    </r>
    <r>
      <rPr>
        <sz val="10"/>
        <color rgb="FF000000"/>
        <rFont val="Arial"/>
        <family val="0"/>
        <charset val="1"/>
      </rPr>
      <t xml:space="preserve">8F 210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</si>
  <si>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南京東路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龍江路口（清單未給門牌）</t>
    </r>
  </si>
  <si>
    <r>
      <rPr>
        <sz val="10"/>
        <color rgb="FF000000"/>
        <rFont val="Noto Sans CJK SC"/>
        <family val="2"/>
      </rPr>
      <t xml:space="preserve">健康路 </t>
    </r>
    <r>
      <rPr>
        <sz val="10"/>
        <color rgb="FF000000"/>
        <rFont val="Arial"/>
        <family val="0"/>
        <charset val="1"/>
      </rPr>
      <t xml:space="preserve">3F</t>
    </r>
    <r>
      <rPr>
        <sz val="10"/>
        <color rgb="FF000000"/>
        <rFont val="Noto Sans CJK SC"/>
        <family val="2"/>
      </rPr>
      <t xml:space="preserve">（台北小巨蛋站）</t>
    </r>
  </si>
  <si>
    <r>
      <rPr>
        <sz val="10"/>
        <color rgb="FF000000"/>
        <rFont val="Noto Sans CJK SC"/>
        <family val="2"/>
      </rPr>
      <t xml:space="preserve">民權東路三段 </t>
    </r>
    <r>
      <rPr>
        <sz val="10"/>
        <color rgb="FF000000"/>
        <rFont val="Arial"/>
        <family val="0"/>
        <charset val="1"/>
      </rPr>
      <t xml:space="preserve">9F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</si>
  <si>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寫棕線中山國中</t>
    </r>
    <r>
      <rPr>
        <sz val="10"/>
        <color rgb="FF000000"/>
        <rFont val="Arial"/>
        <family val="0"/>
        <charset val="1"/>
      </rPr>
      <t xml:space="preserve">138m</t>
    </r>
    <r>
      <rPr>
        <sz val="10"/>
        <color rgb="FF000000"/>
        <rFont val="Noto Sans CJK SC"/>
        <family val="2"/>
      </rPr>
      <t xml:space="preserve">；綠紅藍線距離未確認</t>
    </r>
  </si>
  <si>
    <r>
      <rPr>
        <sz val="10"/>
        <color rgb="FF000000"/>
        <rFont val="Noto Sans CJK SC"/>
        <family val="2"/>
      </rPr>
      <t xml:space="preserve">民生東路近敦化北路 </t>
    </r>
    <r>
      <rPr>
        <sz val="10"/>
        <color rgb="FF000000"/>
        <rFont val="Arial"/>
        <family val="0"/>
        <charset val="1"/>
      </rPr>
      <t xml:space="preserve">8F 226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</si>
  <si>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民生東路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敦化北路口（清單未給門牌）</t>
    </r>
  </si>
  <si>
    <r>
      <rPr>
        <sz val="10"/>
        <color rgb="FF000000"/>
        <rFont val="Noto Sans CJK SC"/>
        <family val="2"/>
      </rPr>
      <t xml:space="preserve">環亞大樓 </t>
    </r>
    <r>
      <rPr>
        <sz val="10"/>
        <color rgb="FF000000"/>
        <rFont val="Arial"/>
        <family val="0"/>
        <charset val="1"/>
      </rPr>
      <t xml:space="preserve">11F</t>
    </r>
    <r>
      <rPr>
        <sz val="10"/>
        <color rgb="FF000000"/>
        <rFont val="Noto Sans CJK SC"/>
        <family val="2"/>
      </rPr>
      <t xml:space="preserve">（南京東路三段）</t>
    </r>
  </si>
  <si>
    <t xml:space="preserve">好房網寫步行可達，距離未給</t>
  </si>
  <si>
    <r>
      <rPr>
        <sz val="10"/>
        <color rgb="FF000000"/>
        <rFont val="Noto Sans CJK SC"/>
        <family val="2"/>
      </rPr>
      <t xml:space="preserve">環球世貿 </t>
    </r>
    <r>
      <rPr>
        <sz val="10"/>
        <color rgb="FF000000"/>
        <rFont val="Arial"/>
        <family val="0"/>
        <charset val="1"/>
      </rPr>
      <t xml:space="preserve">10F</t>
    </r>
  </si>
  <si>
    <r>
      <rPr>
        <sz val="10"/>
        <color rgb="FF000000"/>
        <rFont val="Noto Sans CJK SC"/>
        <family val="2"/>
      </rPr>
      <t xml:space="preserve">菸廠路 </t>
    </r>
    <r>
      <rPr>
        <sz val="10"/>
        <color rgb="FF000000"/>
        <rFont val="Arial"/>
        <family val="0"/>
        <charset val="1"/>
      </rPr>
      <t xml:space="preserve">8F</t>
    </r>
    <r>
      <rPr>
        <sz val="10"/>
        <color rgb="FF000000"/>
        <rFont val="Noto Sans CJK SC"/>
        <family val="2"/>
      </rPr>
      <t xml:space="preserve">（國父紀念館站・松菸旁）</t>
    </r>
  </si>
  <si>
    <r>
      <rPr>
        <sz val="10"/>
        <color rgb="FF000000"/>
        <rFont val="Noto Sans CJK SC"/>
        <family val="2"/>
      </rPr>
      <t xml:space="preserve">市民大道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段近復興南路 </t>
    </r>
    <r>
      <rPr>
        <sz val="10"/>
        <color rgb="FF000000"/>
        <rFont val="Arial"/>
        <family val="0"/>
        <charset val="1"/>
      </rPr>
      <t xml:space="preserve">8F 257</t>
    </r>
    <r>
      <rPr>
        <sz val="10"/>
        <color rgb="FF000000"/>
        <rFont val="Noto Sans CJK SC"/>
        <family val="2"/>
      </rPr>
      <t xml:space="preserve">坪</t>
    </r>
  </si>
  <si>
    <r>
      <rPr>
        <sz val="10"/>
        <color rgb="FF000000"/>
        <rFont val="Noto Sans CJK SC"/>
        <family val="2"/>
      </rPr>
      <t xml:space="preserve">市民大道三段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復興南路口（清單未給門牌）</t>
    </r>
  </si>
  <si>
    <r>
      <rPr>
        <sz val="10"/>
        <color rgb="FF000000"/>
        <rFont val="Noto Sans CJK SC"/>
        <family val="2"/>
      </rPr>
      <t xml:space="preserve">民生東路三段 </t>
    </r>
    <r>
      <rPr>
        <sz val="10"/>
        <color rgb="FF000000"/>
        <rFont val="Arial"/>
        <family val="0"/>
        <charset val="1"/>
      </rPr>
      <t xml:space="preserve">8F</t>
    </r>
    <r>
      <rPr>
        <sz val="10"/>
        <color rgb="FF000000"/>
        <rFont val="Noto Sans CJK SC"/>
        <family val="2"/>
      </rPr>
      <t xml:space="preserve">（中山國中站）</t>
    </r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</si>
  <si>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 140m</t>
    </r>
  </si>
  <si>
    <t xml:space="preserve">站點座標（綠紅藍＋其他）</t>
  </si>
  <si>
    <t xml:space="preserve">站名</t>
  </si>
  <si>
    <t xml:space="preserve">緯度</t>
  </si>
  <si>
    <t xml:space="preserve">經度</t>
  </si>
  <si>
    <t xml:space="preserve">綠／棕</t>
  </si>
  <si>
    <t xml:space="preserve">藍／棕</t>
  </si>
  <si>
    <t xml:space="preserve">綠／橘</t>
  </si>
  <si>
    <t xml:space="preserve">忠孝新生</t>
  </si>
  <si>
    <t xml:space="preserve">藍／橘</t>
  </si>
  <si>
    <t xml:space="preserve">紅／棕</t>
  </si>
  <si>
    <t xml:space="preserve">中山國中</t>
  </si>
  <si>
    <t xml:space="preserve">棕</t>
  </si>
  <si>
    <t xml:space="preserve">行天宮</t>
  </si>
  <si>
    <t xml:space="preserve">橘</t>
  </si>
  <si>
    <t xml:space="preserve">市政府</t>
  </si>
  <si>
    <r>
      <rPr>
        <sz val="10"/>
        <color rgb="FF000000"/>
        <rFont val="Noto Sans CJK SC"/>
        <family val="2"/>
      </rPr>
      <t xml:space="preserve">台北</t>
    </r>
    <r>
      <rPr>
        <sz val="10"/>
        <color rgb="FF000000"/>
        <rFont val="Arial"/>
        <family val="0"/>
        <charset val="1"/>
      </rPr>
      <t xml:space="preserve">101/</t>
    </r>
    <r>
      <rPr>
        <sz val="10"/>
        <color rgb="FF000000"/>
        <rFont val="Noto Sans CJK SC"/>
        <family val="2"/>
      </rPr>
      <t xml:space="preserve">世貿</t>
    </r>
  </si>
  <si>
    <t xml:space="preserve">劍南路</t>
  </si>
  <si>
    <t xml:space="preserve">大直</t>
  </si>
  <si>
    <t xml:space="preserve">紅／綠</t>
  </si>
  <si>
    <t xml:space="preserve">雙連</t>
  </si>
  <si>
    <t xml:space="preserve">紅／藍</t>
  </si>
  <si>
    <t xml:space="preserve">後山埤</t>
  </si>
  <si>
    <t xml:space="preserve">中山國小</t>
  </si>
  <si>
    <t xml:space="preserve">松山機場</t>
  </si>
  <si>
    <t xml:space="preserve">科技大樓</t>
  </si>
  <si>
    <t xml:space="preserve">紅／橘</t>
  </si>
  <si>
    <r>
      <rPr>
        <i val="true"/>
        <sz val="9"/>
        <color rgb="FF666666"/>
        <rFont val="Arial"/>
        <family val="0"/>
        <charset val="1"/>
      </rPr>
      <t xml:space="preserve">591 </t>
    </r>
    <r>
      <rPr>
        <i val="true"/>
        <sz val="9"/>
        <color rgb="FF666666"/>
        <rFont val="Noto Sans CJK SC"/>
        <family val="2"/>
      </rPr>
      <t xml:space="preserve">商辦出租：台北市 中正／中山／松山／大安／信義，坪數≥</t>
    </r>
    <r>
      <rPr>
        <i val="true"/>
        <sz val="9"/>
        <color rgb="FF666666"/>
        <rFont val="Arial"/>
        <family val="0"/>
        <charset val="1"/>
      </rPr>
      <t xml:space="preserve">220</t>
    </r>
    <r>
      <rPr>
        <i val="true"/>
        <sz val="9"/>
        <color rgb="FF666666"/>
        <rFont val="Noto Sans CJK SC"/>
        <family val="2"/>
      </rPr>
      <t xml:space="preserve">、月租</t>
    </r>
    <r>
      <rPr>
        <i val="true"/>
        <sz val="9"/>
        <color rgb="FF666666"/>
        <rFont val="Arial"/>
        <family val="0"/>
        <charset val="1"/>
      </rPr>
      <t xml:space="preserve">20</t>
    </r>
    <r>
      <rPr>
        <i val="true"/>
        <sz val="9"/>
        <color rgb="FF666666"/>
        <rFont val="Noto Sans CJK SC"/>
        <family val="2"/>
      </rPr>
      <t xml:space="preserve">～</t>
    </r>
    <r>
      <rPr>
        <i val="true"/>
        <sz val="9"/>
        <color rgb="FF666666"/>
        <rFont val="Arial"/>
        <family val="0"/>
        <charset val="1"/>
      </rPr>
      <t xml:space="preserve">55</t>
    </r>
    <r>
      <rPr>
        <i val="true"/>
        <sz val="9"/>
        <color rgb="FF666666"/>
        <rFont val="Noto Sans CJK SC"/>
        <family val="2"/>
      </rPr>
      <t xml:space="preserve">萬；列表共</t>
    </r>
    <r>
      <rPr>
        <i val="true"/>
        <sz val="9"/>
        <color rgb="FF666666"/>
        <rFont val="Arial"/>
        <family val="0"/>
        <charset val="1"/>
      </rPr>
      <t xml:space="preserve">116</t>
    </r>
    <r>
      <rPr>
        <i val="true"/>
        <sz val="9"/>
        <color rgb="FF666666"/>
        <rFont val="Noto Sans CJK SC"/>
        <family val="2"/>
      </rPr>
      <t xml:space="preserve">筆（</t>
    </r>
    <r>
      <rPr>
        <i val="true"/>
        <sz val="9"/>
        <color rgb="FF666666"/>
        <rFont val="Arial"/>
        <family val="0"/>
        <charset val="1"/>
      </rPr>
      <t xml:space="preserve">2026-09-24</t>
    </r>
    <r>
      <rPr>
        <i val="true"/>
        <sz val="9"/>
        <color rgb="FF666666"/>
        <rFont val="Noto Sans CJK SC"/>
        <family val="2"/>
      </rPr>
      <t xml:space="preserve">），逐筆對應如下。</t>
    </r>
    <r>
      <rPr>
        <i val="true"/>
        <sz val="9"/>
        <color rgb="FF666666"/>
        <rFont val="Arial"/>
        <family val="0"/>
        <charset val="1"/>
      </rPr>
      <t xml:space="preserve">591</t>
    </r>
    <r>
      <rPr>
        <i val="true"/>
        <sz val="9"/>
        <color rgb="FF666666"/>
        <rFont val="Noto Sans CJK SC"/>
        <family val="2"/>
      </rPr>
      <t xml:space="preserve">「坪數」多為權狀（多筆物件頁註明「廣告坪數為權狀坪數」）。</t>
    </r>
  </si>
  <si>
    <r>
      <rPr>
        <b val="true"/>
        <sz val="10"/>
        <color rgb="FFFFFFFF"/>
        <rFont val="Arial"/>
        <family val="0"/>
        <charset val="1"/>
      </rPr>
      <t xml:space="preserve">591</t>
    </r>
    <r>
      <rPr>
        <b val="true"/>
        <sz val="10"/>
        <color rgb="FFFFFFFF"/>
        <rFont val="Noto Sans CJK SC"/>
        <family val="2"/>
      </rPr>
      <t xml:space="preserve">編號</t>
    </r>
  </si>
  <si>
    <r>
      <rPr>
        <b val="true"/>
        <sz val="10"/>
        <color rgb="FFFFFFFF"/>
        <rFont val="Noto Sans CJK SC"/>
        <family val="2"/>
      </rPr>
      <t xml:space="preserve">坪數</t>
    </r>
    <r>
      <rPr>
        <b val="true"/>
        <sz val="10"/>
        <color rgb="FFFFFFFF"/>
        <rFont val="Arial"/>
        <family val="0"/>
        <charset val="1"/>
      </rPr>
      <t xml:space="preserve">(591)</t>
    </r>
  </si>
  <si>
    <r>
      <rPr>
        <b val="true"/>
        <sz val="10"/>
        <color rgb="FFFFFFFF"/>
        <rFont val="Noto Sans CJK SC"/>
        <family val="2"/>
      </rPr>
      <t xml:space="preserve">區</t>
    </r>
    <r>
      <rPr>
        <b val="true"/>
        <sz val="10"/>
        <color rgb="FFFFFFFF"/>
        <rFont val="Arial"/>
        <family val="0"/>
        <charset val="1"/>
      </rPr>
      <t xml:space="preserve">-</t>
    </r>
    <r>
      <rPr>
        <b val="true"/>
        <sz val="10"/>
        <color rgb="FFFFFFFF"/>
        <rFont val="Noto Sans CJK SC"/>
        <family val="2"/>
      </rPr>
      <t xml:space="preserve">路段</t>
    </r>
  </si>
  <si>
    <r>
      <rPr>
        <b val="true"/>
        <sz val="10"/>
        <color rgb="FFFFFFFF"/>
        <rFont val="Noto Sans CJK SC"/>
        <family val="2"/>
      </rPr>
      <t xml:space="preserve">捷運</t>
    </r>
    <r>
      <rPr>
        <b val="true"/>
        <sz val="10"/>
        <color rgb="FFFFFFFF"/>
        <rFont val="Arial"/>
        <family val="0"/>
        <charset val="1"/>
      </rPr>
      <t xml:space="preserve">(591</t>
    </r>
    <r>
      <rPr>
        <b val="true"/>
        <sz val="10"/>
        <color rgb="FFFFFFFF"/>
        <rFont val="Noto Sans CJK SC"/>
        <family val="2"/>
      </rPr>
      <t xml:space="preserve">原文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</si>
  <si>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租金</t>
    </r>
    <r>
      <rPr>
        <b val="true"/>
        <sz val="10"/>
        <color rgb="FFFFFFFF"/>
        <rFont val="Arial"/>
        <family val="0"/>
        <charset val="1"/>
      </rPr>
      <t xml:space="preserve">(591</t>
    </r>
    <r>
      <rPr>
        <b val="true"/>
        <sz val="10"/>
        <color rgb="FFFFFFFF"/>
        <rFont val="Noto Sans CJK SC"/>
        <family val="2"/>
      </rPr>
      <t xml:space="preserve">原文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</si>
  <si>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對應案號／處理</t>
  </si>
  <si>
    <t xml:space="preserve">21263746</t>
  </si>
  <si>
    <t xml:space="preserve">7F/18F</t>
  </si>
  <si>
    <r>
      <rPr>
        <sz val="10"/>
        <color rgb="FF000000"/>
        <rFont val="Noto Sans CJK SC"/>
        <family val="2"/>
      </rPr>
      <t xml:space="preserve">大安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安和路一段</t>
    </r>
  </si>
  <si>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345m</t>
    </r>
  </si>
  <si>
    <t xml:space="preserve">400,000</t>
  </si>
  <si>
    <t xml:space="preserve">21553763</t>
  </si>
  <si>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320m</t>
    </r>
  </si>
  <si>
    <r>
      <rPr>
        <sz val="10"/>
        <color rgb="FF000000"/>
        <rFont val="Arial"/>
        <family val="0"/>
        <charset val="1"/>
      </rPr>
      <t xml:space="preserve">400,000</t>
    </r>
    <r>
      <rPr>
        <sz val="10"/>
        <color rgb="FF000000"/>
        <rFont val="Noto Sans CJK SC"/>
        <family val="2"/>
      </rPr>
      <t xml:space="preserve">含車位</t>
    </r>
  </si>
  <si>
    <t xml:space="preserve">21596085</t>
  </si>
  <si>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185m</t>
    </r>
  </si>
  <si>
    <t xml:space="preserve">21686336</t>
  </si>
  <si>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164m</t>
    </r>
  </si>
  <si>
    <t xml:space="preserve">22034644</t>
  </si>
  <si>
    <r>
      <rPr>
        <sz val="10"/>
        <color rgb="FF000000"/>
        <rFont val="Arial"/>
        <family val="0"/>
        <charset val="1"/>
      </rPr>
      <t xml:space="preserve">380,952</t>
    </r>
    <r>
      <rPr>
        <sz val="10"/>
        <color rgb="FF000000"/>
        <rFont val="Noto Sans CJK SC"/>
        <family val="2"/>
      </rPr>
      <t xml:space="preserve">含車位</t>
    </r>
  </si>
  <si>
    <t xml:space="preserve">21112784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</si>
  <si>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敦化南路一段</t>
    </r>
  </si>
  <si>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126m</t>
    </r>
  </si>
  <si>
    <t xml:space="preserve">450,000</t>
  </si>
  <si>
    <t xml:space="preserve">21546970</t>
  </si>
  <si>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129m</t>
    </r>
  </si>
  <si>
    <t xml:space="preserve">21588465</t>
  </si>
  <si>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123m</t>
    </r>
  </si>
  <si>
    <t xml:space="preserve">21524253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</si>
  <si>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敦化南路一段（敦南綠景）</t>
    </r>
  </si>
  <si>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72m</t>
    </r>
  </si>
  <si>
    <r>
      <rPr>
        <sz val="10"/>
        <color rgb="FF000000"/>
        <rFont val="Arial"/>
        <family val="0"/>
        <charset val="1"/>
      </rPr>
      <t xml:space="preserve">450,000</t>
    </r>
    <r>
      <rPr>
        <sz val="10"/>
        <color rgb="FF000000"/>
        <rFont val="Noto Sans CJK SC"/>
        <family val="2"/>
      </rPr>
      <t xml:space="preserve">含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車位</t>
    </r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</si>
  <si>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（同戶：</t>
    </r>
    <r>
      <rPr>
        <sz val="10"/>
        <color rgb="FF000000"/>
        <rFont val="Arial"/>
        <family val="0"/>
        <charset val="1"/>
      </rPr>
      <t xml:space="preserve">21530071</t>
    </r>
    <r>
      <rPr>
        <sz val="10"/>
        <color rgb="FF000000"/>
        <rFont val="Noto Sans CJK SC"/>
        <family val="2"/>
      </rPr>
      <t xml:space="preserve">標題同為敦南綠景）</t>
    </r>
  </si>
  <si>
    <t xml:space="preserve">21530071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</si>
  <si>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敦化南路一段（旭寶大樓）</t>
    </r>
  </si>
  <si>
    <r>
      <rPr>
        <sz val="10"/>
        <color rgb="FF000000"/>
        <rFont val="Noto Sans CJK SC"/>
        <family val="2"/>
      </rPr>
      <t xml:space="preserve">台北小巨蛋</t>
    </r>
    <r>
      <rPr>
        <sz val="10"/>
        <color rgb="FF000000"/>
        <rFont val="Arial"/>
        <family val="0"/>
        <charset val="1"/>
      </rPr>
      <t xml:space="preserve">517m</t>
    </r>
  </si>
  <si>
    <r>
      <rPr>
        <sz val="10"/>
        <color rgb="FF000000"/>
        <rFont val="Arial"/>
        <family val="0"/>
        <charset val="1"/>
      </rPr>
      <t xml:space="preserve">450,000</t>
    </r>
    <r>
      <rPr>
        <sz val="10"/>
        <color rgb="FF000000"/>
        <rFont val="Noto Sans CJK SC"/>
        <family val="2"/>
      </rPr>
      <t xml:space="preserve">含車位</t>
    </r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</si>
  <si>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（房仲提供）</t>
    </r>
  </si>
  <si>
    <t xml:space="preserve">20380770</t>
  </si>
  <si>
    <t xml:space="preserve">4F/11F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</si>
  <si>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敦化北路</t>
    </r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</si>
  <si>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321m</t>
    </r>
  </si>
  <si>
    <t xml:space="preserve">386,839</t>
  </si>
  <si>
    <t xml:space="preserve">20880830</t>
  </si>
  <si>
    <r>
      <rPr>
        <sz val="10"/>
        <color rgb="FF000000"/>
        <rFont val="Noto Sans CJK SC"/>
        <family val="2"/>
      </rPr>
      <t xml:space="preserve">民生敦化路口</t>
    </r>
    <r>
      <rPr>
        <sz val="10"/>
        <color rgb="FF000000"/>
        <rFont val="Arial"/>
        <family val="0"/>
        <charset val="1"/>
      </rPr>
      <t xml:space="preserve">36m</t>
    </r>
  </si>
  <si>
    <t xml:space="preserve">21643233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</si>
  <si>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敦化北路（標題：使用約</t>
    </r>
    <r>
      <rPr>
        <sz val="10"/>
        <color rgb="FF000000"/>
        <rFont val="Arial"/>
        <family val="0"/>
        <charset val="1"/>
      </rPr>
      <t xml:space="preserve">207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</si>
  <si>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399m</t>
    </r>
  </si>
  <si>
    <t xml:space="preserve">21711753</t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</si>
  <si>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319m</t>
    </r>
  </si>
  <si>
    <t xml:space="preserve">446,480</t>
  </si>
  <si>
    <t xml:space="preserve">21594352</t>
  </si>
  <si>
    <r>
      <rPr>
        <sz val="10"/>
        <color rgb="FF000000"/>
        <rFont val="Noto Sans CJK SC"/>
        <family val="2"/>
      </rPr>
      <t xml:space="preserve">大安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仁愛路四段</t>
    </r>
  </si>
  <si>
    <r>
      <rPr>
        <sz val="10"/>
        <color rgb="FF000000"/>
        <rFont val="Noto Sans CJK SC"/>
        <family val="2"/>
      </rPr>
      <t xml:space="preserve">忠孝復興</t>
    </r>
    <r>
      <rPr>
        <sz val="10"/>
        <color rgb="FF000000"/>
        <rFont val="Arial"/>
        <family val="0"/>
        <charset val="1"/>
      </rPr>
      <t xml:space="preserve">325m</t>
    </r>
  </si>
  <si>
    <r>
      <rPr>
        <sz val="10"/>
        <color rgb="FF000000"/>
        <rFont val="Arial"/>
        <family val="0"/>
        <charset val="1"/>
      </rPr>
      <t xml:space="preserve">500,000</t>
    </r>
    <r>
      <rPr>
        <sz val="10"/>
        <color rgb="FF000000"/>
        <rFont val="Noto Sans CJK SC"/>
        <family val="2"/>
      </rPr>
      <t xml:space="preserve">含車位</t>
    </r>
  </si>
  <si>
    <t xml:space="preserve">21731105</t>
  </si>
  <si>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221m</t>
    </r>
  </si>
  <si>
    <t xml:space="preserve">500,000</t>
  </si>
  <si>
    <t xml:space="preserve">17565745</t>
  </si>
  <si>
    <t xml:space="preserve">2F/22F</t>
  </si>
  <si>
    <r>
      <rPr>
        <sz val="10"/>
        <color rgb="FF000000"/>
        <rFont val="Noto Sans CJK SC"/>
        <family val="2"/>
      </rPr>
      <t xml:space="preserve">大安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敦化南路二段</t>
    </r>
  </si>
  <si>
    <r>
      <rPr>
        <sz val="10"/>
        <color rgb="FF000000"/>
        <rFont val="Noto Sans CJK SC"/>
        <family val="2"/>
      </rPr>
      <t xml:space="preserve">信義安和</t>
    </r>
    <r>
      <rPr>
        <sz val="10"/>
        <color rgb="FF000000"/>
        <rFont val="Arial"/>
        <family val="0"/>
        <charset val="1"/>
      </rPr>
      <t xml:space="preserve">370m</t>
    </r>
  </si>
  <si>
    <t xml:space="preserve">399,600</t>
  </si>
  <si>
    <t xml:space="preserve">21702485</t>
  </si>
  <si>
    <r>
      <rPr>
        <sz val="10"/>
        <color rgb="FF000000"/>
        <rFont val="Noto Sans CJK SC"/>
        <family val="2"/>
      </rPr>
      <t xml:space="preserve">信義安和</t>
    </r>
    <r>
      <rPr>
        <sz val="10"/>
        <color rgb="FF000000"/>
        <rFont val="Arial"/>
        <family val="0"/>
        <charset val="1"/>
      </rPr>
      <t xml:space="preserve">508m</t>
    </r>
  </si>
  <si>
    <t xml:space="preserve">21804160</t>
  </si>
  <si>
    <r>
      <rPr>
        <sz val="10"/>
        <color rgb="FF000000"/>
        <rFont val="Noto Sans CJK SC"/>
        <family val="2"/>
      </rPr>
      <t xml:space="preserve">大安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敦化南路二段（中鼎大樓）</t>
    </r>
  </si>
  <si>
    <t xml:space="preserve">21905134</t>
  </si>
  <si>
    <t xml:space="preserve">22044756</t>
  </si>
  <si>
    <t xml:space="preserve">400,104</t>
  </si>
  <si>
    <t xml:space="preserve">17942533</t>
  </si>
  <si>
    <t xml:space="preserve">22F/22F</t>
  </si>
  <si>
    <r>
      <rPr>
        <sz val="10"/>
        <color rgb="FF000000"/>
        <rFont val="Noto Sans CJK SC"/>
        <family val="2"/>
      </rPr>
      <t xml:space="preserve">信義安和</t>
    </r>
    <r>
      <rPr>
        <sz val="10"/>
        <color rgb="FF000000"/>
        <rFont val="Arial"/>
        <family val="0"/>
        <charset val="1"/>
      </rPr>
      <t xml:space="preserve">392m</t>
    </r>
  </si>
  <si>
    <t xml:space="preserve">414,324</t>
  </si>
  <si>
    <t xml:space="preserve">21779805</t>
  </si>
  <si>
    <r>
      <rPr>
        <sz val="10"/>
        <color rgb="FF000000"/>
        <rFont val="Noto Sans CJK SC"/>
        <family val="2"/>
      </rPr>
      <t xml:space="preserve">信義安和</t>
    </r>
    <r>
      <rPr>
        <sz val="10"/>
        <color rgb="FF000000"/>
        <rFont val="Arial"/>
        <family val="0"/>
        <charset val="1"/>
      </rPr>
      <t xml:space="preserve">371m</t>
    </r>
  </si>
  <si>
    <t xml:space="preserve">455,400</t>
  </si>
  <si>
    <t xml:space="preserve">21858944</t>
  </si>
  <si>
    <r>
      <rPr>
        <sz val="10"/>
        <color rgb="FF000000"/>
        <rFont val="Noto Sans CJK SC"/>
        <family val="2"/>
      </rPr>
      <t xml:space="preserve">信義安和</t>
    </r>
    <r>
      <rPr>
        <sz val="10"/>
        <color rgb="FF000000"/>
        <rFont val="Arial"/>
        <family val="0"/>
        <charset val="1"/>
      </rPr>
      <t xml:space="preserve">367m</t>
    </r>
  </si>
  <si>
    <t xml:space="preserve">455,756</t>
  </si>
  <si>
    <t xml:space="preserve">21593285</t>
  </si>
  <si>
    <t xml:space="preserve">8F/11F</t>
  </si>
  <si>
    <r>
      <rPr>
        <sz val="10"/>
        <color rgb="FF000000"/>
        <rFont val="Noto Sans CJK SC"/>
        <family val="2"/>
      </rPr>
      <t xml:space="preserve">大安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市民大道三段（權狀</t>
    </r>
    <r>
      <rPr>
        <sz val="10"/>
        <color rgb="FF000000"/>
        <rFont val="Arial"/>
        <family val="0"/>
        <charset val="1"/>
      </rPr>
      <t xml:space="preserve">256.77</t>
    </r>
    <r>
      <rPr>
        <sz val="10"/>
        <color rgb="FF000000"/>
        <rFont val="Noto Sans CJK SC"/>
        <family val="2"/>
      </rPr>
      <t xml:space="preserve">、使用約</t>
    </r>
    <r>
      <rPr>
        <sz val="10"/>
        <color rgb="FF000000"/>
        <rFont val="Arial"/>
        <family val="0"/>
        <charset val="1"/>
      </rPr>
      <t xml:space="preserve">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</si>
  <si>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忠孝復興</t>
    </r>
    <r>
      <rPr>
        <sz val="10"/>
        <color rgb="FF000000"/>
        <rFont val="Arial"/>
        <family val="0"/>
        <charset val="1"/>
      </rPr>
      <t xml:space="preserve">165m</t>
    </r>
  </si>
  <si>
    <r>
      <rPr>
        <sz val="10"/>
        <color rgb="FF000000"/>
        <rFont val="Arial"/>
        <family val="0"/>
        <charset val="1"/>
      </rPr>
      <t xml:space="preserve">533,333</t>
    </r>
    <r>
      <rPr>
        <sz val="10"/>
        <color rgb="FF000000"/>
        <rFont val="Noto Sans CJK SC"/>
        <family val="2"/>
      </rPr>
      <t xml:space="preserve">含車位</t>
    </r>
  </si>
  <si>
    <t xml:space="preserve">22061936</t>
  </si>
  <si>
    <r>
      <rPr>
        <sz val="10"/>
        <color rgb="FF000000"/>
        <rFont val="Noto Sans CJK SC"/>
        <family val="2"/>
      </rPr>
      <t xml:space="preserve">大安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市民大道三段</t>
    </r>
  </si>
  <si>
    <r>
      <rPr>
        <sz val="10"/>
        <color rgb="FF000000"/>
        <rFont val="Noto Sans CJK SC"/>
        <family val="2"/>
      </rPr>
      <t xml:space="preserve">忠孝復興</t>
    </r>
    <r>
      <rPr>
        <sz val="10"/>
        <color rgb="FF000000"/>
        <rFont val="Arial"/>
        <family val="0"/>
        <charset val="1"/>
      </rPr>
      <t xml:space="preserve">204m</t>
    </r>
  </si>
  <si>
    <t xml:space="preserve">533,333</t>
  </si>
  <si>
    <t xml:space="preserve">21589109</t>
  </si>
  <si>
    <t xml:space="preserve">5F/10F</t>
  </si>
  <si>
    <r>
      <rPr>
        <sz val="10"/>
        <color rgb="FF000000"/>
        <rFont val="Noto Sans CJK SC"/>
        <family val="2"/>
      </rPr>
      <t xml:space="preserve">中正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南海路</t>
    </r>
  </si>
  <si>
    <r>
      <rPr>
        <sz val="10"/>
        <color rgb="FF000000"/>
        <rFont val="Noto Sans CJK SC"/>
        <family val="2"/>
      </rPr>
      <t xml:space="preserve">中正紀念堂</t>
    </r>
    <r>
      <rPr>
        <sz val="10"/>
        <color rgb="FF000000"/>
        <rFont val="Arial"/>
        <family val="0"/>
        <charset val="1"/>
      </rPr>
      <t xml:space="preserve">332m</t>
    </r>
  </si>
  <si>
    <t xml:space="preserve">443,666</t>
  </si>
  <si>
    <t xml:space="preserve">22010357</t>
  </si>
  <si>
    <r>
      <rPr>
        <sz val="10"/>
        <color rgb="FF000000"/>
        <rFont val="Noto Sans CJK SC"/>
        <family val="2"/>
      </rPr>
      <t xml:space="preserve">中正紀念堂</t>
    </r>
    <r>
      <rPr>
        <sz val="10"/>
        <color rgb="FF000000"/>
        <rFont val="Arial"/>
        <family val="0"/>
        <charset val="1"/>
      </rPr>
      <t xml:space="preserve">331m</t>
    </r>
  </si>
  <si>
    <r>
      <rPr>
        <sz val="10"/>
        <color rgb="FF000000"/>
        <rFont val="Arial"/>
        <family val="0"/>
        <charset val="1"/>
      </rPr>
      <t xml:space="preserve">443,666</t>
    </r>
    <r>
      <rPr>
        <sz val="10"/>
        <color rgb="FF000000"/>
        <rFont val="Noto Sans CJK SC"/>
        <family val="2"/>
      </rPr>
      <t xml:space="preserve">含車位</t>
    </r>
  </si>
  <si>
    <t xml:space="preserve">20971276</t>
  </si>
  <si>
    <t xml:space="preserve">4F/7F</t>
  </si>
  <si>
    <r>
      <rPr>
        <sz val="10"/>
        <color rgb="FF000000"/>
        <rFont val="Noto Sans CJK SC"/>
        <family val="2"/>
      </rPr>
      <t xml:space="preserve">中正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延平南路（</t>
    </r>
    <r>
      <rPr>
        <sz val="10"/>
        <color rgb="FF000000"/>
        <rFont val="Arial"/>
        <family val="0"/>
        <charset val="1"/>
      </rPr>
      <t xml:space="preserve">591</t>
    </r>
    <r>
      <rPr>
        <sz val="10"/>
        <color rgb="FF000000"/>
        <rFont val="Noto Sans CJK SC"/>
        <family val="2"/>
      </rPr>
      <t xml:space="preserve">標「和平辦公室」＝廣成大廈同戶）</t>
    </r>
  </si>
  <si>
    <r>
      <rPr>
        <sz val="10"/>
        <color rgb="FF000000"/>
        <rFont val="Noto Sans CJK SC"/>
        <family val="2"/>
      </rPr>
      <t xml:space="preserve">小南門</t>
    </r>
    <r>
      <rPr>
        <sz val="10"/>
        <color rgb="FF000000"/>
        <rFont val="Arial"/>
        <family val="0"/>
        <charset val="1"/>
      </rPr>
      <t xml:space="preserve">374m</t>
    </r>
  </si>
  <si>
    <r>
      <rPr>
        <sz val="10"/>
        <color rgb="FF000000"/>
        <rFont val="Arial"/>
        <family val="0"/>
        <charset val="1"/>
      </rPr>
      <t xml:space="preserve">491,000</t>
    </r>
    <r>
      <rPr>
        <sz val="10"/>
        <color rgb="FF000000"/>
        <rFont val="Noto Sans CJK SC"/>
        <family val="2"/>
      </rPr>
      <t xml:space="preserve">＋管理費</t>
    </r>
    <r>
      <rPr>
        <sz val="10"/>
        <color rgb="FF000000"/>
        <rFont val="Arial"/>
        <family val="0"/>
        <charset val="1"/>
      </rPr>
      <t xml:space="preserve">31,053</t>
    </r>
  </si>
  <si>
    <t xml:space="preserve">21779044</t>
  </si>
  <si>
    <r>
      <rPr>
        <sz val="10"/>
        <color rgb="FF000000"/>
        <rFont val="Noto Sans CJK SC"/>
        <family val="2"/>
      </rPr>
      <t xml:space="preserve">中正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延平南路</t>
    </r>
    <r>
      <rPr>
        <sz val="10"/>
        <color rgb="FF000000"/>
        <rFont val="Arial"/>
        <family val="0"/>
        <charset val="1"/>
      </rPr>
      <t xml:space="preserve">189</t>
    </r>
    <r>
      <rPr>
        <sz val="10"/>
        <color rgb="FF000000"/>
        <rFont val="Noto Sans CJK SC"/>
        <family val="2"/>
      </rPr>
      <t xml:space="preserve">號（廣成大廈）</t>
    </r>
  </si>
  <si>
    <r>
      <rPr>
        <sz val="10"/>
        <color rgb="FF000000"/>
        <rFont val="Noto Sans CJK SC"/>
        <family val="2"/>
      </rPr>
      <t xml:space="preserve">小南門</t>
    </r>
    <r>
      <rPr>
        <sz val="10"/>
        <color rgb="FF000000"/>
        <rFont val="Arial"/>
        <family val="0"/>
        <charset val="1"/>
      </rPr>
      <t xml:space="preserve">250m</t>
    </r>
  </si>
  <si>
    <r>
      <rPr>
        <sz val="10"/>
        <color rgb="FF000000"/>
        <rFont val="Arial"/>
        <family val="0"/>
        <charset val="1"/>
      </rPr>
      <t xml:space="preserve">491,000</t>
    </r>
    <r>
      <rPr>
        <sz val="10"/>
        <color rgb="FF000000"/>
        <rFont val="Noto Sans CJK SC"/>
        <family val="2"/>
      </rPr>
      <t xml:space="preserve">含管理費</t>
    </r>
  </si>
  <si>
    <t xml:space="preserve">22009979</t>
  </si>
  <si>
    <r>
      <rPr>
        <sz val="10"/>
        <color rgb="FF000000"/>
        <rFont val="Noto Sans CJK SC"/>
        <family val="2"/>
      </rPr>
      <t xml:space="preserve">中正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延平南路</t>
    </r>
  </si>
  <si>
    <r>
      <rPr>
        <sz val="10"/>
        <color rgb="FF000000"/>
        <rFont val="Noto Sans CJK SC"/>
        <family val="2"/>
      </rPr>
      <t xml:space="preserve">小南門</t>
    </r>
    <r>
      <rPr>
        <sz val="10"/>
        <color rgb="FF000000"/>
        <rFont val="Arial"/>
        <family val="0"/>
        <charset val="1"/>
      </rPr>
      <t xml:space="preserve">234m</t>
    </r>
  </si>
  <si>
    <t xml:space="preserve">490,500</t>
  </si>
  <si>
    <t xml:space="preserve">21537848</t>
  </si>
  <si>
    <r>
      <rPr>
        <sz val="10"/>
        <color rgb="FF000000"/>
        <rFont val="Noto Sans CJK SC"/>
        <family val="2"/>
      </rPr>
      <t xml:space="preserve">信義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松仁路</t>
    </r>
  </si>
  <si>
    <r>
      <rPr>
        <sz val="10"/>
        <color rgb="FF000000"/>
        <rFont val="Noto Sans CJK SC"/>
        <family val="2"/>
      </rPr>
      <t xml:space="preserve">信義松仁路口</t>
    </r>
    <r>
      <rPr>
        <sz val="10"/>
        <color rgb="FF000000"/>
        <rFont val="Arial"/>
        <family val="0"/>
        <charset val="1"/>
      </rPr>
      <t xml:space="preserve">568m</t>
    </r>
    <r>
      <rPr>
        <sz val="10"/>
        <color rgb="FF000000"/>
        <rFont val="Noto Sans CJK SC"/>
        <family val="2"/>
      </rPr>
      <t xml:space="preserve">（公車站）</t>
    </r>
  </si>
  <si>
    <t xml:space="preserve">480,000</t>
  </si>
  <si>
    <t xml:space="preserve">20214332</t>
  </si>
  <si>
    <r>
      <rPr>
        <sz val="10"/>
        <color rgb="FF000000"/>
        <rFont val="Noto Sans CJK SC"/>
        <family val="2"/>
      </rPr>
      <t xml:space="preserve">中正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忠孝東路一段</t>
    </r>
  </si>
  <si>
    <r>
      <rPr>
        <sz val="10"/>
        <color rgb="FF000000"/>
        <rFont val="Noto Sans CJK SC"/>
        <family val="2"/>
      </rPr>
      <t xml:space="preserve">善導寺</t>
    </r>
    <r>
      <rPr>
        <sz val="10"/>
        <color rgb="FF000000"/>
        <rFont val="Arial"/>
        <family val="0"/>
        <charset val="1"/>
      </rPr>
      <t xml:space="preserve">119m</t>
    </r>
  </si>
  <si>
    <t xml:space="preserve">421,872</t>
  </si>
  <si>
    <t xml:space="preserve">21234693</t>
  </si>
  <si>
    <r>
      <rPr>
        <sz val="10"/>
        <color rgb="FF000000"/>
        <rFont val="Noto Sans CJK SC"/>
        <family val="2"/>
      </rPr>
      <t xml:space="preserve">善導寺</t>
    </r>
    <r>
      <rPr>
        <sz val="10"/>
        <color rgb="FF000000"/>
        <rFont val="Arial"/>
        <family val="0"/>
        <charset val="1"/>
      </rPr>
      <t xml:space="preserve">112m</t>
    </r>
  </si>
  <si>
    <t xml:space="preserve">21553405</t>
  </si>
  <si>
    <r>
      <rPr>
        <sz val="10"/>
        <color rgb="FF000000"/>
        <rFont val="Noto Sans CJK SC"/>
        <family val="2"/>
      </rPr>
      <t xml:space="preserve">中正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忠孝東路一段（凱撒世貿中心）</t>
    </r>
  </si>
  <si>
    <r>
      <rPr>
        <sz val="10"/>
        <color rgb="FF000000"/>
        <rFont val="Noto Sans CJK SC"/>
        <family val="2"/>
      </rPr>
      <t xml:space="preserve">善導寺</t>
    </r>
    <r>
      <rPr>
        <sz val="10"/>
        <color rgb="FF000000"/>
        <rFont val="Arial"/>
        <family val="0"/>
        <charset val="1"/>
      </rPr>
      <t xml:space="preserve">384m</t>
    </r>
  </si>
  <si>
    <t xml:space="preserve">21588975</t>
  </si>
  <si>
    <r>
      <rPr>
        <sz val="10"/>
        <color rgb="FF000000"/>
        <rFont val="Noto Sans CJK SC"/>
        <family val="2"/>
      </rPr>
      <t xml:space="preserve">善導寺</t>
    </r>
    <r>
      <rPr>
        <sz val="10"/>
        <color rgb="FF000000"/>
        <rFont val="Arial"/>
        <family val="0"/>
        <charset val="1"/>
      </rPr>
      <t xml:space="preserve">110m</t>
    </r>
  </si>
  <si>
    <t xml:space="preserve">21788512</t>
  </si>
  <si>
    <t xml:space="preserve">21804380</t>
  </si>
  <si>
    <r>
      <rPr>
        <sz val="10"/>
        <color rgb="FF000000"/>
        <rFont val="Noto Sans CJK SC"/>
        <family val="2"/>
      </rPr>
      <t xml:space="preserve">善導寺</t>
    </r>
    <r>
      <rPr>
        <sz val="10"/>
        <color rgb="FF000000"/>
        <rFont val="Arial"/>
        <family val="0"/>
        <charset val="1"/>
      </rPr>
      <t xml:space="preserve">115m</t>
    </r>
  </si>
  <si>
    <t xml:space="preserve">21867832</t>
  </si>
  <si>
    <t xml:space="preserve">21939596</t>
  </si>
  <si>
    <r>
      <rPr>
        <sz val="10"/>
        <color rgb="FF000000"/>
        <rFont val="Noto Sans CJK SC"/>
        <family val="2"/>
      </rPr>
      <t xml:space="preserve">善導寺</t>
    </r>
    <r>
      <rPr>
        <sz val="10"/>
        <color rgb="FF000000"/>
        <rFont val="Arial"/>
        <family val="0"/>
        <charset val="1"/>
      </rPr>
      <t xml:space="preserve">296m</t>
    </r>
  </si>
  <si>
    <t xml:space="preserve">21980734</t>
  </si>
  <si>
    <r>
      <rPr>
        <sz val="10"/>
        <color rgb="FF000000"/>
        <rFont val="Noto Sans CJK SC"/>
        <family val="2"/>
      </rPr>
      <t xml:space="preserve">善導寺</t>
    </r>
    <r>
      <rPr>
        <sz val="10"/>
        <color rgb="FF000000"/>
        <rFont val="Arial"/>
        <family val="0"/>
        <charset val="1"/>
      </rPr>
      <t xml:space="preserve">143m</t>
    </r>
  </si>
  <si>
    <t xml:space="preserve">22019214</t>
  </si>
  <si>
    <t xml:space="preserve">2F/12F</t>
  </si>
  <si>
    <t xml:space="preserve">22020729</t>
  </si>
  <si>
    <r>
      <rPr>
        <sz val="10"/>
        <color rgb="FF000000"/>
        <rFont val="Noto Sans CJK SC"/>
        <family val="2"/>
      </rPr>
      <t xml:space="preserve">善導寺</t>
    </r>
    <r>
      <rPr>
        <sz val="10"/>
        <color rgb="FF000000"/>
        <rFont val="Arial"/>
        <family val="0"/>
        <charset val="1"/>
      </rPr>
      <t xml:space="preserve">111m</t>
    </r>
  </si>
  <si>
    <t xml:space="preserve">19506910</t>
  </si>
  <si>
    <r>
      <rPr>
        <sz val="10"/>
        <color rgb="FF000000"/>
        <rFont val="Noto Sans CJK SC"/>
        <family val="2"/>
      </rPr>
      <t xml:space="preserve">台北車站</t>
    </r>
    <r>
      <rPr>
        <sz val="10"/>
        <color rgb="FF000000"/>
        <rFont val="Arial"/>
        <family val="0"/>
        <charset val="1"/>
      </rPr>
      <t xml:space="preserve">171m</t>
    </r>
  </si>
  <si>
    <r>
      <rPr>
        <sz val="10"/>
        <color rgb="FF000000"/>
        <rFont val="Arial"/>
        <family val="0"/>
        <charset val="1"/>
      </rPr>
      <t xml:space="preserve">533,500</t>
    </r>
    <r>
      <rPr>
        <sz val="10"/>
        <color rgb="FF000000"/>
        <rFont val="Noto Sans CJK SC"/>
        <family val="2"/>
      </rPr>
      <t xml:space="preserve">含稅</t>
    </r>
  </si>
  <si>
    <t xml:space="preserve">21548435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</si>
  <si>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松江路</t>
    </r>
  </si>
  <si>
    <r>
      <rPr>
        <sz val="10"/>
        <color rgb="FF000000"/>
        <rFont val="Noto Sans CJK SC"/>
        <family val="2"/>
      </rPr>
      <t xml:space="preserve">松江南京</t>
    </r>
    <r>
      <rPr>
        <sz val="10"/>
        <color rgb="FF000000"/>
        <rFont val="Arial"/>
        <family val="0"/>
        <charset val="1"/>
      </rPr>
      <t xml:space="preserve">127m</t>
    </r>
  </si>
  <si>
    <t xml:space="preserve">515,083</t>
  </si>
  <si>
    <t xml:space="preserve">21635155</t>
  </si>
  <si>
    <r>
      <rPr>
        <sz val="10"/>
        <color rgb="FF000000"/>
        <rFont val="Noto Sans CJK SC"/>
        <family val="2"/>
      </rPr>
      <t xml:space="preserve">松江南京</t>
    </r>
    <r>
      <rPr>
        <sz val="10"/>
        <color rgb="FF000000"/>
        <rFont val="Arial"/>
        <family val="0"/>
        <charset val="1"/>
      </rPr>
      <t xml:space="preserve">156m</t>
    </r>
  </si>
  <si>
    <t xml:space="preserve">21888124</t>
  </si>
  <si>
    <r>
      <rPr>
        <sz val="10"/>
        <color rgb="FF000000"/>
        <rFont val="Noto Sans CJK SC"/>
        <family val="2"/>
      </rPr>
      <t xml:space="preserve">松江南京</t>
    </r>
    <r>
      <rPr>
        <sz val="10"/>
        <color rgb="FF000000"/>
        <rFont val="Arial"/>
        <family val="0"/>
        <charset val="1"/>
      </rPr>
      <t xml:space="preserve">190m</t>
    </r>
  </si>
  <si>
    <t xml:space="preserve">22017413</t>
  </si>
  <si>
    <r>
      <rPr>
        <sz val="10"/>
        <color rgb="FF000000"/>
        <rFont val="Noto Sans CJK SC"/>
        <family val="2"/>
      </rPr>
      <t xml:space="preserve">松江南京</t>
    </r>
    <r>
      <rPr>
        <sz val="10"/>
        <color rgb="FF000000"/>
        <rFont val="Arial"/>
        <family val="0"/>
        <charset val="1"/>
      </rPr>
      <t xml:space="preserve">154m</t>
    </r>
  </si>
  <si>
    <t xml:space="preserve">22061922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</si>
  <si>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長春路</t>
    </r>
  </si>
  <si>
    <r>
      <rPr>
        <sz val="10"/>
        <color rgb="FF000000"/>
        <rFont val="Noto Sans CJK SC"/>
        <family val="2"/>
      </rPr>
      <t xml:space="preserve">松江南京</t>
    </r>
    <r>
      <rPr>
        <sz val="10"/>
        <color rgb="FF000000"/>
        <rFont val="Arial"/>
        <family val="0"/>
        <charset val="1"/>
      </rPr>
      <t xml:space="preserve">310m</t>
    </r>
  </si>
  <si>
    <t xml:space="preserve">480,035</t>
  </si>
  <si>
    <t xml:space="preserve">22062249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</si>
  <si>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光復北路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巷（廣告坪數為權狀）</t>
    </r>
  </si>
  <si>
    <r>
      <rPr>
        <sz val="10"/>
        <color rgb="FF000000"/>
        <rFont val="Noto Sans CJK SC"/>
        <family val="2"/>
      </rPr>
      <t xml:space="preserve">南京三民</t>
    </r>
    <r>
      <rPr>
        <sz val="10"/>
        <color rgb="FF000000"/>
        <rFont val="Arial"/>
        <family val="0"/>
        <charset val="1"/>
      </rPr>
      <t xml:space="preserve">88m</t>
    </r>
  </si>
  <si>
    <r>
      <rPr>
        <sz val="10"/>
        <color rgb="FF000000"/>
        <rFont val="Arial"/>
        <family val="0"/>
        <charset val="1"/>
      </rPr>
      <t xml:space="preserve">509,400</t>
    </r>
    <r>
      <rPr>
        <sz val="10"/>
        <color rgb="FF000000"/>
        <rFont val="Noto Sans CJK SC"/>
        <family val="2"/>
      </rPr>
      <t xml:space="preserve">未稅</t>
    </r>
  </si>
  <si>
    <t xml:space="preserve">21429025</t>
  </si>
  <si>
    <r>
      <rPr>
        <sz val="10"/>
        <color rgb="FF000000"/>
        <rFont val="Noto Sans CJK SC"/>
        <family val="2"/>
      </rPr>
      <t xml:space="preserve">臺北小巨蛋</t>
    </r>
    <r>
      <rPr>
        <sz val="10"/>
        <color rgb="FF000000"/>
        <rFont val="Arial"/>
        <family val="0"/>
        <charset val="1"/>
      </rPr>
      <t xml:space="preserve">254m</t>
    </r>
  </si>
  <si>
    <t xml:space="preserve">507,710</t>
  </si>
  <si>
    <t xml:space="preserve">21788157</t>
  </si>
  <si>
    <t xml:space="preserve">507,708</t>
  </si>
  <si>
    <t xml:space="preserve">21908353</t>
  </si>
  <si>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144m</t>
    </r>
  </si>
  <si>
    <t xml:space="preserve">22010409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</si>
  <si>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中山北路三段</t>
    </r>
  </si>
  <si>
    <r>
      <rPr>
        <sz val="10"/>
        <color rgb="FF000000"/>
        <rFont val="Noto Sans CJK SC"/>
        <family val="2"/>
      </rPr>
      <t xml:space="preserve">民權西路</t>
    </r>
    <r>
      <rPr>
        <sz val="10"/>
        <color rgb="FF000000"/>
        <rFont val="Arial"/>
        <family val="0"/>
        <charset val="1"/>
      </rPr>
      <t xml:space="preserve">170m</t>
    </r>
  </si>
  <si>
    <r>
      <rPr>
        <sz val="10"/>
        <color rgb="FF000000"/>
        <rFont val="Arial"/>
        <family val="0"/>
        <charset val="1"/>
      </rPr>
      <t xml:space="preserve">385,599</t>
    </r>
    <r>
      <rPr>
        <sz val="10"/>
        <color rgb="FF000000"/>
        <rFont val="Noto Sans CJK SC"/>
        <family val="2"/>
      </rPr>
      <t xml:space="preserve">含車位</t>
    </r>
  </si>
  <si>
    <t xml:space="preserve">21595066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</si>
  <si>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民生東路二段</t>
    </r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</si>
  <si>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橘</t>
    </r>
    <r>
      <rPr>
        <sz val="10"/>
        <color rgb="FF000000"/>
        <rFont val="Arial"/>
        <family val="0"/>
        <charset val="1"/>
      </rPr>
      <t xml:space="preserve">)153m</t>
    </r>
  </si>
  <si>
    <r>
      <rPr>
        <sz val="10"/>
        <color rgb="FF000000"/>
        <rFont val="Arial"/>
        <family val="0"/>
        <charset val="1"/>
      </rPr>
      <t xml:space="preserve">483,395</t>
    </r>
    <r>
      <rPr>
        <sz val="10"/>
        <color rgb="FF000000"/>
        <rFont val="Noto Sans CJK SC"/>
        <family val="2"/>
      </rPr>
      <t xml:space="preserve">未稅</t>
    </r>
  </si>
  <si>
    <t xml:space="preserve">21635522</t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</si>
  <si>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橘</t>
    </r>
    <r>
      <rPr>
        <sz val="10"/>
        <color rgb="FF000000"/>
        <rFont val="Arial"/>
        <family val="0"/>
        <charset val="1"/>
      </rPr>
      <t xml:space="preserve">)279m</t>
    </r>
  </si>
  <si>
    <t xml:space="preserve">483,395</t>
  </si>
  <si>
    <t xml:space="preserve">21812612</t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</si>
  <si>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橘</t>
    </r>
    <r>
      <rPr>
        <sz val="10"/>
        <color rgb="FF000000"/>
        <rFont val="Arial"/>
        <family val="0"/>
        <charset val="1"/>
      </rPr>
      <t xml:space="preserve">)154m</t>
    </r>
  </si>
  <si>
    <t xml:space="preserve">21985150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</si>
  <si>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民生東路二段（標題：使用約</t>
    </r>
    <r>
      <rPr>
        <sz val="10"/>
        <color rgb="FF000000"/>
        <rFont val="Arial"/>
        <family val="0"/>
        <charset val="1"/>
      </rPr>
      <t xml:space="preserve">226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</si>
  <si>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橘</t>
    </r>
    <r>
      <rPr>
        <sz val="10"/>
        <color rgb="FF000000"/>
        <rFont val="Arial"/>
        <family val="0"/>
        <charset val="1"/>
      </rPr>
      <t xml:space="preserve">)188m</t>
    </r>
  </si>
  <si>
    <t xml:space="preserve">20864693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</si>
  <si>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民生東路二段（合併面積）</t>
    </r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</si>
  <si>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275m</t>
    </r>
  </si>
  <si>
    <t xml:space="preserve">20941554</t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</si>
  <si>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276m</t>
    </r>
  </si>
  <si>
    <t xml:space="preserve">439,450</t>
  </si>
  <si>
    <t xml:space="preserve">21364535</t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</si>
  <si>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149m</t>
    </r>
  </si>
  <si>
    <t xml:space="preserve">439,950</t>
  </si>
  <si>
    <t xml:space="preserve">21463324</t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</si>
  <si>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258m</t>
    </r>
  </si>
  <si>
    <t xml:space="preserve">21555597</t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</si>
  <si>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185m</t>
    </r>
  </si>
  <si>
    <t xml:space="preserve">21593366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</si>
  <si>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民生東路二段</t>
    </r>
  </si>
  <si>
    <r>
      <rPr>
        <sz val="10"/>
        <color rgb="FF000000"/>
        <rFont val="Noto Sans CJK SC"/>
        <family val="2"/>
      </rPr>
      <t xml:space="preserve">聯合二村</t>
    </r>
    <r>
      <rPr>
        <sz val="10"/>
        <color rgb="FF000000"/>
        <rFont val="Arial"/>
        <family val="0"/>
        <charset val="1"/>
      </rPr>
      <t xml:space="preserve">265m</t>
    </r>
  </si>
  <si>
    <t xml:space="preserve">21985155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</si>
  <si>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民生東路二段（標題：使用約</t>
    </r>
    <r>
      <rPr>
        <sz val="10"/>
        <color rgb="FF000000"/>
        <rFont val="Arial"/>
        <family val="0"/>
        <charset val="1"/>
      </rPr>
      <t xml:space="preserve">180</t>
    </r>
    <r>
      <rPr>
        <sz val="10"/>
        <color rgb="FF000000"/>
        <rFont val="Noto Sans CJK SC"/>
        <family val="2"/>
      </rPr>
      <t xml:space="preserve">坪）</t>
    </r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</si>
  <si>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188m</t>
    </r>
  </si>
  <si>
    <t xml:space="preserve">22044758</t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</si>
  <si>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299m</t>
    </r>
  </si>
  <si>
    <t xml:space="preserve">22062161</t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</si>
  <si>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152m</t>
    </r>
  </si>
  <si>
    <t xml:space="preserve">21672889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</si>
  <si>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中山北路三段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號之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（新設工大樓</t>
    </r>
    <r>
      <rPr>
        <sz val="10"/>
        <color rgb="FF000000"/>
        <rFont val="Arial"/>
        <family val="0"/>
        <charset val="1"/>
      </rPr>
      <t xml:space="preserve">6C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</si>
  <si>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民權西路</t>
    </r>
    <r>
      <rPr>
        <sz val="10"/>
        <color rgb="FF000000"/>
        <rFont val="Arial"/>
        <family val="0"/>
        <charset val="1"/>
      </rPr>
      <t xml:space="preserve">66m</t>
    </r>
  </si>
  <si>
    <r>
      <rPr>
        <sz val="10"/>
        <color rgb="FF000000"/>
        <rFont val="Arial"/>
        <family val="0"/>
        <charset val="1"/>
      </rPr>
      <t xml:space="preserve">547,398</t>
    </r>
    <r>
      <rPr>
        <sz val="10"/>
        <color rgb="FF000000"/>
        <rFont val="Noto Sans CJK SC"/>
        <family val="2"/>
      </rPr>
      <t xml:space="preserve">未稅</t>
    </r>
  </si>
  <si>
    <t xml:space="preserve">21200503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</si>
  <si>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建國北路三段</t>
    </r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</si>
  <si>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橘</t>
    </r>
    <r>
      <rPr>
        <sz val="10"/>
        <color rgb="FF000000"/>
        <rFont val="Arial"/>
        <family val="0"/>
        <charset val="1"/>
      </rPr>
      <t xml:space="preserve">)486m</t>
    </r>
  </si>
  <si>
    <r>
      <rPr>
        <sz val="10"/>
        <color rgb="FF000000"/>
        <rFont val="Arial"/>
        <family val="0"/>
        <charset val="1"/>
      </rPr>
      <t xml:space="preserve">398,000</t>
    </r>
    <r>
      <rPr>
        <sz val="10"/>
        <color rgb="FF000000"/>
        <rFont val="Noto Sans CJK SC"/>
        <family val="2"/>
      </rPr>
      <t xml:space="preserve">未稅</t>
    </r>
  </si>
  <si>
    <t xml:space="preserve">22058045</t>
  </si>
  <si>
    <r>
      <rPr>
        <sz val="10"/>
        <color rgb="FF000000"/>
        <rFont val="Noto Sans CJK SC"/>
        <family val="2"/>
      </rPr>
      <t xml:space="preserve">行天宮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橘</t>
    </r>
    <r>
      <rPr>
        <sz val="10"/>
        <color rgb="FF000000"/>
        <rFont val="Arial"/>
        <family val="0"/>
        <charset val="1"/>
      </rPr>
      <t xml:space="preserve">)514m</t>
    </r>
  </si>
  <si>
    <t xml:space="preserve">415,000</t>
  </si>
  <si>
    <t xml:space="preserve">21587259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</si>
  <si>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民權東路三段</t>
    </r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</si>
  <si>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)120m</t>
    </r>
  </si>
  <si>
    <r>
      <rPr>
        <sz val="10"/>
        <color rgb="FF000000"/>
        <rFont val="Arial"/>
        <family val="0"/>
        <charset val="1"/>
      </rPr>
      <t xml:space="preserve">484,857</t>
    </r>
    <r>
      <rPr>
        <sz val="10"/>
        <color rgb="FF000000"/>
        <rFont val="Noto Sans CJK SC"/>
        <family val="2"/>
      </rPr>
      <t xml:space="preserve">未稅</t>
    </r>
  </si>
  <si>
    <t xml:space="preserve">21921504</t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</si>
  <si>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)142m</t>
    </r>
  </si>
  <si>
    <t xml:space="preserve">484,098</t>
  </si>
  <si>
    <t xml:space="preserve">21983146</t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</si>
  <si>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)98m</t>
    </r>
  </si>
  <si>
    <t xml:space="preserve">22062115</t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</si>
  <si>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)88m</t>
    </r>
  </si>
  <si>
    <t xml:space="preserve">484,858</t>
  </si>
  <si>
    <t xml:space="preserve">21803100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</si>
  <si>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明水路（星勢力大樓）</t>
    </r>
  </si>
  <si>
    <r>
      <rPr>
        <sz val="10"/>
        <color rgb="FF000000"/>
        <rFont val="Noto Sans CJK SC"/>
        <family val="2"/>
      </rPr>
      <t xml:space="preserve">大直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)428m</t>
    </r>
  </si>
  <si>
    <r>
      <rPr>
        <sz val="10"/>
        <color rgb="FF000000"/>
        <rFont val="Arial"/>
        <family val="0"/>
        <charset val="1"/>
      </rPr>
      <t xml:space="preserve">350,000</t>
    </r>
    <r>
      <rPr>
        <sz val="10"/>
        <color rgb="FF000000"/>
        <rFont val="Noto Sans CJK SC"/>
        <family val="2"/>
      </rPr>
      <t xml:space="preserve">含車位</t>
    </r>
  </si>
  <si>
    <t xml:space="preserve">22061968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</si>
  <si>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南京東路五段（廣告坪數為權狀）</t>
    </r>
  </si>
  <si>
    <r>
      <rPr>
        <sz val="10"/>
        <color rgb="FF000000"/>
        <rFont val="Noto Sans CJK SC"/>
        <family val="2"/>
      </rPr>
      <t xml:space="preserve">南京三民</t>
    </r>
    <r>
      <rPr>
        <sz val="10"/>
        <color rgb="FF000000"/>
        <rFont val="Arial"/>
        <family val="0"/>
        <charset val="1"/>
      </rPr>
      <t xml:space="preserve">48m</t>
    </r>
  </si>
  <si>
    <t xml:space="preserve">534,754</t>
  </si>
  <si>
    <t xml:space="preserve">20903777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</si>
  <si>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健康路</t>
    </r>
  </si>
  <si>
    <r>
      <rPr>
        <sz val="10"/>
        <color rgb="FF000000"/>
        <rFont val="Noto Sans CJK SC"/>
        <family val="2"/>
      </rPr>
      <t xml:space="preserve">台北小巨蛋</t>
    </r>
    <r>
      <rPr>
        <sz val="10"/>
        <color rgb="FF000000"/>
        <rFont val="Arial"/>
        <family val="0"/>
        <charset val="1"/>
      </rPr>
      <t xml:space="preserve">94m</t>
    </r>
  </si>
  <si>
    <t xml:space="preserve">508,300</t>
  </si>
  <si>
    <t xml:space="preserve">21119557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</si>
  <si>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八德路三段</t>
    </r>
  </si>
  <si>
    <r>
      <rPr>
        <sz val="10"/>
        <color rgb="FF000000"/>
        <rFont val="Noto Sans CJK SC"/>
        <family val="2"/>
      </rPr>
      <t xml:space="preserve">台北小巨蛋</t>
    </r>
    <r>
      <rPr>
        <sz val="10"/>
        <color rgb="FF000000"/>
        <rFont val="Arial"/>
        <family val="0"/>
        <charset val="1"/>
      </rPr>
      <t xml:space="preserve">276m</t>
    </r>
  </si>
  <si>
    <t xml:space="preserve">451,660</t>
  </si>
  <si>
    <t xml:space="preserve">21146173</t>
  </si>
  <si>
    <r>
      <rPr>
        <sz val="10"/>
        <color rgb="FF000000"/>
        <rFont val="Noto Sans CJK SC"/>
        <family val="2"/>
      </rPr>
      <t xml:space="preserve">台北小巨蛋</t>
    </r>
    <r>
      <rPr>
        <sz val="10"/>
        <color rgb="FF000000"/>
        <rFont val="Arial"/>
        <family val="0"/>
        <charset val="1"/>
      </rPr>
      <t xml:space="preserve">162m</t>
    </r>
  </si>
  <si>
    <t xml:space="preserve">21441271</t>
  </si>
  <si>
    <r>
      <rPr>
        <sz val="10"/>
        <color rgb="FF000000"/>
        <rFont val="Noto Sans CJK SC"/>
        <family val="2"/>
      </rPr>
      <t xml:space="preserve">臺北小巨蛋</t>
    </r>
    <r>
      <rPr>
        <sz val="10"/>
        <color rgb="FF000000"/>
        <rFont val="Arial"/>
        <family val="0"/>
        <charset val="1"/>
      </rPr>
      <t xml:space="preserve">58m</t>
    </r>
  </si>
  <si>
    <t xml:space="preserve">21595882</t>
  </si>
  <si>
    <r>
      <rPr>
        <sz val="10"/>
        <color rgb="FF000000"/>
        <rFont val="Noto Sans CJK SC"/>
        <family val="2"/>
      </rPr>
      <t xml:space="preserve">台北小巨蛋</t>
    </r>
    <r>
      <rPr>
        <sz val="10"/>
        <color rgb="FF000000"/>
        <rFont val="Arial"/>
        <family val="0"/>
        <charset val="1"/>
      </rPr>
      <t xml:space="preserve">303m</t>
    </r>
  </si>
  <si>
    <t xml:space="preserve">21809325</t>
  </si>
  <si>
    <t xml:space="preserve">21890934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</si>
  <si>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八德路三段（敦北長城）</t>
    </r>
  </si>
  <si>
    <r>
      <rPr>
        <sz val="10"/>
        <color rgb="FF000000"/>
        <rFont val="Noto Sans CJK SC"/>
        <family val="2"/>
      </rPr>
      <t xml:space="preserve">台北小巨蛋</t>
    </r>
    <r>
      <rPr>
        <sz val="10"/>
        <color rgb="FF000000"/>
        <rFont val="Arial"/>
        <family val="0"/>
        <charset val="1"/>
      </rPr>
      <t xml:space="preserve">404m</t>
    </r>
  </si>
  <si>
    <t xml:space="preserve">474,500</t>
  </si>
  <si>
    <t xml:space="preserve">21912218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</si>
  <si>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八德路三段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號（敦北長城）</t>
    </r>
  </si>
  <si>
    <t xml:space="preserve">21921486</t>
  </si>
  <si>
    <t xml:space="preserve">22027997</t>
  </si>
  <si>
    <t xml:space="preserve">451,656</t>
  </si>
  <si>
    <t xml:space="preserve">22046212</t>
  </si>
  <si>
    <r>
      <rPr>
        <sz val="10"/>
        <color rgb="FF000000"/>
        <rFont val="Noto Sans CJK SC"/>
        <family val="2"/>
      </rPr>
      <t xml:space="preserve">台北小巨蛋</t>
    </r>
    <r>
      <rPr>
        <sz val="10"/>
        <color rgb="FF000000"/>
        <rFont val="Arial"/>
        <family val="0"/>
        <charset val="1"/>
      </rPr>
      <t xml:space="preserve">197m</t>
    </r>
  </si>
  <si>
    <t xml:space="preserve">20991786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</si>
  <si>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八德路二段</t>
    </r>
  </si>
  <si>
    <r>
      <rPr>
        <sz val="10"/>
        <color rgb="FF000000"/>
        <rFont val="Noto Sans CJK SC"/>
        <family val="2"/>
      </rPr>
      <t xml:space="preserve">南京復興</t>
    </r>
    <r>
      <rPr>
        <sz val="10"/>
        <color rgb="FF000000"/>
        <rFont val="Arial"/>
        <family val="0"/>
        <charset val="1"/>
      </rPr>
      <t xml:space="preserve">259m</t>
    </r>
  </si>
  <si>
    <t xml:space="preserve">362,857</t>
  </si>
  <si>
    <t xml:space="preserve">21542373</t>
  </si>
  <si>
    <r>
      <rPr>
        <sz val="10"/>
        <color rgb="FF000000"/>
        <rFont val="Noto Sans CJK SC"/>
        <family val="2"/>
      </rPr>
      <t xml:space="preserve">南京復興</t>
    </r>
    <r>
      <rPr>
        <sz val="10"/>
        <color rgb="FF000000"/>
        <rFont val="Arial"/>
        <family val="0"/>
        <charset val="1"/>
      </rPr>
      <t xml:space="preserve">464m</t>
    </r>
  </si>
  <si>
    <t xml:space="preserve">381,000</t>
  </si>
  <si>
    <t xml:space="preserve">21595262</t>
  </si>
  <si>
    <r>
      <rPr>
        <sz val="10"/>
        <color rgb="FF000000"/>
        <rFont val="Noto Sans CJK SC"/>
        <family val="2"/>
      </rPr>
      <t xml:space="preserve">南京復興</t>
    </r>
    <r>
      <rPr>
        <sz val="10"/>
        <color rgb="FF000000"/>
        <rFont val="Arial"/>
        <family val="0"/>
        <charset val="1"/>
      </rPr>
      <t xml:space="preserve">228m</t>
    </r>
  </si>
  <si>
    <t xml:space="preserve">21808787</t>
  </si>
  <si>
    <r>
      <rPr>
        <sz val="10"/>
        <color rgb="FF000000"/>
        <rFont val="Noto Sans CJK SC"/>
        <family val="2"/>
      </rPr>
      <t xml:space="preserve">南京復興</t>
    </r>
    <r>
      <rPr>
        <sz val="10"/>
        <color rgb="FF000000"/>
        <rFont val="Arial"/>
        <family val="0"/>
        <charset val="1"/>
      </rPr>
      <t xml:space="preserve">127m</t>
    </r>
  </si>
  <si>
    <t xml:space="preserve">22053377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</si>
  <si>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八德路二段（八德大樓）</t>
    </r>
  </si>
  <si>
    <r>
      <rPr>
        <sz val="10"/>
        <color rgb="FF000000"/>
        <rFont val="Noto Sans CJK SC"/>
        <family val="2"/>
      </rPr>
      <t xml:space="preserve">南京復興</t>
    </r>
    <r>
      <rPr>
        <sz val="10"/>
        <color rgb="FF000000"/>
        <rFont val="Arial"/>
        <family val="0"/>
        <charset val="1"/>
      </rPr>
      <t xml:space="preserve">229m</t>
    </r>
  </si>
  <si>
    <t xml:space="preserve">21909087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</si>
  <si>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明水路</t>
    </r>
  </si>
  <si>
    <r>
      <rPr>
        <sz val="10"/>
        <color rgb="FF000000"/>
        <rFont val="Noto Sans CJK SC"/>
        <family val="2"/>
      </rPr>
      <t xml:space="preserve">大直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)426m</t>
    </r>
  </si>
  <si>
    <t xml:space="preserve">350,000</t>
  </si>
  <si>
    <t xml:space="preserve">20991086</t>
  </si>
  <si>
    <t xml:space="preserve">407,143</t>
  </si>
  <si>
    <t xml:space="preserve">21804249</t>
  </si>
  <si>
    <t xml:space="preserve">427,500</t>
  </si>
  <si>
    <t xml:space="preserve">21888219</t>
  </si>
  <si>
    <t xml:space="preserve">9F/11F</t>
  </si>
  <si>
    <r>
      <rPr>
        <sz val="10"/>
        <color rgb="FF000000"/>
        <rFont val="Noto Sans CJK SC"/>
        <family val="2"/>
      </rPr>
      <t xml:space="preserve">大安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市民大道三段（廣告坪數為權狀）</t>
    </r>
  </si>
  <si>
    <t xml:space="preserve">523,810</t>
  </si>
  <si>
    <r>
      <rPr>
        <sz val="10"/>
        <color rgb="FF000000"/>
        <rFont val="Noto Sans CJK SC"/>
        <family val="2"/>
      </rPr>
      <t xml:space="preserve">不符：同棟</t>
    </r>
    <r>
      <rPr>
        <sz val="10"/>
        <color rgb="FF000000"/>
        <rFont val="Arial"/>
        <family val="0"/>
        <charset val="1"/>
      </rPr>
      <t xml:space="preserve">8F</t>
    </r>
    <r>
      <rPr>
        <sz val="10"/>
        <color rgb="FF000000"/>
        <rFont val="Noto Sans CJK SC"/>
        <family val="2"/>
      </rPr>
      <t xml:space="preserve">使用約</t>
    </r>
    <r>
      <rPr>
        <sz val="10"/>
        <color rgb="FF000000"/>
        <rFont val="Arial"/>
        <family val="0"/>
        <charset val="1"/>
      </rPr>
      <t xml:space="preserve">171</t>
    </r>
  </si>
  <si>
    <t xml:space="preserve">20625847</t>
  </si>
  <si>
    <t xml:space="preserve">B1/14F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</si>
  <si>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興安街</t>
    </r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</si>
  <si>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438m</t>
    </r>
  </si>
  <si>
    <t xml:space="preserve">200,000</t>
  </si>
  <si>
    <t xml:space="preserve">不符：地下室</t>
  </si>
  <si>
    <t xml:space="preserve">20775490</t>
  </si>
  <si>
    <t xml:space="preserve">B2/30F</t>
  </si>
  <si>
    <r>
      <rPr>
        <sz val="10"/>
        <color rgb="FF000000"/>
        <rFont val="Noto Sans CJK SC"/>
        <family val="2"/>
      </rPr>
      <t xml:space="preserve">信義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信義路五段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巷</t>
    </r>
  </si>
  <si>
    <r>
      <rPr>
        <sz val="10"/>
        <color rgb="FF000000"/>
        <rFont val="Noto Sans CJK SC"/>
        <family val="2"/>
      </rPr>
      <t xml:space="preserve">象山</t>
    </r>
    <r>
      <rPr>
        <sz val="10"/>
        <color rgb="FF000000"/>
        <rFont val="Arial"/>
        <family val="0"/>
        <charset val="1"/>
      </rPr>
      <t xml:space="preserve">218m</t>
    </r>
  </si>
  <si>
    <t xml:space="preserve">330,000</t>
  </si>
  <si>
    <t xml:space="preserve">21428866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</si>
  <si>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南京東路三段</t>
    </r>
  </si>
  <si>
    <r>
      <rPr>
        <sz val="10"/>
        <color rgb="FF000000"/>
        <rFont val="Noto Sans CJK SC"/>
        <family val="2"/>
      </rPr>
      <t xml:space="preserve">南京復興</t>
    </r>
    <r>
      <rPr>
        <sz val="10"/>
        <color rgb="FF000000"/>
        <rFont val="Arial"/>
        <family val="0"/>
        <charset val="1"/>
      </rPr>
      <t xml:space="preserve">54m</t>
    </r>
  </si>
  <si>
    <t xml:space="preserve">247,000</t>
  </si>
  <si>
    <t xml:space="preserve">21570872</t>
  </si>
  <si>
    <r>
      <rPr>
        <sz val="10"/>
        <color rgb="FF000000"/>
        <rFont val="Noto Sans CJK SC"/>
        <family val="2"/>
      </rPr>
      <t xml:space="preserve">南京復興</t>
    </r>
    <r>
      <rPr>
        <sz val="10"/>
        <color rgb="FF000000"/>
        <rFont val="Arial"/>
        <family val="0"/>
        <charset val="1"/>
      </rPr>
      <t xml:space="preserve">306m</t>
    </r>
  </si>
  <si>
    <t xml:space="preserve">460,490</t>
  </si>
  <si>
    <t xml:space="preserve">21699093</t>
  </si>
  <si>
    <t xml:space="preserve">B1</t>
  </si>
  <si>
    <r>
      <rPr>
        <sz val="10"/>
        <color rgb="FF000000"/>
        <rFont val="Noto Sans CJK SC"/>
        <family val="2"/>
      </rPr>
      <t xml:space="preserve">信義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松德路</t>
    </r>
  </si>
  <si>
    <r>
      <rPr>
        <sz val="10"/>
        <color rgb="FF000000"/>
        <rFont val="Noto Sans CJK SC"/>
        <family val="2"/>
      </rPr>
      <t xml:space="preserve">永春</t>
    </r>
    <r>
      <rPr>
        <sz val="10"/>
        <color rgb="FF000000"/>
        <rFont val="Arial"/>
        <family val="0"/>
        <charset val="1"/>
      </rPr>
      <t xml:space="preserve">321m</t>
    </r>
  </si>
  <si>
    <t xml:space="preserve">534,675</t>
  </si>
  <si>
    <t xml:space="preserve">21831272</t>
  </si>
  <si>
    <r>
      <rPr>
        <sz val="10"/>
        <color rgb="FF000000"/>
        <rFont val="Noto Sans CJK SC"/>
        <family val="2"/>
      </rPr>
      <t xml:space="preserve">象山</t>
    </r>
    <r>
      <rPr>
        <sz val="10"/>
        <color rgb="FF000000"/>
        <rFont val="Arial"/>
        <family val="0"/>
        <charset val="1"/>
      </rPr>
      <t xml:space="preserve">254m</t>
    </r>
  </si>
  <si>
    <t xml:space="preserve">21835505</t>
  </si>
  <si>
    <t xml:space="preserve">B1/21F</t>
  </si>
  <si>
    <t xml:space="preserve">509,229</t>
  </si>
  <si>
    <t xml:space="preserve">21836665</t>
  </si>
  <si>
    <t xml:space="preserve">21969002</t>
  </si>
  <si>
    <r>
      <rPr>
        <sz val="10"/>
        <color rgb="FF000000"/>
        <rFont val="Noto Sans CJK SC"/>
        <family val="2"/>
      </rPr>
      <t xml:space="preserve">南京復興</t>
    </r>
    <r>
      <rPr>
        <sz val="10"/>
        <color rgb="FF000000"/>
        <rFont val="Arial"/>
        <family val="0"/>
        <charset val="1"/>
      </rPr>
      <t xml:space="preserve">419m</t>
    </r>
  </si>
  <si>
    <t xml:space="preserve">460,000</t>
  </si>
  <si>
    <t xml:space="preserve">21976833</t>
  </si>
  <si>
    <t xml:space="preserve">9F/9F</t>
  </si>
  <si>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敬業一路</t>
    </r>
  </si>
  <si>
    <r>
      <rPr>
        <sz val="10"/>
        <color rgb="FF000000"/>
        <rFont val="Noto Sans CJK SC"/>
        <family val="2"/>
      </rPr>
      <t xml:space="preserve">劍南路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)463m</t>
    </r>
  </si>
  <si>
    <t xml:space="preserve">490,000</t>
  </si>
  <si>
    <t xml:space="preserve">不符：大直＋棕線</t>
  </si>
  <si>
    <t xml:space="preserve">19306270</t>
  </si>
  <si>
    <r>
      <rPr>
        <sz val="10"/>
        <color rgb="FF000000"/>
        <rFont val="Noto Sans CJK SC"/>
        <family val="2"/>
      </rPr>
      <t xml:space="preserve">台北小巨蛋</t>
    </r>
    <r>
      <rPr>
        <sz val="10"/>
        <color rgb="FF000000"/>
        <rFont val="Arial"/>
        <family val="0"/>
        <charset val="1"/>
      </rPr>
      <t xml:space="preserve">160m</t>
    </r>
  </si>
  <si>
    <r>
      <rPr>
        <sz val="10"/>
        <color rgb="FF000000"/>
        <rFont val="Arial"/>
        <family val="0"/>
        <charset val="1"/>
      </rPr>
      <t xml:space="preserve">508,300</t>
    </r>
    <r>
      <rPr>
        <sz val="10"/>
        <color rgb="FF000000"/>
        <rFont val="Noto Sans CJK SC"/>
        <family val="2"/>
      </rPr>
      <t xml:space="preserve">含車位</t>
    </r>
  </si>
  <si>
    <r>
      <rPr>
        <sz val="10"/>
        <color rgb="FF000000"/>
        <rFont val="Noto Sans CJK SC"/>
        <family val="2"/>
      </rPr>
      <t xml:space="preserve">不符：權狀</t>
    </r>
    <r>
      <rPr>
        <sz val="10"/>
        <color rgb="FF000000"/>
        <rFont val="Arial"/>
        <family val="0"/>
        <charset val="1"/>
      </rPr>
      <t xml:space="preserve">221</t>
    </r>
  </si>
  <si>
    <t xml:space="preserve">21904994</t>
  </si>
  <si>
    <t xml:space="preserve">10F/16F</t>
  </si>
  <si>
    <r>
      <rPr>
        <sz val="10"/>
        <color rgb="FF000000"/>
        <rFont val="Noto Sans CJK SC"/>
        <family val="2"/>
      </rPr>
      <t xml:space="preserve">中正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仁愛路二段（廣告坪數為權狀）</t>
    </r>
  </si>
  <si>
    <r>
      <rPr>
        <sz val="10"/>
        <color rgb="FF000000"/>
        <rFont val="Noto Sans CJK SC"/>
        <family val="2"/>
      </rPr>
      <t xml:space="preserve">忠孝新生</t>
    </r>
    <r>
      <rPr>
        <sz val="10"/>
        <color rgb="FF000000"/>
        <rFont val="Arial"/>
        <family val="0"/>
        <charset val="1"/>
      </rPr>
      <t xml:space="preserve">264m</t>
    </r>
  </si>
  <si>
    <t xml:space="preserve">530,400</t>
  </si>
  <si>
    <t xml:space="preserve">21673522</t>
  </si>
  <si>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民生東路三段</t>
    </r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</si>
  <si>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)509m</t>
    </r>
  </si>
  <si>
    <t xml:space="preserve">456,000</t>
  </si>
  <si>
    <r>
      <rPr>
        <sz val="10"/>
        <color rgb="FF000000"/>
        <rFont val="Noto Sans CJK SC"/>
        <family val="2"/>
      </rPr>
      <t xml:space="preserve">不符：權狀</t>
    </r>
    <r>
      <rPr>
        <sz val="10"/>
        <color rgb="FF000000"/>
        <rFont val="Arial"/>
        <family val="0"/>
        <charset val="1"/>
      </rPr>
      <t xml:space="preserve">228</t>
    </r>
  </si>
  <si>
    <t xml:space="preserve">21980194</t>
  </si>
  <si>
    <t xml:space="preserve">22046277</t>
  </si>
  <si>
    <r>
      <rPr>
        <sz val="10"/>
        <color rgb="FF000000"/>
        <rFont val="Noto Sans CJK SC"/>
        <family val="2"/>
      </rPr>
      <t xml:space="preserve">中山國中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)389m</t>
    </r>
  </si>
  <si>
    <t xml:space="preserve">501,600</t>
  </si>
  <si>
    <t xml:space="preserve">21634216</t>
  </si>
  <si>
    <r>
      <rPr>
        <sz val="10"/>
        <color rgb="FF000000"/>
        <rFont val="Noto Sans CJK SC"/>
        <family val="2"/>
      </rPr>
      <t xml:space="preserve">六張犁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)517m</t>
    </r>
  </si>
  <si>
    <t xml:space="preserve">513,964</t>
  </si>
  <si>
    <r>
      <rPr>
        <sz val="10"/>
        <color rgb="FF000000"/>
        <rFont val="Noto Sans CJK SC"/>
        <family val="2"/>
      </rPr>
      <t xml:space="preserve">不符：權狀</t>
    </r>
    <r>
      <rPr>
        <sz val="10"/>
        <color rgb="FF000000"/>
        <rFont val="Arial"/>
        <family val="0"/>
        <charset val="1"/>
      </rPr>
      <t xml:space="preserve">233.6</t>
    </r>
    <r>
      <rPr>
        <sz val="10"/>
        <color rgb="FF000000"/>
        <rFont val="Noto Sans CJK SC"/>
        <family val="2"/>
      </rPr>
      <t xml:space="preserve">＋棕線</t>
    </r>
  </si>
  <si>
    <t xml:space="preserve">21758456</t>
  </si>
  <si>
    <r>
      <rPr>
        <sz val="10"/>
        <color rgb="FF000000"/>
        <rFont val="Noto Sans CJK SC"/>
        <family val="2"/>
      </rPr>
      <t xml:space="preserve">六張犁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棕</t>
    </r>
    <r>
      <rPr>
        <sz val="10"/>
        <color rgb="FF000000"/>
        <rFont val="Arial"/>
        <family val="0"/>
        <charset val="1"/>
      </rPr>
      <t xml:space="preserve">)627m</t>
    </r>
  </si>
  <si>
    <t xml:space="preserve">20672322</t>
  </si>
  <si>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304m</t>
    </r>
  </si>
  <si>
    <t xml:space="preserve">21759461</t>
  </si>
  <si>
    <r>
      <rPr>
        <sz val="10"/>
        <color rgb="FF000000"/>
        <rFont val="Noto Sans CJK SC"/>
        <family val="2"/>
      </rPr>
      <t xml:space="preserve">忠孝敦化</t>
    </r>
    <r>
      <rPr>
        <sz val="10"/>
        <color rgb="FF000000"/>
        <rFont val="Arial"/>
        <family val="0"/>
        <charset val="1"/>
      </rPr>
      <t xml:space="preserve">340m</t>
    </r>
  </si>
  <si>
    <t xml:space="preserve">21994974</t>
  </si>
  <si>
    <r>
      <rPr>
        <i val="true"/>
        <sz val="9"/>
        <color rgb="FF666666"/>
        <rFont val="Noto Sans CJK SC"/>
        <family val="2"/>
      </rPr>
      <t xml:space="preserve">尚揚國際不動產提供（使用者資料夾「辦公室 尚揚國際不動產提供」）</t>
    </r>
    <r>
      <rPr>
        <i val="true"/>
        <sz val="9"/>
        <color rgb="FF666666"/>
        <rFont val="Arial"/>
        <family val="0"/>
        <charset val="1"/>
      </rPr>
      <t xml:space="preserve">7 </t>
    </r>
    <r>
      <rPr>
        <i val="true"/>
        <sz val="9"/>
        <color rgb="FF666666"/>
        <rFont val="Noto Sans CJK SC"/>
        <family val="2"/>
      </rPr>
      <t xml:space="preserve">份物調表原文數字</t>
    </r>
  </si>
  <si>
    <t xml:space="preserve">建物登記／權狀</t>
  </si>
  <si>
    <r>
      <rPr>
        <b val="true"/>
        <sz val="10"/>
        <color rgb="FFFFFFFF"/>
        <rFont val="Noto Sans CJK SC"/>
        <family val="2"/>
      </rPr>
      <t xml:space="preserve">主建物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Noto Sans CJK SC"/>
        <family val="2"/>
      </rPr>
      <t xml:space="preserve">附屬</t>
    </r>
  </si>
  <si>
    <r>
      <rPr>
        <b val="true"/>
        <sz val="10"/>
        <color rgb="FFFFFFFF"/>
        <rFont val="Noto Sans CJK SC"/>
        <family val="2"/>
      </rPr>
      <t xml:space="preserve">押金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最短租期</t>
    </r>
  </si>
  <si>
    <t xml:space="preserve">竣工／使照</t>
  </si>
  <si>
    <t xml:space="preserve">使用分區</t>
  </si>
  <si>
    <t xml:space="preserve">空調</t>
  </si>
  <si>
    <t xml:space="preserve">其他原文</t>
  </si>
  <si>
    <t xml:space="preserve">承辦人</t>
  </si>
  <si>
    <t xml:space="preserve">備註</t>
  </si>
  <si>
    <r>
      <rPr>
        <sz val="10"/>
        <color rgb="FF000000"/>
        <rFont val="Noto Sans CJK SC"/>
        <family val="2"/>
      </rPr>
      <t xml:space="preserve">中正區南海路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樓</t>
    </r>
  </si>
  <si>
    <r>
      <rPr>
        <sz val="10"/>
        <color rgb="FF000000"/>
        <rFont val="Noto Sans CJK SC"/>
        <family val="2"/>
      </rPr>
      <t xml:space="preserve">實支實付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萬</t>
    </r>
    <r>
      <rPr>
        <sz val="10"/>
        <color rgb="FF000000"/>
        <rFont val="Arial"/>
        <family val="0"/>
        <charset val="1"/>
      </rPr>
      <t xml:space="preserve">~3</t>
    </r>
    <r>
      <rPr>
        <sz val="10"/>
        <color rgb="FF000000"/>
        <rFont val="Noto Sans CJK SC"/>
        <family val="2"/>
      </rPr>
      <t xml:space="preserve">萬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</si>
  <si>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個月</t>
    </r>
    <r>
      <rPr>
        <sz val="10"/>
        <color rgb="FF000000"/>
        <rFont val="Arial"/>
        <family val="0"/>
        <charset val="1"/>
      </rPr>
      <t xml:space="preserve">/2</t>
    </r>
    <r>
      <rPr>
        <sz val="10"/>
        <color rgb="FF000000"/>
        <rFont val="Noto Sans CJK SC"/>
        <family val="2"/>
      </rPr>
      <t xml:space="preserve">年</t>
    </r>
  </si>
  <si>
    <t xml:space="preserve">77/9/22</t>
  </si>
  <si>
    <t xml:space="preserve">第參種商業區</t>
  </si>
  <si>
    <t xml:space="preserve">獨立空調</t>
  </si>
  <si>
    <r>
      <rPr>
        <sz val="10"/>
        <color rgb="FF000000"/>
        <rFont val="Noto Sans CJK SC"/>
        <family val="2"/>
      </rPr>
      <t xml:space="preserve">附坡平車位二個；中正紀念堂站約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分鐘</t>
    </r>
  </si>
  <si>
    <r>
      <rPr>
        <sz val="10"/>
        <color rgb="FF000000"/>
        <rFont val="Noto Sans CJK SC"/>
        <family val="2"/>
      </rPr>
      <t xml:space="preserve">陳威翰 </t>
    </r>
    <r>
      <rPr>
        <sz val="10"/>
        <color rgb="FF000000"/>
        <rFont val="Arial"/>
        <family val="0"/>
        <charset val="1"/>
      </rPr>
      <t xml:space="preserve">0906-118-677</t>
    </r>
  </si>
  <si>
    <r>
      <rPr>
        <sz val="10"/>
        <color rgb="FF000000"/>
        <rFont val="Noto Sans CJK SC"/>
        <family val="2"/>
      </rPr>
      <t xml:space="preserve">資料夾名稱寫「南港開發大樓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樓」</t>
    </r>
  </si>
  <si>
    <r>
      <rPr>
        <sz val="10"/>
        <color rgb="FF000000"/>
        <rFont val="Noto Sans CJK SC"/>
        <family val="2"/>
      </rPr>
      <t xml:space="preserve">中正區延平南路</t>
    </r>
    <r>
      <rPr>
        <sz val="10"/>
        <color rgb="FF000000"/>
        <rFont val="Arial"/>
        <family val="0"/>
        <charset val="1"/>
      </rPr>
      <t xml:space="preserve">189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樓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Noto Sans CJK SC"/>
        <family val="2"/>
      </rPr>
      <t xml:space="preserve">之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</si>
  <si>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個月</t>
    </r>
    <r>
      <rPr>
        <sz val="10"/>
        <color rgb="FF000000"/>
        <rFont val="Arial"/>
        <family val="0"/>
        <charset val="1"/>
      </rPr>
      <t xml:space="preserve">/2</t>
    </r>
    <r>
      <rPr>
        <sz val="10"/>
        <color rgb="FF000000"/>
        <rFont val="Noto Sans CJK SC"/>
        <family val="2"/>
      </rPr>
      <t xml:space="preserve">年</t>
    </r>
  </si>
  <si>
    <t xml:space="preserve">70/1/5</t>
  </si>
  <si>
    <t xml:space="preserve">第參種住宅區</t>
  </si>
  <si>
    <r>
      <rPr>
        <sz val="10"/>
        <color rgb="FF000000"/>
        <rFont val="Noto Sans CJK SC"/>
        <family val="2"/>
      </rPr>
      <t xml:space="preserve">中央空調</t>
    </r>
    <r>
      <rPr>
        <sz val="10"/>
        <color rgb="FF000000"/>
        <rFont val="Arial"/>
        <family val="0"/>
        <charset val="1"/>
      </rPr>
      <t xml:space="preserve">(08-22)</t>
    </r>
    <r>
      <rPr>
        <sz val="10"/>
        <color rgb="FF000000"/>
        <rFont val="Noto Sans CJK SC"/>
        <family val="2"/>
      </rPr>
      <t xml:space="preserve">，可自加獨立空調</t>
    </r>
  </si>
  <si>
    <r>
      <rPr>
        <sz val="10"/>
        <color rgb="FF000000"/>
        <rFont val="Noto Sans CJK SC"/>
        <family val="2"/>
      </rPr>
      <t xml:space="preserve">固定車位</t>
    </r>
    <r>
      <rPr>
        <sz val="10"/>
        <color rgb="FF000000"/>
        <rFont val="Arial"/>
        <family val="0"/>
        <charset val="1"/>
      </rPr>
      <t xml:space="preserve">7,000/</t>
    </r>
    <r>
      <rPr>
        <sz val="10"/>
        <color rgb="FF000000"/>
        <rFont val="Noto Sans CJK SC"/>
        <family val="2"/>
      </rPr>
      <t xml:space="preserve">非固定</t>
    </r>
    <r>
      <rPr>
        <sz val="10"/>
        <color rgb="FF000000"/>
        <rFont val="Arial"/>
        <family val="0"/>
        <charset val="1"/>
      </rPr>
      <t xml:space="preserve">5,000(</t>
    </r>
    <r>
      <rPr>
        <sz val="10"/>
        <color rgb="FF000000"/>
        <rFont val="Noto Sans CJK SC"/>
        <family val="2"/>
      </rPr>
      <t xml:space="preserve">含稅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；小南門站約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分鐘</t>
    </r>
  </si>
  <si>
    <r>
      <rPr>
        <sz val="10"/>
        <color rgb="FF000000"/>
        <rFont val="Noto Sans CJK SC"/>
        <family val="2"/>
      </rPr>
      <t xml:space="preserve">陳威翰 </t>
    </r>
    <r>
      <rPr>
        <sz val="10"/>
        <color rgb="FF000000"/>
        <rFont val="Arial"/>
        <family val="0"/>
        <charset val="1"/>
      </rPr>
      <t xml:space="preserve">0906-118677</t>
    </r>
  </si>
  <si>
    <t xml:space="preserve">全球人壽信義大樓</t>
  </si>
  <si>
    <t xml:space="preserve">9.04</t>
  </si>
  <si>
    <r>
      <rPr>
        <sz val="10"/>
        <color rgb="FF000000"/>
        <rFont val="Arial"/>
        <family val="0"/>
        <charset val="1"/>
      </rPr>
      <t xml:space="preserve">39,873 (150/</t>
    </r>
    <r>
      <rPr>
        <sz val="10"/>
        <color rgb="FF000000"/>
        <rFont val="Noto Sans CJK SC"/>
        <family val="2"/>
      </rPr>
      <t xml:space="preserve">坪</t>
    </r>
    <r>
      <rPr>
        <sz val="10"/>
        <color rgb="FF000000"/>
        <rFont val="Arial"/>
        <family val="0"/>
        <charset val="1"/>
      </rPr>
      <t xml:space="preserve">)</t>
    </r>
  </si>
  <si>
    <t xml:space="preserve">86/5/25</t>
  </si>
  <si>
    <t xml:space="preserve">第三種住宅區</t>
  </si>
  <si>
    <r>
      <rPr>
        <sz val="10"/>
        <color rgb="FF000000"/>
        <rFont val="Noto Sans CJK SC"/>
        <family val="2"/>
      </rPr>
      <t xml:space="preserve">中央空調</t>
    </r>
    <r>
      <rPr>
        <sz val="10"/>
        <color rgb="FF000000"/>
        <rFont val="Arial"/>
        <family val="0"/>
        <charset val="1"/>
      </rPr>
      <t xml:space="preserve">(8-18</t>
    </r>
    <r>
      <rPr>
        <sz val="10"/>
        <color rgb="FF000000"/>
        <rFont val="Noto Sans CJK SC"/>
        <family val="2"/>
      </rPr>
      <t xml:space="preserve">加班再議</t>
    </r>
    <r>
      <rPr>
        <sz val="10"/>
        <color rgb="FF000000"/>
        <rFont val="Arial"/>
        <family val="0"/>
        <charset val="1"/>
      </rPr>
      <t xml:space="preserve">)</t>
    </r>
  </si>
  <si>
    <t xml:space="preserve">交通只寫公車；精裝修</t>
  </si>
  <si>
    <r>
      <rPr>
        <sz val="10"/>
        <color rgb="FF000000"/>
        <rFont val="Noto Sans CJK SC"/>
        <family val="2"/>
      </rPr>
      <t xml:space="preserve">劉于上 </t>
    </r>
    <r>
      <rPr>
        <sz val="10"/>
        <color rgb="FF000000"/>
        <rFont val="Arial"/>
        <family val="0"/>
        <charset val="1"/>
      </rPr>
      <t xml:space="preserve">0938-254-324</t>
    </r>
    <r>
      <rPr>
        <sz val="10"/>
        <color rgb="FF000000"/>
        <rFont val="Noto Sans CJK SC"/>
        <family val="2"/>
      </rPr>
      <t xml:space="preserve">（原文）</t>
    </r>
  </si>
  <si>
    <t xml:space="preserve">敦化財經大樓</t>
  </si>
  <si>
    <r>
      <rPr>
        <sz val="10"/>
        <color rgb="FF000000"/>
        <rFont val="Noto Sans CJK SC"/>
        <family val="2"/>
      </rPr>
      <t xml:space="preserve">松山區敦化北路</t>
    </r>
    <r>
      <rPr>
        <sz val="10"/>
        <color rgb="FF000000"/>
        <rFont val="Arial"/>
        <family val="0"/>
        <charset val="1"/>
      </rPr>
      <t xml:space="preserve">214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4F</t>
    </r>
    <r>
      <rPr>
        <sz val="10"/>
        <color rgb="FF000000"/>
        <rFont val="Noto Sans CJK SC"/>
        <family val="2"/>
      </rPr>
      <t xml:space="preserve">之</t>
    </r>
    <r>
      <rPr>
        <sz val="10"/>
        <color rgb="FF000000"/>
        <rFont val="Arial"/>
        <family val="0"/>
        <charset val="1"/>
      </rPr>
      <t xml:space="preserve">1</t>
    </r>
  </si>
  <si>
    <t xml:space="preserve">5.84%</t>
  </si>
  <si>
    <t xml:space="preserve">48,415</t>
  </si>
  <si>
    <t xml:space="preserve">80/7/31</t>
  </si>
  <si>
    <t xml:space="preserve">敦化南北路特定區</t>
  </si>
  <si>
    <r>
      <rPr>
        <sz val="10"/>
        <color rgb="FF000000"/>
        <rFont val="Noto Sans CJK SC"/>
        <family val="2"/>
      </rPr>
      <t xml:space="preserve">中央空調</t>
    </r>
    <r>
      <rPr>
        <sz val="10"/>
        <color rgb="FF000000"/>
        <rFont val="Arial"/>
        <family val="0"/>
        <charset val="1"/>
      </rPr>
      <t xml:space="preserve">(08-18)</t>
    </r>
    <r>
      <rPr>
        <sz val="10"/>
        <color rgb="FF000000"/>
        <rFont val="Noto Sans CJK SC"/>
        <family val="2"/>
      </rPr>
      <t xml:space="preserve">＋可加獨冷</t>
    </r>
  </si>
  <si>
    <r>
      <rPr>
        <sz val="10"/>
        <color rgb="FF000000"/>
        <rFont val="Noto Sans CJK SC"/>
        <family val="2"/>
      </rPr>
      <t xml:space="preserve">坡道平面「</t>
    </r>
    <r>
      <rPr>
        <sz val="10"/>
        <color rgb="FF000000"/>
        <rFont val="Arial"/>
        <family val="0"/>
        <charset val="1"/>
      </rPr>
      <t xml:space="preserve">8,0000</t>
    </r>
    <r>
      <rPr>
        <sz val="10"/>
        <color rgb="FF000000"/>
        <rFont val="Noto Sans CJK SC"/>
        <family val="2"/>
      </rPr>
      <t xml:space="preserve">」另租（原文）；南京復興、中山國中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分鐘</t>
    </r>
  </si>
  <si>
    <r>
      <rPr>
        <sz val="10"/>
        <color rgb="FF000000"/>
        <rFont val="Noto Sans CJK SC"/>
        <family val="2"/>
      </rPr>
      <t xml:space="preserve">張正修 </t>
    </r>
    <r>
      <rPr>
        <sz val="10"/>
        <color rgb="FF000000"/>
        <rFont val="Arial"/>
        <family val="0"/>
        <charset val="1"/>
      </rPr>
      <t xml:space="preserve">0937-519-365</t>
    </r>
  </si>
  <si>
    <t xml:space="preserve">敦北長城大樓</t>
  </si>
  <si>
    <r>
      <rPr>
        <sz val="10"/>
        <color rgb="FF000000"/>
        <rFont val="Noto Sans CJK SC"/>
        <family val="2"/>
      </rPr>
      <t xml:space="preserve">松山區八德路三段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樓</t>
    </r>
  </si>
  <si>
    <t xml:space="preserve">3F/16F(B4)</t>
  </si>
  <si>
    <t xml:space="preserve">10.87%</t>
  </si>
  <si>
    <t xml:space="preserve">27,100</t>
  </si>
  <si>
    <r>
      <rPr>
        <sz val="10"/>
        <color rgb="FF000000"/>
        <rFont val="Noto Sans CJK SC"/>
        <family val="2"/>
      </rPr>
      <t xml:space="preserve">使執</t>
    </r>
    <r>
      <rPr>
        <sz val="10"/>
        <color rgb="FF000000"/>
        <rFont val="Arial"/>
        <family val="0"/>
        <charset val="1"/>
      </rPr>
      <t xml:space="preserve">81/02/17</t>
    </r>
  </si>
  <si>
    <r>
      <rPr>
        <sz val="10"/>
        <color rgb="FF000000"/>
        <rFont val="Noto Sans CJK SC"/>
        <family val="2"/>
      </rPr>
      <t xml:space="preserve">中央空調</t>
    </r>
    <r>
      <rPr>
        <sz val="10"/>
        <color rgb="FF000000"/>
        <rFont val="Arial"/>
        <family val="0"/>
        <charset val="1"/>
      </rPr>
      <t xml:space="preserve">(07-19)</t>
    </r>
  </si>
  <si>
    <r>
      <rPr>
        <sz val="10"/>
        <color rgb="FF000000"/>
        <rFont val="Noto Sans CJK SC"/>
        <family val="2"/>
      </rPr>
      <t xml:space="preserve">稅別：個人；坡平另租</t>
    </r>
    <r>
      <rPr>
        <sz val="10"/>
        <color rgb="FF000000"/>
        <rFont val="Arial"/>
        <family val="0"/>
        <charset val="1"/>
      </rPr>
      <t xml:space="preserve">6,000+500</t>
    </r>
    <r>
      <rPr>
        <sz val="10"/>
        <color rgb="FF000000"/>
        <rFont val="Noto Sans CJK SC"/>
        <family val="2"/>
      </rPr>
      <t xml:space="preserve">；小巨蛋站</t>
    </r>
  </si>
  <si>
    <r>
      <rPr>
        <sz val="10"/>
        <color rgb="FF000000"/>
        <rFont val="Noto Sans CJK SC"/>
        <family val="2"/>
      </rPr>
      <t xml:space="preserve">劉于上 </t>
    </r>
    <r>
      <rPr>
        <sz val="10"/>
        <color rgb="FF000000"/>
        <rFont val="Arial"/>
        <family val="0"/>
        <charset val="1"/>
      </rPr>
      <t xml:space="preserve">0938-259-324</t>
    </r>
  </si>
  <si>
    <t xml:space="preserve">松哖大樓</t>
  </si>
  <si>
    <r>
      <rPr>
        <sz val="10"/>
        <color rgb="FF000000"/>
        <rFont val="Noto Sans CJK SC"/>
        <family val="2"/>
      </rPr>
      <t xml:space="preserve">中山區民生東路二段</t>
    </r>
    <r>
      <rPr>
        <sz val="10"/>
        <color rgb="FF000000"/>
        <rFont val="Arial"/>
        <family val="0"/>
        <charset val="1"/>
      </rPr>
      <t xml:space="preserve">161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+163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樓</t>
    </r>
  </si>
  <si>
    <t xml:space="preserve">12.72%</t>
  </si>
  <si>
    <t xml:space="preserve">40,000</t>
  </si>
  <si>
    <r>
      <rPr>
        <sz val="10"/>
        <color rgb="FF000000"/>
        <rFont val="Noto Sans CJK SC"/>
        <family val="2"/>
      </rPr>
      <t xml:space="preserve">使執</t>
    </r>
    <r>
      <rPr>
        <sz val="10"/>
        <color rgb="FF000000"/>
        <rFont val="Arial"/>
        <family val="0"/>
        <charset val="1"/>
      </rPr>
      <t xml:space="preserve">77/03/07</t>
    </r>
  </si>
  <si>
    <r>
      <rPr>
        <sz val="10"/>
        <color rgb="FF000000"/>
        <rFont val="Noto Sans CJK SC"/>
        <family val="2"/>
      </rPr>
      <t xml:space="preserve">中央空調</t>
    </r>
    <r>
      <rPr>
        <sz val="10"/>
        <color rgb="FF000000"/>
        <rFont val="Arial"/>
        <family val="0"/>
        <charset val="1"/>
      </rPr>
      <t xml:space="preserve">(08-18</t>
    </r>
    <r>
      <rPr>
        <sz val="10"/>
        <color rgb="FF000000"/>
        <rFont val="Noto Sans CJK SC"/>
        <family val="2"/>
      </rPr>
      <t xml:space="preserve">，加班</t>
    </r>
    <r>
      <rPr>
        <sz val="10"/>
        <color rgb="FF000000"/>
        <rFont val="Arial"/>
        <family val="0"/>
        <charset val="1"/>
      </rPr>
      <t xml:space="preserve">200/H)</t>
    </r>
  </si>
  <si>
    <r>
      <rPr>
        <sz val="10"/>
        <color rgb="FF000000"/>
        <rFont val="Noto Sans CJK SC"/>
        <family val="2"/>
      </rPr>
      <t xml:space="preserve">稅別：個人；坡平另租</t>
    </r>
    <r>
      <rPr>
        <sz val="10"/>
        <color rgb="FF000000"/>
        <rFont val="Arial"/>
        <family val="0"/>
        <charset val="1"/>
      </rPr>
      <t xml:space="preserve">7,000-8,000</t>
    </r>
    <r>
      <rPr>
        <sz val="10"/>
        <color rgb="FF000000"/>
        <rFont val="Noto Sans CJK SC"/>
        <family val="2"/>
      </rPr>
      <t xml:space="preserve">；表內「捷運站：小巨蛋站</t>
    </r>
    <r>
      <rPr>
        <sz val="10"/>
        <color rgb="FF000000"/>
        <rFont val="Arial"/>
        <family val="0"/>
        <charset val="1"/>
      </rPr>
      <t xml:space="preserve">(1)</t>
    </r>
    <r>
      <rPr>
        <sz val="10"/>
        <color rgb="FF000000"/>
        <rFont val="Noto Sans CJK SC"/>
        <family val="2"/>
      </rPr>
      <t xml:space="preserve">」疑誤植</t>
    </r>
  </si>
  <si>
    <r>
      <rPr>
        <sz val="10"/>
        <color rgb="FF000000"/>
        <rFont val="Noto Sans CJK SC"/>
        <family val="2"/>
      </rPr>
      <t xml:space="preserve">劉品汯 </t>
    </r>
    <r>
      <rPr>
        <sz val="10"/>
        <color rgb="FF000000"/>
        <rFont val="Arial"/>
        <family val="0"/>
        <charset val="1"/>
      </rPr>
      <t xml:space="preserve">0901-407-026</t>
    </r>
  </si>
  <si>
    <t xml:space="preserve">光復大樓（分割）</t>
  </si>
  <si>
    <r>
      <rPr>
        <sz val="10"/>
        <color rgb="FF000000"/>
        <rFont val="Noto Sans CJK SC"/>
        <family val="2"/>
      </rPr>
      <t xml:space="preserve">松山區光復南路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號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分割</t>
    </r>
    <r>
      <rPr>
        <sz val="10"/>
        <color rgb="FF000000"/>
        <rFont val="Arial"/>
        <family val="0"/>
        <charset val="1"/>
      </rPr>
      <t xml:space="preserve">)</t>
    </r>
  </si>
  <si>
    <t xml:space="preserve">6F/11F(B1)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</si>
  <si>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21.38</t>
    </r>
    <r>
      <rPr>
        <sz val="10"/>
        <color rgb="FF000000"/>
        <rFont val="Noto Sans CJK SC"/>
        <family val="2"/>
      </rPr>
      <t xml:space="preserve">坪」（疑漏字）</t>
    </r>
  </si>
  <si>
    <t xml:space="preserve">0%</t>
  </si>
  <si>
    <t xml:space="preserve">18,000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</si>
  <si>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個月」</t>
    </r>
    <r>
      <rPr>
        <sz val="10"/>
        <color rgb="FF000000"/>
        <rFont val="Arial"/>
        <family val="0"/>
        <charset val="1"/>
      </rPr>
      <t xml:space="preserve">/2</t>
    </r>
    <r>
      <rPr>
        <sz val="10"/>
        <color rgb="FF000000"/>
        <rFont val="Noto Sans CJK SC"/>
        <family val="2"/>
      </rPr>
      <t xml:space="preserve">年（原文，疑為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個月）</t>
    </r>
  </si>
  <si>
    <t xml:space="preserve">66/8/2</t>
  </si>
  <si>
    <t xml:space="preserve">第三種商業區</t>
  </si>
  <si>
    <r>
      <rPr>
        <sz val="10"/>
        <color rgb="FF000000"/>
        <rFont val="Noto Sans CJK SC"/>
        <family val="2"/>
      </rPr>
      <t xml:space="preserve">國父紀念館站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分鐘；現有隔間裝潢</t>
    </r>
  </si>
  <si>
    <t xml:space="preserve">原文數字有誤植，需確認</t>
  </si>
  <si>
    <r>
      <rPr>
        <i val="true"/>
        <sz val="9"/>
        <color rgb="FF666666"/>
        <rFont val="Noto Sans CJK SC"/>
        <family val="2"/>
      </rPr>
      <t xml:space="preserve">傑森愛華國際物業顧問行（張先生 </t>
    </r>
    <r>
      <rPr>
        <i val="true"/>
        <sz val="9"/>
        <color rgb="FF666666"/>
        <rFont val="Arial"/>
        <family val="0"/>
        <charset val="1"/>
      </rPr>
      <t xml:space="preserve">0931-330823</t>
    </r>
    <r>
      <rPr>
        <i val="true"/>
        <sz val="9"/>
        <color rgb="FF666666"/>
        <rFont val="Noto Sans CJK SC"/>
        <family val="2"/>
      </rPr>
      <t xml:space="preserve">）</t>
    </r>
    <r>
      <rPr>
        <i val="true"/>
        <sz val="9"/>
        <color rgb="FF666666"/>
        <rFont val="Arial"/>
        <family val="0"/>
        <charset val="1"/>
      </rPr>
      <t xml:space="preserve">2026/9/23 </t>
    </r>
    <r>
      <rPr>
        <i val="true"/>
        <sz val="9"/>
        <color rgb="FF666666"/>
        <rFont val="Noto Sans CJK SC"/>
        <family val="2"/>
      </rPr>
      <t xml:space="preserve">出租物件清單報表，全部為未稅價；含稅＝</t>
    </r>
    <r>
      <rPr>
        <i val="true"/>
        <sz val="9"/>
        <color rgb="FF666666"/>
        <rFont val="Arial"/>
        <family val="0"/>
        <charset val="1"/>
      </rPr>
      <t xml:space="preserve">×1.05</t>
    </r>
    <r>
      <rPr>
        <i val="true"/>
        <sz val="9"/>
        <color rgb="FF666666"/>
        <rFont val="Noto Sans CJK SC"/>
        <family val="2"/>
      </rPr>
      <t xml:space="preserve">（公式）</t>
    </r>
  </si>
  <si>
    <t xml:space="preserve">頁</t>
  </si>
  <si>
    <t xml:space="preserve">地點</t>
  </si>
  <si>
    <t xml:space="preserve">坪數</t>
  </si>
  <si>
    <r>
      <rPr>
        <b val="true"/>
        <sz val="10"/>
        <color rgb="FFFFFFFF"/>
        <rFont val="Noto Sans CJK SC"/>
        <family val="2"/>
      </rPr>
      <t xml:space="preserve">租金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未稅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</si>
  <si>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單價</t>
  </si>
  <si>
    <r>
      <rPr>
        <b val="true"/>
        <sz val="10"/>
        <color rgb="FFFFFFFF"/>
        <rFont val="Noto Sans CJK SC"/>
        <family val="2"/>
      </rPr>
      <t xml:space="preserve">含稅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公式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</si>
  <si>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附註（原文）</t>
  </si>
  <si>
    <t xml:space="preserve">對應案號</t>
  </si>
  <si>
    <t xml:space="preserve">南海路近羅斯福路</t>
  </si>
  <si>
    <t xml:space="preserve">純辦、正方、一層一戶、近捷運、適百業</t>
  </si>
  <si>
    <t xml:space="preserve">第1頁</t>
  </si>
  <si>
    <r>
      <rPr>
        <sz val="10"/>
        <color rgb="FF000000"/>
        <rFont val="Noto Sans CJK SC"/>
        <family val="2"/>
      </rPr>
      <t xml:space="preserve">南京東路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環亞樓上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</si>
  <si>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級純辦，知名地標大樓，獨立空調，近雙捷運，</t>
    </r>
    <r>
      <rPr>
        <sz val="10"/>
        <color rgb="FF000000"/>
        <rFont val="Arial"/>
        <family val="0"/>
        <charset val="1"/>
      </rPr>
      <t xml:space="preserve">open</t>
    </r>
    <r>
      <rPr>
        <sz val="10"/>
        <color rgb="FF000000"/>
        <rFont val="Noto Sans CJK SC"/>
        <family val="2"/>
      </rPr>
      <t xml:space="preserve">，視野佳</t>
    </r>
  </si>
  <si>
    <r>
      <rPr>
        <sz val="10"/>
        <color rgb="FF000000"/>
        <rFont val="Noto Sans CJK SC"/>
        <family val="2"/>
      </rPr>
      <t xml:space="preserve">地標帷幕純辦、</t>
    </r>
    <r>
      <rPr>
        <sz val="10"/>
        <color rgb="FF000000"/>
        <rFont val="Arial"/>
        <family val="0"/>
        <charset val="1"/>
      </rPr>
      <t xml:space="preserve">OPEN</t>
    </r>
    <r>
      <rPr>
        <sz val="10"/>
        <color rgb="FF000000"/>
        <rFont val="Noto Sans CJK SC"/>
        <family val="2"/>
      </rPr>
      <t xml:space="preserve">、毛丕，捷運旁、商業區、適百業、多門牌（可分割）</t>
    </r>
  </si>
  <si>
    <r>
      <rPr>
        <sz val="10"/>
        <color rgb="FF000000"/>
        <rFont val="Noto Sans CJK SC"/>
        <family val="2"/>
      </rPr>
      <t xml:space="preserve">南京東路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段</t>
    </r>
  </si>
  <si>
    <t xml:space="preserve">帷幕純辦 正方 挑高 獨立空調，不租醫美 補習班 直銷</t>
  </si>
  <si>
    <r>
      <rPr>
        <sz val="10"/>
        <color rgb="FF000000"/>
        <rFont val="Noto Sans CJK SC"/>
        <family val="2"/>
      </rPr>
      <t xml:space="preserve">不符：超過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</t>
    </r>
  </si>
  <si>
    <t xml:space="preserve">第2頁</t>
  </si>
  <si>
    <t xml:space="preserve">敦化南路近市民大道</t>
  </si>
  <si>
    <r>
      <rPr>
        <sz val="10"/>
        <color rgb="FF000000"/>
        <rFont val="Noto Sans CJK SC"/>
        <family val="2"/>
      </rPr>
      <t xml:space="preserve">純辦 稀有低公設 可至捷運 外商區 全層使用 屋況佳 開發票 最多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年約都更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</si>
  <si>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級純辦 漂亮入口 外觀佳 正方 停車方便</t>
    </r>
  </si>
  <si>
    <r>
      <rPr>
        <sz val="10"/>
        <color rgb="FF000000"/>
        <rFont val="Noto Sans CJK SC"/>
        <family val="2"/>
      </rPr>
      <t xml:space="preserve">南京東路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段近復興北路</t>
    </r>
  </si>
  <si>
    <r>
      <rPr>
        <sz val="10"/>
        <color rgb="FF000000"/>
        <rFont val="Noto Sans CJK SC"/>
        <family val="2"/>
      </rPr>
      <t xml:space="preserve">地標純辦、</t>
    </r>
    <r>
      <rPr>
        <sz val="10"/>
        <color rgb="FF000000"/>
        <rFont val="Arial"/>
        <family val="0"/>
        <charset val="1"/>
      </rPr>
      <t xml:space="preserve">OPEN</t>
    </r>
    <r>
      <rPr>
        <sz val="10"/>
        <color rgb="FF000000"/>
        <rFont val="Noto Sans CJK SC"/>
        <family val="2"/>
      </rPr>
      <t xml:space="preserve">、一層一戶、正方、捷運旁、商業區、適百業</t>
    </r>
  </si>
  <si>
    <r>
      <rPr>
        <sz val="10"/>
        <color rgb="FF000000"/>
        <rFont val="Noto Sans CJK SC"/>
        <family val="2"/>
      </rPr>
      <t xml:space="preserve">氣派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級純辦 宏偉大廳 正方 挑高 視野佳</t>
    </r>
  </si>
  <si>
    <r>
      <rPr>
        <sz val="10"/>
        <color rgb="FF000000"/>
        <rFont val="Noto Sans CJK SC"/>
        <family val="2"/>
      </rPr>
      <t xml:space="preserve">光復北路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台北瓦斯</t>
    </r>
    <r>
      <rPr>
        <sz val="10"/>
        <color rgb="FF000000"/>
        <rFont val="Arial"/>
        <family val="0"/>
        <charset val="1"/>
      </rPr>
      <t xml:space="preserve">)</t>
    </r>
  </si>
  <si>
    <t xml:space="preserve">延平南路</t>
  </si>
  <si>
    <r>
      <rPr>
        <sz val="10"/>
        <color rgb="FF000000"/>
        <rFont val="Noto Sans CJK SC"/>
        <family val="2"/>
      </rPr>
      <t xml:space="preserve">一層一户，稀有辦公，近捷運，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小時保全</t>
    </r>
  </si>
  <si>
    <t xml:space="preserve">第3頁</t>
  </si>
  <si>
    <r>
      <rPr>
        <sz val="10"/>
        <color rgb="FF000000"/>
        <rFont val="Noto Sans CJK SC"/>
        <family val="2"/>
      </rPr>
      <t xml:space="preserve">松仁路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信義區</t>
    </r>
    <r>
      <rPr>
        <sz val="10"/>
        <color rgb="FF000000"/>
        <rFont val="Arial"/>
        <family val="0"/>
        <charset val="1"/>
      </rPr>
      <t xml:space="preserve">)</t>
    </r>
  </si>
  <si>
    <t xml:space="preserve">純辦、三邊臨馬路，地標大樓，公設低，大理石外牆</t>
  </si>
  <si>
    <r>
      <rPr>
        <sz val="10"/>
        <color rgb="FF000000"/>
        <rFont val="Noto Sans CJK SC"/>
        <family val="2"/>
      </rPr>
      <t xml:space="preserve">重慶北路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段</t>
    </r>
  </si>
  <si>
    <t xml:space="preserve">帷幕純辦，入口佳，正方 挑高 有隔間</t>
  </si>
  <si>
    <r>
      <rPr>
        <sz val="10"/>
        <color rgb="FF000000"/>
        <rFont val="Noto Sans CJK SC"/>
        <family val="2"/>
      </rPr>
      <t xml:space="preserve">不符：大同區（非指定五區）且超過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</t>
    </r>
  </si>
  <si>
    <t xml:space="preserve">泉州街</t>
  </si>
  <si>
    <t xml:space="preserve">純辦、格局方正、採光佳 低公設，交通便利</t>
  </si>
  <si>
    <t xml:space="preserve">網站</t>
  </si>
  <si>
    <t xml:space="preserve">搜尋條件／方式</t>
  </si>
  <si>
    <t xml:space="preserve">結果筆數</t>
  </si>
  <si>
    <t xml:space="preserve">涵蓋情形</t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</si>
  <si>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商用（</t>
    </r>
    <r>
      <rPr>
        <sz val="10"/>
        <color rgb="FF000000"/>
        <rFont val="Arial"/>
        <family val="0"/>
        <charset val="1"/>
      </rPr>
      <t xml:space="preserve">business.591.com.tw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</si>
  <si>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辦公出租；台北市 中正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中山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松山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大安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信義；坪數≥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；租金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list?kind=6&amp;section=1,3,4,5,7&amp;acreage=220_&amp;price=200000_550000</t>
    </r>
    <r>
      <rPr>
        <sz val="10"/>
        <color rgb="FF000000"/>
        <rFont val="Noto Sans CJK SC"/>
        <family val="2"/>
      </rPr>
      <t xml:space="preserve">）</t>
    </r>
  </si>
  <si>
    <t xml:space="preserve">116</t>
  </si>
  <si>
    <r>
      <rPr>
        <sz val="10"/>
        <color rgb="FF000000"/>
        <rFont val="Noto Sans CJK SC"/>
        <family val="2"/>
      </rPr>
      <t xml:space="preserve">全部對應（見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</si>
  <si>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Arial"/>
        <family val="0"/>
        <charset val="1"/>
      </rPr>
      <t xml:space="preserve">591 </t>
    </r>
    <r>
      <rPr>
        <sz val="10"/>
        <color rgb="FF000000"/>
        <rFont val="Noto Sans CJK SC"/>
        <family val="2"/>
      </rPr>
      <t xml:space="preserve">分頁排序會變動，已多次翻頁取聯集；逐一開啟候選物件頁讀原文</t>
    </r>
  </si>
  <si>
    <r>
      <rPr>
        <sz val="10"/>
        <color rgb="FF000000"/>
        <rFont val="Noto Sans CJK SC"/>
        <family val="2"/>
      </rPr>
      <t xml:space="preserve">信義房屋（</t>
    </r>
    <r>
      <rPr>
        <sz val="10"/>
        <color rgb="FF000000"/>
        <rFont val="Arial"/>
        <family val="0"/>
        <charset val="1"/>
      </rPr>
      <t xml:space="preserve">sinyi.com.tw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</si>
  <si>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rent/list/Taipei-city/100-104-105-106-110-zip/office-use/150-up-area</t>
    </r>
    <r>
      <rPr>
        <sz val="10"/>
        <color rgb="FF000000"/>
        <rFont val="Noto Sans CJK SC"/>
        <family val="2"/>
      </rPr>
      <t xml:space="preserve">（另查</t>
    </r>
    <r>
      <rPr>
        <sz val="10"/>
        <color rgb="FF000000"/>
        <rFont val="Arial"/>
        <family val="0"/>
        <charset val="1"/>
      </rPr>
      <t xml:space="preserve">200-up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</si>
  <si>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坪以上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筆</t>
    </r>
  </si>
  <si>
    <t xml:space="preserve">全部看過</t>
  </si>
  <si>
    <r>
      <rPr>
        <sz val="10"/>
        <color rgb="FF000000"/>
        <rFont val="Noto Sans CJK SC"/>
        <family val="2"/>
      </rPr>
      <t xml:space="preserve">主建物／附屬／共有分項完整；物件連結改用 </t>
    </r>
    <r>
      <rPr>
        <sz val="10"/>
        <color rgb="FF000000"/>
        <rFont val="Arial"/>
        <family val="0"/>
        <charset val="1"/>
      </rPr>
      <t xml:space="preserve">sinyiglobal.com</t>
    </r>
    <r>
      <rPr>
        <sz val="10"/>
        <color rgb="FF000000"/>
        <rFont val="Noto Sans CJK SC"/>
        <family val="2"/>
      </rPr>
      <t xml:space="preserve">（使用者網路打不開 </t>
    </r>
    <r>
      <rPr>
        <sz val="10"/>
        <color rgb="FF000000"/>
        <rFont val="Arial"/>
        <family val="0"/>
        <charset val="1"/>
      </rPr>
      <t xml:space="preserve">sinyi.com.tw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</si>
  <si>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永慶房屋（</t>
    </r>
    <r>
      <rPr>
        <sz val="10"/>
        <color rgb="FF000000"/>
        <rFont val="Arial"/>
        <family val="0"/>
        <charset val="1"/>
      </rPr>
      <t xml:space="preserve">rent.yungching.com.tw</t>
    </r>
    <r>
      <rPr>
        <sz val="10"/>
        <color rgb="FF000000"/>
        <rFont val="Noto Sans CJK SC"/>
        <family val="2"/>
      </rPr>
      <t xml:space="preserve">）</t>
    </r>
  </si>
  <si>
    <t xml:space="preserve">辦公用途；台北市 五區</t>
  </si>
  <si>
    <t xml:space="preserve">172</t>
  </si>
  <si>
    <r>
      <rPr>
        <sz val="10"/>
        <color rgb="FF000000"/>
        <rFont val="Noto Sans CJK SC"/>
        <family val="2"/>
      </rPr>
      <t xml:space="preserve">全部看過（</t>
    </r>
    <r>
      <rPr>
        <sz val="10"/>
        <color rgb="FF000000"/>
        <rFont val="Arial"/>
        <family val="0"/>
        <charset val="1"/>
      </rPr>
      <t xml:space="preserve">Chrome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</si>
  <si>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≥200</t>
    </r>
    <r>
      <rPr>
        <sz val="10"/>
        <color rgb="FF000000"/>
        <rFont val="Noto Sans CJK SC"/>
        <family val="2"/>
      </rPr>
      <t xml:space="preserve">坪僅安敦</t>
    </r>
    <r>
      <rPr>
        <sz val="10"/>
        <color rgb="FF000000"/>
        <rFont val="Arial"/>
        <family val="0"/>
        <charset val="1"/>
      </rPr>
      <t xml:space="preserve">14F</t>
    </r>
    <r>
      <rPr>
        <sz val="10"/>
        <color rgb="FF000000"/>
        <rFont val="Noto Sans CJK SC"/>
        <family val="2"/>
      </rPr>
      <t xml:space="preserve">、家美</t>
    </r>
    <r>
      <rPr>
        <sz val="10"/>
        <color rgb="FF000000"/>
        <rFont val="Arial"/>
        <family val="0"/>
        <charset val="1"/>
      </rPr>
      <t xml:space="preserve">15F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樓店辦，無新增符合案</t>
    </r>
  </si>
  <si>
    <r>
      <rPr>
        <sz val="10"/>
        <color rgb="FF000000"/>
        <rFont val="Noto Sans CJK SC"/>
        <family val="2"/>
      </rPr>
      <t xml:space="preserve">住商不動產（</t>
    </r>
    <r>
      <rPr>
        <sz val="10"/>
        <color rgb="FF000000"/>
        <rFont val="Arial"/>
        <family val="0"/>
        <charset val="1"/>
      </rPr>
      <t xml:space="preserve">hbhousing.com.tw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</si>
  <si>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五區逐頁：中正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、中山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、松山</t>
    </r>
    <r>
      <rPr>
        <sz val="10"/>
        <color rgb="FF000000"/>
        <rFont val="Arial"/>
        <family val="0"/>
        <charset val="1"/>
      </rPr>
      <t xml:space="preserve">66</t>
    </r>
    <r>
      <rPr>
        <sz val="10"/>
        <color rgb="FF000000"/>
        <rFont val="Noto Sans CJK SC"/>
        <family val="2"/>
      </rPr>
      <t xml:space="preserve">、大安</t>
    </r>
    <r>
      <rPr>
        <sz val="10"/>
        <color rgb="FF000000"/>
        <rFont val="Arial"/>
        <family val="0"/>
        <charset val="1"/>
      </rPr>
      <t xml:space="preserve">142</t>
    </r>
    <r>
      <rPr>
        <sz val="10"/>
        <color rgb="FF000000"/>
        <rFont val="Noto Sans CJK SC"/>
        <family val="2"/>
      </rPr>
      <t xml:space="preserve">、信義</t>
    </r>
    <r>
      <rPr>
        <sz val="10"/>
        <color rgb="FF000000"/>
        <rFont val="Arial"/>
        <family val="0"/>
        <charset val="1"/>
      </rPr>
      <t xml:space="preserve">74</t>
    </r>
  </si>
  <si>
    <t xml:space="preserve">435</t>
  </si>
  <si>
    <t xml:space="preserve">逐頁看過</t>
  </si>
  <si>
    <r>
      <rPr>
        <sz val="10"/>
        <color rgb="FF000000"/>
        <rFont val="Noto Sans CJK SC"/>
        <family val="2"/>
      </rPr>
      <t xml:space="preserve">含大家房屋（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開頭）物件；無新增符合案（安和</t>
    </r>
    <r>
      <rPr>
        <sz val="10"/>
        <color rgb="FF000000"/>
        <rFont val="Arial"/>
        <family val="0"/>
        <charset val="1"/>
      </rPr>
      <t xml:space="preserve">11F </t>
    </r>
    <r>
      <rPr>
        <sz val="10"/>
        <color rgb="FF000000"/>
        <rFont val="Noto Sans CJK SC"/>
        <family val="2"/>
      </rPr>
      <t xml:space="preserve">實坪</t>
    </r>
    <r>
      <rPr>
        <sz val="10"/>
        <color rgb="FF000000"/>
        <rFont val="Arial"/>
        <family val="0"/>
        <charset val="1"/>
      </rPr>
      <t xml:space="preserve">192.04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</si>
  <si>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大家房屋（</t>
    </r>
    <r>
      <rPr>
        <sz val="10"/>
        <color rgb="FF000000"/>
        <rFont val="Arial"/>
        <family val="0"/>
        <charset val="1"/>
      </rPr>
      <t xml:space="preserve">great-home.com.tw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</si>
  <si>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列表需 </t>
    </r>
    <r>
      <rPr>
        <sz val="10"/>
        <color rgb="FF000000"/>
        <rFont val="Arial"/>
        <family val="0"/>
        <charset val="1"/>
      </rPr>
      <t xml:space="preserve">JS</t>
    </r>
    <r>
      <rPr>
        <sz val="10"/>
        <color rgb="FF000000"/>
        <rFont val="Noto Sans CJK SC"/>
        <family val="2"/>
      </rPr>
      <t xml:space="preserve">；物件頁可開</t>
    </r>
  </si>
  <si>
    <t xml:space="preserve">透過住商列表間接涵蓋</t>
  </si>
  <si>
    <r>
      <rPr>
        <sz val="10"/>
        <color rgb="FF000000"/>
        <rFont val="Noto Sans CJK SC"/>
        <family val="2"/>
      </rPr>
      <t xml:space="preserve">使用者提供網址 </t>
    </r>
    <r>
      <rPr>
        <sz val="10"/>
        <color rgb="FF000000"/>
        <rFont val="Arial"/>
        <family val="0"/>
        <charset val="1"/>
      </rPr>
      <t xml:space="preserve">great-home.com.tw </t>
    </r>
    <r>
      <rPr>
        <sz val="10"/>
        <color rgb="FF000000"/>
        <rFont val="Noto Sans CJK SC"/>
        <family val="2"/>
      </rPr>
      <t xml:space="preserve">為大家房屋</t>
    </r>
  </si>
  <si>
    <r>
      <rPr>
        <sz val="10"/>
        <color rgb="FF000000"/>
        <rFont val="Noto Sans CJK SC"/>
        <family val="2"/>
      </rPr>
      <t xml:space="preserve">安家地產（</t>
    </r>
    <r>
      <rPr>
        <sz val="10"/>
        <color rgb="FF000000"/>
        <rFont val="Arial"/>
        <family val="0"/>
        <charset val="1"/>
      </rPr>
      <t xml:space="preserve">mysweethome.com.tw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</si>
  <si>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列表需 </t>
    </r>
    <r>
      <rPr>
        <sz val="10"/>
        <color rgb="FF000000"/>
        <rFont val="Arial"/>
        <family val="0"/>
        <charset val="1"/>
      </rPr>
      <t xml:space="preserve">JS</t>
    </r>
    <r>
      <rPr>
        <sz val="10"/>
        <color rgb="FF000000"/>
        <rFont val="Noto Sans CJK SC"/>
        <family val="2"/>
      </rPr>
      <t xml:space="preserve">，篩選器無法以程式套用；台北出租 </t>
    </r>
    <r>
      <rPr>
        <sz val="10"/>
        <color rgb="FF000000"/>
        <rFont val="Arial"/>
        <family val="0"/>
        <charset val="1"/>
      </rPr>
      <t xml:space="preserve">791 </t>
    </r>
    <r>
      <rPr>
        <sz val="10"/>
        <color rgb="FF000000"/>
        <rFont val="Noto Sans CJK SC"/>
        <family val="2"/>
      </rPr>
      <t xml:space="preserve">筆（含住家）</t>
    </r>
  </si>
  <si>
    <r>
      <rPr>
        <sz val="10"/>
        <color rgb="FF000000"/>
        <rFont val="Arial"/>
        <family val="0"/>
        <charset val="1"/>
      </rPr>
      <t xml:space="preserve">791</t>
    </r>
    <r>
      <rPr>
        <sz val="10"/>
        <color rgb="FF000000"/>
        <rFont val="Noto Sans CJK SC"/>
        <family val="2"/>
      </rPr>
      <t xml:space="preserve">（未篩）</t>
    </r>
  </si>
  <si>
    <t xml:space="preserve">未完成篩選</t>
  </si>
  <si>
    <r>
      <rPr>
        <sz val="10"/>
        <color rgb="FF000000"/>
        <rFont val="Noto Sans CJK SC"/>
        <family val="2"/>
      </rPr>
      <t xml:space="preserve">使用者提供網址 </t>
    </r>
    <r>
      <rPr>
        <sz val="10"/>
        <color rgb="FF000000"/>
        <rFont val="Arial"/>
        <family val="0"/>
        <charset val="1"/>
      </rPr>
      <t xml:space="preserve">mysweethome.com.tw </t>
    </r>
    <r>
      <rPr>
        <sz val="10"/>
        <color rgb="FF000000"/>
        <rFont val="Noto Sans CJK SC"/>
        <family val="2"/>
      </rPr>
      <t xml:space="preserve">為安家地產；台灣房屋官網 </t>
    </r>
    <r>
      <rPr>
        <sz val="10"/>
        <color rgb="FF000000"/>
        <rFont val="Arial"/>
        <family val="0"/>
        <charset val="1"/>
      </rPr>
      <t xml:space="preserve">twhg.com.tw </t>
    </r>
    <r>
      <rPr>
        <sz val="10"/>
        <color rgb="FF000000"/>
        <rFont val="Noto Sans CJK SC"/>
        <family val="2"/>
      </rPr>
      <t xml:space="preserve">對本工具回 </t>
    </r>
    <r>
      <rPr>
        <sz val="10"/>
        <color rgb="FF000000"/>
        <rFont val="Arial"/>
        <family val="0"/>
        <charset val="1"/>
      </rPr>
      <t xml:space="preserve">403</t>
    </r>
  </si>
  <si>
    <t xml:space="preserve">尚揚國際（使用者資料夾）</t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</si>
  <si>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份物調表＋照片</t>
    </r>
  </si>
  <si>
    <t xml:space="preserve">7</t>
  </si>
  <si>
    <t xml:space="preserve">全部讀取</t>
  </si>
  <si>
    <r>
      <rPr>
        <sz val="10"/>
        <color rgb="FF000000"/>
        <rFont val="Noto Sans CJK SC"/>
        <family val="2"/>
      </rPr>
      <t xml:space="preserve">見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頁；照片已放入儀表板</t>
    </r>
  </si>
  <si>
    <r>
      <rPr>
        <sz val="10"/>
        <color rgb="FF000000"/>
        <rFont val="Noto Sans CJK SC"/>
        <family val="2"/>
      </rPr>
      <t xml:space="preserve">傑森愛華（使用者上傳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</si>
  <si>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2026/9/23 </t>
    </r>
    <r>
      <rPr>
        <sz val="10"/>
        <color rgb="FF000000"/>
        <rFont val="Noto Sans CJK SC"/>
        <family val="2"/>
      </rPr>
      <t xml:space="preserve">出租物件清單報表</t>
    </r>
  </si>
  <si>
    <t xml:space="preserve">13</t>
  </si>
  <si>
    <r>
      <rPr>
        <sz val="10"/>
        <color rgb="FF000000"/>
        <rFont val="Noto Sans CJK SC"/>
        <family val="2"/>
      </rPr>
      <t xml:space="preserve">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頁；並上網查大樓名稱與照片</t>
    </r>
  </si>
  <si>
    <r>
      <rPr>
        <sz val="10"/>
        <color rgb="FF000000"/>
        <rFont val="Noto Sans CJK SC"/>
        <family val="2"/>
      </rPr>
      <t xml:space="preserve">房仲提供 </t>
    </r>
    <r>
      <rPr>
        <sz val="10"/>
        <color rgb="FF000000"/>
        <rFont val="Arial"/>
        <family val="0"/>
        <charset val="1"/>
      </rPr>
      <t xml:space="preserve">591 21530071</t>
    </r>
  </si>
  <si>
    <t xml:space="preserve">1</t>
  </si>
  <si>
    <r>
      <rPr>
        <sz val="10"/>
        <color rgb="FF000000"/>
        <rFont val="Noto Sans CJK SC"/>
        <family val="2"/>
      </rPr>
      <t xml:space="preserve">已納入（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</si>
  <si>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使用坪數</t>
    </r>
    <r>
      <rPr>
        <sz val="10"/>
        <color rgb="FF000000"/>
        <rFont val="Arial"/>
        <family val="0"/>
        <charset val="1"/>
      </rPr>
      <t xml:space="preserve">282.06</t>
    </r>
    <r>
      <rPr>
        <sz val="10"/>
        <color rgb="FF000000"/>
        <rFont val="Noto Sans CJK SC"/>
        <family val="2"/>
      </rPr>
      <t xml:space="preserve">；物調表實用</t>
    </r>
    <r>
      <rPr>
        <sz val="10"/>
        <color rgb="FF000000"/>
        <rFont val="Arial"/>
        <family val="0"/>
        <charset val="1"/>
      </rPr>
      <t xml:space="preserve">255.38</t>
    </r>
    <r>
      <rPr>
        <sz val="10"/>
        <color rgb="FF000000"/>
        <rFont val="Noto Sans CJK SC"/>
        <family val="2"/>
      </rPr>
      <t xml:space="preserve">，以物調表為準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</si>
</sst>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"/>
    <numFmt numFmtId="168" formatCode="#,##0.00"/>
    <numFmt numFmtId="169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Noto Sans CJK SC"/>
      <family val="2"/>
    </font>
    <font>
      <u val="single"/>
      <sz val="10"/>
      <color rgb="FF0563C1"/>
      <name val="Arial"/>
      <family val="0"/>
      <charset val="1"/>
    </font>
    <font>
      <sz val="10"/>
      <color rgb="FF0000FF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sinyiglobal.com/rental/C904200" TargetMode="External"/><Relationship Id="rId2" Type="http://schemas.openxmlformats.org/officeDocument/2006/relationships/hyperlink" Target="https://www.sinyiglobal.com/rental/C904200" TargetMode="External"/><Relationship Id="rId3" Type="http://schemas.openxmlformats.org/officeDocument/2006/relationships/hyperlink" Target="https://www.google.com/maps/search/?api=1&amp;query=25.024307,121.569847" TargetMode="External"/><Relationship Id="rId4" Type="http://schemas.openxmlformats.org/officeDocument/2006/relationships/hyperlink" Target="https://business.591.com.tw/rent/21635155" TargetMode="External"/><Relationship Id="rId5" Type="http://schemas.openxmlformats.org/officeDocument/2006/relationships/hyperlink" Target="https://business.591.com.tw/rent/22017413" TargetMode="External"/><Relationship Id="rId6" Type="http://schemas.openxmlformats.org/officeDocument/2006/relationships/hyperlink" Target="https://www.google.com/maps/search/?api=1&amp;query=25.0533328,121.5334926" TargetMode="External"/><Relationship Id="rId7" Type="http://schemas.openxmlformats.org/officeDocument/2006/relationships/hyperlink" Target="https://www.sinyiglobal.com/rental/CZ05585" TargetMode="External"/><Relationship Id="rId8" Type="http://schemas.openxmlformats.org/officeDocument/2006/relationships/hyperlink" Target="https://www.sinyiglobal.com/rental/CZ05585" TargetMode="External"/><Relationship Id="rId9" Type="http://schemas.openxmlformats.org/officeDocument/2006/relationships/hyperlink" Target="https://www.google.com/maps/search/?api=1&amp;query=25.046292,121.540346" TargetMode="External"/><Relationship Id="rId10" Type="http://schemas.openxmlformats.org/officeDocument/2006/relationships/hyperlink" Target="https://business.591.com.tw/rent/22062249" TargetMode="External"/><Relationship Id="rId11" Type="http://schemas.openxmlformats.org/officeDocument/2006/relationships/hyperlink" Target="https://business.591.com.tw/rent/22062249" TargetMode="External"/><Relationship Id="rId12" Type="http://schemas.openxmlformats.org/officeDocument/2006/relationships/hyperlink" Target="https://www.google.com/maps/search/?api=1&amp;query=25.0508017,121.5633299" TargetMode="External"/><Relationship Id="rId13" Type="http://schemas.openxmlformats.org/officeDocument/2006/relationships/hyperlink" Target="https://business.591.com.tw/rent/21985150" TargetMode="External"/><Relationship Id="rId14" Type="http://schemas.openxmlformats.org/officeDocument/2006/relationships/hyperlink" Target="https://business.591.com.tw/rent/21985150" TargetMode="External"/><Relationship Id="rId15" Type="http://schemas.openxmlformats.org/officeDocument/2006/relationships/hyperlink" Target="https://www.google.com/maps/search/?api=1&amp;query=25.0588777,121.531561" TargetMode="External"/><Relationship Id="rId16" Type="http://schemas.openxmlformats.org/officeDocument/2006/relationships/hyperlink" Target="https://www.sinyiglobal.com/rental/CZ05587" TargetMode="External"/><Relationship Id="rId17" Type="http://schemas.openxmlformats.org/officeDocument/2006/relationships/hyperlink" Target="https://www.sinyiglobal.com/rental/CZ05587" TargetMode="External"/><Relationship Id="rId18" Type="http://schemas.openxmlformats.org/officeDocument/2006/relationships/hyperlink" Target="https://www.google.com/maps/search/?api=1&amp;query=25.046277,121.540437" TargetMode="External"/><Relationship Id="rId19" Type="http://schemas.openxmlformats.org/officeDocument/2006/relationships/hyperlink" Target="https://business.591.com.tw/rent/22061922" TargetMode="External"/><Relationship Id="rId20" Type="http://schemas.openxmlformats.org/officeDocument/2006/relationships/hyperlink" Target="https://business.591.com.tw/rent/22061922" TargetMode="External"/><Relationship Id="rId21" Type="http://schemas.openxmlformats.org/officeDocument/2006/relationships/hyperlink" Target="https://www.google.com/maps/search/?api=1&amp;query=25.0545594,121.5342379" TargetMode="External"/><Relationship Id="rId22" Type="http://schemas.openxmlformats.org/officeDocument/2006/relationships/hyperlink" Target="https://business.591.com.tw/rent/22061968" TargetMode="External"/><Relationship Id="rId23" Type="http://schemas.openxmlformats.org/officeDocument/2006/relationships/hyperlink" Target="https://business.591.com.tw/rent/22061968" TargetMode="External"/><Relationship Id="rId24" Type="http://schemas.openxmlformats.org/officeDocument/2006/relationships/hyperlink" Target="https://www.google.com/maps/search/?api=1&amp;query=25.0510453,121.5640687" TargetMode="External"/><Relationship Id="rId25" Type="http://schemas.openxmlformats.org/officeDocument/2006/relationships/hyperlink" Target="https://business.591.com.tw/rent/21856432" TargetMode="External"/><Relationship Id="rId26" Type="http://schemas.openxmlformats.org/officeDocument/2006/relationships/hyperlink" Target="https://business.591.com.tw/rent/21711753" TargetMode="External"/><Relationship Id="rId27" Type="http://schemas.openxmlformats.org/officeDocument/2006/relationships/hyperlink" Target="https://www.google.com/maps/search/?api=1&amp;query=25.0587943,121.5464862" TargetMode="External"/><Relationship Id="rId28" Type="http://schemas.openxmlformats.org/officeDocument/2006/relationships/hyperlink" Target="https://business.591.com.tw/rent/21555597" TargetMode="External"/><Relationship Id="rId29" Type="http://schemas.openxmlformats.org/officeDocument/2006/relationships/hyperlink" Target="https://business.591.com.tw/rent/20941554" TargetMode="External"/><Relationship Id="rId30" Type="http://schemas.openxmlformats.org/officeDocument/2006/relationships/hyperlink" Target="https://www.google.com/maps/search/?api=1&amp;query=25.0572705,121.5327198" TargetMode="External"/><Relationship Id="rId31" Type="http://schemas.openxmlformats.org/officeDocument/2006/relationships/hyperlink" Target="https://business.591.com.tw/rent/11580037" TargetMode="External"/><Relationship Id="rId32" Type="http://schemas.openxmlformats.org/officeDocument/2006/relationships/hyperlink" Target="https://business.591.com.tw/rent/11580037" TargetMode="External"/><Relationship Id="rId33" Type="http://schemas.openxmlformats.org/officeDocument/2006/relationships/hyperlink" Target="https://www.google.com/maps/search/?api=1&amp;query=25.0641548,121.5204928" TargetMode="External"/><Relationship Id="rId34" Type="http://schemas.openxmlformats.org/officeDocument/2006/relationships/hyperlink" Target="https://business.591.com.tw/rent/22062144" TargetMode="External"/><Relationship Id="rId35" Type="http://schemas.openxmlformats.org/officeDocument/2006/relationships/hyperlink" Target="https://business.591.com.tw/rent/22062144" TargetMode="External"/><Relationship Id="rId36" Type="http://schemas.openxmlformats.org/officeDocument/2006/relationships/hyperlink" Target="https://www.google.com/maps/search/?api=1&amp;query=25.0277004,121.5485169" TargetMode="External"/><Relationship Id="rId37" Type="http://schemas.openxmlformats.org/officeDocument/2006/relationships/hyperlink" Target="https://business.591.com.tw/rent/17979949" TargetMode="External"/><Relationship Id="rId38" Type="http://schemas.openxmlformats.org/officeDocument/2006/relationships/hyperlink" Target="https://business.591.com.tw/rent/17979949" TargetMode="External"/><Relationship Id="rId39" Type="http://schemas.openxmlformats.org/officeDocument/2006/relationships/hyperlink" Target="https://www.google.com/maps/search/?api=1&amp;query=25.0529935,121.5528903" TargetMode="External"/><Relationship Id="rId40" Type="http://schemas.openxmlformats.org/officeDocument/2006/relationships/hyperlink" Target="https://business.591.com.tw/rent/21423260" TargetMode="External"/><Relationship Id="rId41" Type="http://schemas.openxmlformats.org/officeDocument/2006/relationships/hyperlink" Target="https://business.591.com.tw/rent/21423260" TargetMode="External"/><Relationship Id="rId42" Type="http://schemas.openxmlformats.org/officeDocument/2006/relationships/hyperlink" Target="https://www.google.com/maps/search/?api=1&amp;query=25.0507974,121.5430008" TargetMode="External"/><Relationship Id="rId43" Type="http://schemas.openxmlformats.org/officeDocument/2006/relationships/hyperlink" Target="https://business.591.com.tw/rent/20903777" TargetMode="External"/><Relationship Id="rId44" Type="http://schemas.openxmlformats.org/officeDocument/2006/relationships/hyperlink" Target="https://business.591.com.tw/rent/20903777" TargetMode="External"/><Relationship Id="rId45" Type="http://schemas.openxmlformats.org/officeDocument/2006/relationships/hyperlink" Target="https://www.google.com/maps/search/?api=1&amp;query=25.0512031,121.5510999" TargetMode="External"/><Relationship Id="rId46" Type="http://schemas.openxmlformats.org/officeDocument/2006/relationships/hyperlink" Target="https://business.591.com.tw/rent/22162790" TargetMode="External"/><Relationship Id="rId47" Type="http://schemas.openxmlformats.org/officeDocument/2006/relationships/hyperlink" Target="https://business.591.com.tw/rent/22162790" TargetMode="External"/><Relationship Id="rId48" Type="http://schemas.openxmlformats.org/officeDocument/2006/relationships/hyperlink" Target="https://www.google.com/maps/search/?api=1&amp;query=25.0410109,121.5602062" TargetMode="External"/><Relationship Id="rId49" Type="http://schemas.openxmlformats.org/officeDocument/2006/relationships/hyperlink" Target="https://kevinashowtimes-web.github.io/showtime-office-dashboard/JE_list_J01-J18.pdf" TargetMode="External"/><Relationship Id="rId50" Type="http://schemas.openxmlformats.org/officeDocument/2006/relationships/hyperlink" Target="https://business.591.com.tw/rent/22061936" TargetMode="External"/><Relationship Id="rId51" Type="http://schemas.openxmlformats.org/officeDocument/2006/relationships/hyperlink" Target="https://www.google.com/maps/search/?api=1&amp;query=25.044961,121.54338" TargetMode="External"/><Relationship Id="rId52" Type="http://schemas.openxmlformats.org/officeDocument/2006/relationships/hyperlink" Target="https://business.591.com.tw/rent/22129776" TargetMode="External"/><Relationship Id="rId53" Type="http://schemas.openxmlformats.org/officeDocument/2006/relationships/hyperlink" Target="https://business.591.com.tw/rent/22129776" TargetMode="External"/><Relationship Id="rId54" Type="http://schemas.openxmlformats.org/officeDocument/2006/relationships/hyperlink" Target="https://www.google.com/maps/search/?api=1&amp;query=25.0616853,121.5451777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sinyiglobal.com/rental/C905199" TargetMode="External"/><Relationship Id="rId2" Type="http://schemas.openxmlformats.org/officeDocument/2006/relationships/hyperlink" Target="https://www.sinyiglobal.com/rental/C905199" TargetMode="External"/><Relationship Id="rId3" Type="http://schemas.openxmlformats.org/officeDocument/2006/relationships/hyperlink" Target="https://www.google.com/maps/search/?api=1&amp;query=25.055616,121.536479" TargetMode="External"/><Relationship Id="rId4" Type="http://schemas.openxmlformats.org/officeDocument/2006/relationships/hyperlink" Target="https://www.sinyiglobal.com/rental/C904200" TargetMode="External"/><Relationship Id="rId5" Type="http://schemas.openxmlformats.org/officeDocument/2006/relationships/hyperlink" Target="https://www.sinyiglobal.com/rental/C904200" TargetMode="External"/><Relationship Id="rId6" Type="http://schemas.openxmlformats.org/officeDocument/2006/relationships/hyperlink" Target="https://www.google.com/maps/search/?api=1&amp;query=25.024307,121.569847" TargetMode="External"/><Relationship Id="rId7" Type="http://schemas.openxmlformats.org/officeDocument/2006/relationships/hyperlink" Target="https://buy.housefun.com.tw/buy/building/9278" TargetMode="External"/><Relationship Id="rId8" Type="http://schemas.openxmlformats.org/officeDocument/2006/relationships/hyperlink" Target="https://buy.housefun.com.tw/buy/building/9278" TargetMode="External"/><Relationship Id="rId9" Type="http://schemas.openxmlformats.org/officeDocument/2006/relationships/hyperlink" Target="https://www.google.com/maps/search/?api=1&amp;query=25.0464096,121.5494252" TargetMode="External"/><Relationship Id="rId10" Type="http://schemas.openxmlformats.org/officeDocument/2006/relationships/hyperlink" Target="https://business.591.com.tw/rent/21779044" TargetMode="External"/><Relationship Id="rId11" Type="http://schemas.openxmlformats.org/officeDocument/2006/relationships/hyperlink" Target="https://business.591.com.tw/rent/21779044" TargetMode="External"/><Relationship Id="rId12" Type="http://schemas.openxmlformats.org/officeDocument/2006/relationships/hyperlink" Target="https://www.google.com/maps/search/?api=1&amp;query=25.0337995,121.5075571" TargetMode="External"/><Relationship Id="rId13" Type="http://schemas.openxmlformats.org/officeDocument/2006/relationships/hyperlink" Target="https://www.sinyiglobal.com/rental/C904707" TargetMode="External"/><Relationship Id="rId14" Type="http://schemas.openxmlformats.org/officeDocument/2006/relationships/hyperlink" Target="https://www.sinyiglobal.com/rental/C904707" TargetMode="External"/><Relationship Id="rId15" Type="http://schemas.openxmlformats.org/officeDocument/2006/relationships/hyperlink" Target="https://www.google.com/maps/search/?api=1&amp;query=25.024307,121.569847" TargetMode="External"/><Relationship Id="rId16" Type="http://schemas.openxmlformats.org/officeDocument/2006/relationships/hyperlink" Target="https://business.591.com.tw/rent/22010357" TargetMode="External"/><Relationship Id="rId17" Type="http://schemas.openxmlformats.org/officeDocument/2006/relationships/hyperlink" Target="https://business.591.com.tw/rent/22010357" TargetMode="External"/><Relationship Id="rId18" Type="http://schemas.openxmlformats.org/officeDocument/2006/relationships/hyperlink" Target="https://www.google.com/maps/search/?api=1&amp;query=25.0324406,121.5169915" TargetMode="External"/><Relationship Id="rId19" Type="http://schemas.openxmlformats.org/officeDocument/2006/relationships/hyperlink" Target="https://kevinashowtimes-web.github.io/showtime-office-dashboard/JE2_list_20260923.pdf" TargetMode="External"/><Relationship Id="rId20" Type="http://schemas.openxmlformats.org/officeDocument/2006/relationships/hyperlink" Target="https://kevinashowtimes-web.github.io/showtime-office-dashboard/JE2_list_20260923.pdf" TargetMode="External"/><Relationship Id="rId21" Type="http://schemas.openxmlformats.org/officeDocument/2006/relationships/hyperlink" Target="https://www.google.com/maps/search/?api=1&amp;query=25.024307,121.569847" TargetMode="External"/><Relationship Id="rId22" Type="http://schemas.openxmlformats.org/officeDocument/2006/relationships/hyperlink" Target="https://business.591.com.tw/rent/21635155" TargetMode="External"/><Relationship Id="rId23" Type="http://schemas.openxmlformats.org/officeDocument/2006/relationships/hyperlink" Target="https://business.591.com.tw/rent/21635155" TargetMode="External"/><Relationship Id="rId24" Type="http://schemas.openxmlformats.org/officeDocument/2006/relationships/hyperlink" Target="https://www.google.com/maps/search/?api=1&amp;query=25.0533328,121.5334926" TargetMode="External"/><Relationship Id="rId25" Type="http://schemas.openxmlformats.org/officeDocument/2006/relationships/hyperlink" Target="https://www.sinyiglobal.com/rental/CZ05585" TargetMode="External"/><Relationship Id="rId26" Type="http://schemas.openxmlformats.org/officeDocument/2006/relationships/hyperlink" Target="https://www.sinyiglobal.com/rental/CZ05585" TargetMode="External"/><Relationship Id="rId27" Type="http://schemas.openxmlformats.org/officeDocument/2006/relationships/hyperlink" Target="https://www.google.com/maps/search/?api=1&amp;query=25.046292,121.540346" TargetMode="External"/><Relationship Id="rId28" Type="http://schemas.openxmlformats.org/officeDocument/2006/relationships/hyperlink" Target="https://business.591.com.tw/rent/22062249" TargetMode="External"/><Relationship Id="rId29" Type="http://schemas.openxmlformats.org/officeDocument/2006/relationships/hyperlink" Target="https://business.591.com.tw/rent/22062249" TargetMode="External"/><Relationship Id="rId30" Type="http://schemas.openxmlformats.org/officeDocument/2006/relationships/hyperlink" Target="https://www.google.com/maps/search/?api=1&amp;query=25.0508017,121.5633299" TargetMode="External"/><Relationship Id="rId31" Type="http://schemas.openxmlformats.org/officeDocument/2006/relationships/hyperlink" Target="https://business.591.com.tw/rent/21788157" TargetMode="External"/><Relationship Id="rId32" Type="http://schemas.openxmlformats.org/officeDocument/2006/relationships/hyperlink" Target="https://business.591.com.tw/rent/21788157" TargetMode="External"/><Relationship Id="rId33" Type="http://schemas.openxmlformats.org/officeDocument/2006/relationships/hyperlink" Target="https://www.google.com/maps/search/?api=1&amp;query=25.0464096,121.5494252" TargetMode="External"/><Relationship Id="rId34" Type="http://schemas.openxmlformats.org/officeDocument/2006/relationships/hyperlink" Target="https://kevinashowtimes-web.github.io/showtime-office-dashboard/JE2_list_20260923.pdf" TargetMode="External"/><Relationship Id="rId35" Type="http://schemas.openxmlformats.org/officeDocument/2006/relationships/hyperlink" Target="https://kevinashowtimes-web.github.io/showtime-office-dashboard/JE2_list_20260923.pdf" TargetMode="External"/><Relationship Id="rId36" Type="http://schemas.openxmlformats.org/officeDocument/2006/relationships/hyperlink" Target="https://www.google.com/maps/search/?api=1&amp;query=25.0413459,121.5545064" TargetMode="External"/><Relationship Id="rId37" Type="http://schemas.openxmlformats.org/officeDocument/2006/relationships/hyperlink" Target="https://business.591.com.tw/rent/19506910" TargetMode="External"/><Relationship Id="rId38" Type="http://schemas.openxmlformats.org/officeDocument/2006/relationships/hyperlink" Target="https://business.591.com.tw/rent/19506910" TargetMode="External"/><Relationship Id="rId39" Type="http://schemas.openxmlformats.org/officeDocument/2006/relationships/hyperlink" Target="https://business.591.com.tw/rent/22010409" TargetMode="External"/><Relationship Id="rId40" Type="http://schemas.openxmlformats.org/officeDocument/2006/relationships/hyperlink" Target="https://business.591.com.tw/rent/22010409" TargetMode="External"/><Relationship Id="rId41" Type="http://schemas.openxmlformats.org/officeDocument/2006/relationships/hyperlink" Target="https://www.google.com/maps/search/?api=1&amp;query=25.063996,121.5208493" TargetMode="External"/><Relationship Id="rId42" Type="http://schemas.openxmlformats.org/officeDocument/2006/relationships/hyperlink" Target="https://business.591.com.tw/rent/20214332" TargetMode="External"/><Relationship Id="rId43" Type="http://schemas.openxmlformats.org/officeDocument/2006/relationships/hyperlink" Target="https://business.591.com.tw/rent/20214332" TargetMode="External"/><Relationship Id="rId44" Type="http://schemas.openxmlformats.org/officeDocument/2006/relationships/hyperlink" Target="https://www.google.com/maps/search/?api=1&amp;query=25.0452963,121.5244289" TargetMode="External"/><Relationship Id="rId45" Type="http://schemas.openxmlformats.org/officeDocument/2006/relationships/hyperlink" Target="https://business.591.com.tw/rent/21985150" TargetMode="External"/><Relationship Id="rId46" Type="http://schemas.openxmlformats.org/officeDocument/2006/relationships/hyperlink" Target="https://business.591.com.tw/rent/21985150" TargetMode="External"/><Relationship Id="rId47" Type="http://schemas.openxmlformats.org/officeDocument/2006/relationships/hyperlink" Target="https://www.google.com/maps/search/?api=1&amp;query=25.0588777,121.531561" TargetMode="External"/><Relationship Id="rId48" Type="http://schemas.openxmlformats.org/officeDocument/2006/relationships/hyperlink" Target="https://www.sinyiglobal.com/rental/CZ05587" TargetMode="External"/><Relationship Id="rId49" Type="http://schemas.openxmlformats.org/officeDocument/2006/relationships/hyperlink" Target="https://www.sinyiglobal.com/rental/CZ05587" TargetMode="External"/><Relationship Id="rId50" Type="http://schemas.openxmlformats.org/officeDocument/2006/relationships/hyperlink" Target="https://www.google.com/maps/search/?api=1&amp;query=25.046277,121.540437" TargetMode="External"/><Relationship Id="rId51" Type="http://schemas.openxmlformats.org/officeDocument/2006/relationships/hyperlink" Target="https://business.591.com.tw/rent/22061922" TargetMode="External"/><Relationship Id="rId52" Type="http://schemas.openxmlformats.org/officeDocument/2006/relationships/hyperlink" Target="https://business.591.com.tw/rent/22061922" TargetMode="External"/><Relationship Id="rId53" Type="http://schemas.openxmlformats.org/officeDocument/2006/relationships/hyperlink" Target="https://www.google.com/maps/search/?api=1&amp;query=25.0545594,121.5342379" TargetMode="External"/><Relationship Id="rId54" Type="http://schemas.openxmlformats.org/officeDocument/2006/relationships/hyperlink" Target="https://business.591.com.tw/rent/22061968" TargetMode="External"/><Relationship Id="rId55" Type="http://schemas.openxmlformats.org/officeDocument/2006/relationships/hyperlink" Target="https://business.591.com.tw/rent/22061968" TargetMode="External"/><Relationship Id="rId56" Type="http://schemas.openxmlformats.org/officeDocument/2006/relationships/hyperlink" Target="https://www.google.com/maps/search/?api=1&amp;query=25.0510453,121.5640687" TargetMode="External"/><Relationship Id="rId57" Type="http://schemas.openxmlformats.org/officeDocument/2006/relationships/hyperlink" Target="https://www.sinyiglobal.com/rental/C905082" TargetMode="External"/><Relationship Id="rId58" Type="http://schemas.openxmlformats.org/officeDocument/2006/relationships/hyperlink" Target="https://www.sinyiglobal.com/rental/C905082" TargetMode="External"/><Relationship Id="rId59" Type="http://schemas.openxmlformats.org/officeDocument/2006/relationships/hyperlink" Target="https://www.google.com/maps/search/?api=1&amp;query=25.024307,121.569847" TargetMode="External"/><Relationship Id="rId60" Type="http://schemas.openxmlformats.org/officeDocument/2006/relationships/hyperlink" Target="https://www.sinyiglobal.com/rental/C904199" TargetMode="External"/><Relationship Id="rId61" Type="http://schemas.openxmlformats.org/officeDocument/2006/relationships/hyperlink" Target="https://www.sinyiglobal.com/rental/C904199" TargetMode="External"/><Relationship Id="rId62" Type="http://schemas.openxmlformats.org/officeDocument/2006/relationships/hyperlink" Target="https://www.google.com/maps/search/?api=1&amp;query=25.024307,121.569847" TargetMode="External"/><Relationship Id="rId63" Type="http://schemas.openxmlformats.org/officeDocument/2006/relationships/hyperlink" Target="https://www.sinyiglobal.com/rental/C348029" TargetMode="External"/><Relationship Id="rId64" Type="http://schemas.openxmlformats.org/officeDocument/2006/relationships/hyperlink" Target="https://www.sinyiglobal.com/rental/C348029" TargetMode="External"/><Relationship Id="rId65" Type="http://schemas.openxmlformats.org/officeDocument/2006/relationships/hyperlink" Target="https://www.google.com/maps/search/?api=1&amp;query=25.0436965,121.5455521" TargetMode="External"/><Relationship Id="rId66" Type="http://schemas.openxmlformats.org/officeDocument/2006/relationships/hyperlink" Target="https://business.591.com.tw/rent/21672889" TargetMode="External"/><Relationship Id="rId67" Type="http://schemas.openxmlformats.org/officeDocument/2006/relationships/hyperlink" Target="https://business.591.com.tw/rent/21672889" TargetMode="External"/><Relationship Id="rId68" Type="http://schemas.openxmlformats.org/officeDocument/2006/relationships/hyperlink" Target="https://www.google.com/maps/search/?api=1&amp;query=&#21488;&#21271;&#24066;&#20013;&#23665;&#21312;&#20013;&#23665;&#21271;&#36335;&#19977;&#27573;22&#34399;" TargetMode="External"/><Relationship Id="rId69" Type="http://schemas.openxmlformats.org/officeDocument/2006/relationships/hyperlink" Target="https://www.sinyiglobal.com/rental/C904442" TargetMode="External"/><Relationship Id="rId70" Type="http://schemas.openxmlformats.org/officeDocument/2006/relationships/hyperlink" Target="https://www.sinyiglobal.com/rental/C904442" TargetMode="External"/><Relationship Id="rId71" Type="http://schemas.openxmlformats.org/officeDocument/2006/relationships/hyperlink" Target="https://www.google.com/maps/search/?api=1&amp;query=25.024307,121.569847" TargetMode="External"/><Relationship Id="rId72" Type="http://schemas.openxmlformats.org/officeDocument/2006/relationships/hyperlink" Target="https://www.sinyiglobal.com/rental/C328671" TargetMode="External"/><Relationship Id="rId73" Type="http://schemas.openxmlformats.org/officeDocument/2006/relationships/hyperlink" Target="https://www.sinyiglobal.com/rental/C328671" TargetMode="External"/><Relationship Id="rId74" Type="http://schemas.openxmlformats.org/officeDocument/2006/relationships/hyperlink" Target="https://www.google.com/maps/search/?api=1&amp;query=25.0465695,121.5579704" TargetMode="External"/><Relationship Id="rId75" Type="http://schemas.openxmlformats.org/officeDocument/2006/relationships/hyperlink" Target="https://business.591.com.tw/rent/21856432" TargetMode="External"/><Relationship Id="rId76" Type="http://schemas.openxmlformats.org/officeDocument/2006/relationships/hyperlink" Target="https://business.591.com.tw/rent/21856432" TargetMode="External"/><Relationship Id="rId77" Type="http://schemas.openxmlformats.org/officeDocument/2006/relationships/hyperlink" Target="https://www.google.com/maps/search/?api=1&amp;query=25.0587943,121.5464862" TargetMode="External"/><Relationship Id="rId78" Type="http://schemas.openxmlformats.org/officeDocument/2006/relationships/hyperlink" Target="https://www.sinyiglobal.com/rental/C360351" TargetMode="External"/><Relationship Id="rId79" Type="http://schemas.openxmlformats.org/officeDocument/2006/relationships/hyperlink" Target="https://www.sinyiglobal.com/rental/C360351" TargetMode="External"/><Relationship Id="rId80" Type="http://schemas.openxmlformats.org/officeDocument/2006/relationships/hyperlink" Target="https://www.google.com/maps/search/?api=1&amp;query=25.039575,121.57748" TargetMode="External"/><Relationship Id="rId81" Type="http://schemas.openxmlformats.org/officeDocument/2006/relationships/hyperlink" Target="https://business.591.com.tw/rent/21594352" TargetMode="External"/><Relationship Id="rId82" Type="http://schemas.openxmlformats.org/officeDocument/2006/relationships/hyperlink" Target="https://business.591.com.tw/rent/21594352" TargetMode="External"/><Relationship Id="rId83" Type="http://schemas.openxmlformats.org/officeDocument/2006/relationships/hyperlink" Target="https://www.google.com/maps/search/?api=1&amp;query=25.0382915,121.5477716" TargetMode="External"/><Relationship Id="rId84" Type="http://schemas.openxmlformats.org/officeDocument/2006/relationships/hyperlink" Target="https://www.sinyiglobal.com/rental/CZ05326" TargetMode="External"/><Relationship Id="rId85" Type="http://schemas.openxmlformats.org/officeDocument/2006/relationships/hyperlink" Target="https://www.sinyiglobal.com/rental/CZ05326" TargetMode="External"/><Relationship Id="rId86" Type="http://schemas.openxmlformats.org/officeDocument/2006/relationships/hyperlink" Target="https://www.google.com/maps/search/?api=1&amp;query=25.048055,121.551782" TargetMode="External"/><Relationship Id="rId87" Type="http://schemas.openxmlformats.org/officeDocument/2006/relationships/hyperlink" Target="https://business.591.com.tw/rent/21555597" TargetMode="External"/><Relationship Id="rId88" Type="http://schemas.openxmlformats.org/officeDocument/2006/relationships/hyperlink" Target="https://business.591.com.tw/rent/21555597" TargetMode="External"/><Relationship Id="rId89" Type="http://schemas.openxmlformats.org/officeDocument/2006/relationships/hyperlink" Target="https://www.google.com/maps/search/?api=1&amp;query=25.0572705,121.5327198" TargetMode="External"/><Relationship Id="rId90" Type="http://schemas.openxmlformats.org/officeDocument/2006/relationships/hyperlink" Target="https://www.hbhousing.com.tw/detail/?sn=WR81767" TargetMode="External"/><Relationship Id="rId91" Type="http://schemas.openxmlformats.org/officeDocument/2006/relationships/hyperlink" Target="https://www.hbhousing.com.tw/detail/?sn=WR81767" TargetMode="External"/><Relationship Id="rId92" Type="http://schemas.openxmlformats.org/officeDocument/2006/relationships/hyperlink" Target="https://buy.housefun.com.tw/buy/building/12401" TargetMode="External"/><Relationship Id="rId93" Type="http://schemas.openxmlformats.org/officeDocument/2006/relationships/hyperlink" Target="https://buy.housefun.com.tw/buy/building/12401" TargetMode="External"/><Relationship Id="rId94" Type="http://schemas.openxmlformats.org/officeDocument/2006/relationships/hyperlink" Target="https://www.google.com/maps/search/?api=1&amp;query=25.0517198,121.5601141" TargetMode="External"/><Relationship Id="rId95" Type="http://schemas.openxmlformats.org/officeDocument/2006/relationships/hyperlink" Target="https://business.591.com.tw/rent/22034644" TargetMode="External"/><Relationship Id="rId96" Type="http://schemas.openxmlformats.org/officeDocument/2006/relationships/hyperlink" Target="https://business.591.com.tw/rent/22034644" TargetMode="External"/><Relationship Id="rId97" Type="http://schemas.openxmlformats.org/officeDocument/2006/relationships/hyperlink" Target="https://www.google.com/maps/search/?api=1&amp;query=&#21488;&#21271;&#24066;&#22823;&#23433;&#21312;&#23433;&#21644;&#36335;&#19968;&#27573;29&#34399;" TargetMode="External"/><Relationship Id="rId98" Type="http://schemas.openxmlformats.org/officeDocument/2006/relationships/hyperlink" Target="https://www.sinyiglobal.com/rental/CZ05572" TargetMode="External"/><Relationship Id="rId99" Type="http://schemas.openxmlformats.org/officeDocument/2006/relationships/hyperlink" Target="https://www.sinyiglobal.com/rental/CZ05572" TargetMode="External"/><Relationship Id="rId100" Type="http://schemas.openxmlformats.org/officeDocument/2006/relationships/hyperlink" Target="https://www.google.com/maps/search/?api=1&amp;query=25.030026,121.549429" TargetMode="External"/><Relationship Id="rId101" Type="http://schemas.openxmlformats.org/officeDocument/2006/relationships/hyperlink" Target="https://kevinashowtimes-web.github.io/showtime-office-dashboard/JE_J15_zhongding_22F.pdf" TargetMode="External"/><Relationship Id="rId102" Type="http://schemas.openxmlformats.org/officeDocument/2006/relationships/hyperlink" Target="https://kevinashowtimes-web.github.io/showtime-office-dashboard/JE_J15_zhongding_22F.pdf" TargetMode="External"/><Relationship Id="rId103" Type="http://schemas.openxmlformats.org/officeDocument/2006/relationships/hyperlink" Target="https://www.google.com/maps/search/?api=1&amp;query=25.030026,121.549429" TargetMode="External"/><Relationship Id="rId104" Type="http://schemas.openxmlformats.org/officeDocument/2006/relationships/hyperlink" Target="https://kevinashowtimes-web.github.io/showtime-office-dashboard/JE_J12_zhongding_2F.pdf" TargetMode="External"/><Relationship Id="rId105" Type="http://schemas.openxmlformats.org/officeDocument/2006/relationships/hyperlink" Target="https://kevinashowtimes-web.github.io/showtime-office-dashboard/JE_J12_zhongding_2F.pdf" TargetMode="External"/><Relationship Id="rId106" Type="http://schemas.openxmlformats.org/officeDocument/2006/relationships/hyperlink" Target="https://www.google.com/maps/search/?api=1&amp;query=25.030026,121.549429" TargetMode="External"/><Relationship Id="rId107" Type="http://schemas.openxmlformats.org/officeDocument/2006/relationships/hyperlink" Target="https://www.sinyiglobal.com/rental/CZ03701" TargetMode="External"/><Relationship Id="rId108" Type="http://schemas.openxmlformats.org/officeDocument/2006/relationships/hyperlink" Target="https://www.sinyiglobal.com/rental/CZ03701" TargetMode="External"/><Relationship Id="rId109" Type="http://schemas.openxmlformats.org/officeDocument/2006/relationships/hyperlink" Target="https://www.google.com/maps/search/?api=1&amp;query=25.081444,121.551799" TargetMode="External"/><Relationship Id="rId110" Type="http://schemas.openxmlformats.org/officeDocument/2006/relationships/hyperlink" Target="https://rent.yungching.com.tw/region/house/2373308?pc=0916263633" TargetMode="External"/><Relationship Id="rId111" Type="http://schemas.openxmlformats.org/officeDocument/2006/relationships/hyperlink" Target="https://rent.yungching.com.tw/region/house/2373308?pc=0916263633" TargetMode="External"/><Relationship Id="rId112" Type="http://schemas.openxmlformats.org/officeDocument/2006/relationships/hyperlink" Target="https://www.google.com/maps/search/?api=1&amp;query=25.040833,121.578638" TargetMode="External"/><Relationship Id="rId113" Type="http://schemas.openxmlformats.org/officeDocument/2006/relationships/hyperlink" Target="https://buy.housefun.com.tw/buy/building/28758" TargetMode="External"/><Relationship Id="rId114" Type="http://schemas.openxmlformats.org/officeDocument/2006/relationships/hyperlink" Target="https://buy.housefun.com.tw/buy/building/28758" TargetMode="External"/><Relationship Id="rId115" Type="http://schemas.openxmlformats.org/officeDocument/2006/relationships/hyperlink" Target="https://www.google.com/maps/search/?api=1&amp;query=25.0513632,121.5480628" TargetMode="External"/><Relationship Id="rId116" Type="http://schemas.openxmlformats.org/officeDocument/2006/relationships/hyperlink" Target="https://kevinashowtimes-web.github.io/showtime-office-dashboard/JE_J07_honglin_10F-2.pdf" TargetMode="External"/><Relationship Id="rId117" Type="http://schemas.openxmlformats.org/officeDocument/2006/relationships/hyperlink" Target="https://kevinashowtimes-web.github.io/showtime-office-dashboard/JE_J07_honglin_10F-2.pdf" TargetMode="External"/><Relationship Id="rId118" Type="http://schemas.openxmlformats.org/officeDocument/2006/relationships/hyperlink" Target="https://www.google.com/maps/search/?api=1&amp;query=25.0385627,121.5451228" TargetMode="External"/><Relationship Id="rId119" Type="http://schemas.openxmlformats.org/officeDocument/2006/relationships/hyperlink" Target="https://kevinashowtimes-web.github.io/showtime-office-dashboard/JE_J16_zhongying_bade_2F.pdf" TargetMode="External"/><Relationship Id="rId120" Type="http://schemas.openxmlformats.org/officeDocument/2006/relationships/hyperlink" Target="https://kevinashowtimes-web.github.io/showtime-office-dashboard/JE_J16_zhongying_bade_2F.pdf" TargetMode="External"/><Relationship Id="rId121" Type="http://schemas.openxmlformats.org/officeDocument/2006/relationships/hyperlink" Target="https://www.google.com/maps/search/?api=1&amp;query=25.0466545,121.5409442" TargetMode="External"/><Relationship Id="rId122" Type="http://schemas.openxmlformats.org/officeDocument/2006/relationships/hyperlink" Target="https://www.sinyiglobal.com/rental/C355686" TargetMode="External"/><Relationship Id="rId123" Type="http://schemas.openxmlformats.org/officeDocument/2006/relationships/hyperlink" Target="https://www.sinyiglobal.com/rental/C355686" TargetMode="External"/><Relationship Id="rId124" Type="http://schemas.openxmlformats.org/officeDocument/2006/relationships/hyperlink" Target="https://www.google.com/maps/search/?api=1&amp;query=25.050386,121.559536" TargetMode="External"/><Relationship Id="rId125" Type="http://schemas.openxmlformats.org/officeDocument/2006/relationships/hyperlink" Target="https://www.sinyiglobal.com/rental/C346398" TargetMode="External"/><Relationship Id="rId126" Type="http://schemas.openxmlformats.org/officeDocument/2006/relationships/hyperlink" Target="https://www.sinyiglobal.com/rental/C346398" TargetMode="External"/><Relationship Id="rId127" Type="http://schemas.openxmlformats.org/officeDocument/2006/relationships/hyperlink" Target="https://www.google.com/maps/search/?api=1&amp;query=25.082506,121.554582" TargetMode="External"/><Relationship Id="rId128" Type="http://schemas.openxmlformats.org/officeDocument/2006/relationships/hyperlink" Target="https://www.houseweb.com.tw/house/2611327" TargetMode="External"/><Relationship Id="rId129" Type="http://schemas.openxmlformats.org/officeDocument/2006/relationships/hyperlink" Target="https://www.houseweb.com.tw/house/2611327" TargetMode="External"/><Relationship Id="rId130" Type="http://schemas.openxmlformats.org/officeDocument/2006/relationships/hyperlink" Target="https://www.houseweb.com.tw/house/2653863" TargetMode="External"/><Relationship Id="rId131" Type="http://schemas.openxmlformats.org/officeDocument/2006/relationships/hyperlink" Target="https://www.houseweb.com.tw/house/2653863" TargetMode="External"/><Relationship Id="rId132" Type="http://schemas.openxmlformats.org/officeDocument/2006/relationships/hyperlink" Target="https://business.591.com.tw/rent/21803100" TargetMode="External"/><Relationship Id="rId133" Type="http://schemas.openxmlformats.org/officeDocument/2006/relationships/hyperlink" Target="https://business.591.com.tw/rent/21803100" TargetMode="External"/><Relationship Id="rId134" Type="http://schemas.openxmlformats.org/officeDocument/2006/relationships/hyperlink" Target="https://www.houseweb.com.tw/house/2581969" TargetMode="External"/><Relationship Id="rId135" Type="http://schemas.openxmlformats.org/officeDocument/2006/relationships/hyperlink" Target="https://www.houseweb.com.tw/house/2581969" TargetMode="External"/><Relationship Id="rId136" Type="http://schemas.openxmlformats.org/officeDocument/2006/relationships/hyperlink" Target="https://www.google.com/maps/search/?api=1&amp;query=25.081444,121.551799" TargetMode="External"/><Relationship Id="rId137" Type="http://schemas.openxmlformats.org/officeDocument/2006/relationships/hyperlink" Target="https://www.houseweb.com.tw/house/2567826" TargetMode="External"/><Relationship Id="rId138" Type="http://schemas.openxmlformats.org/officeDocument/2006/relationships/hyperlink" Target="https://www.houseweb.com.tw/house/2567826" TargetMode="External"/><Relationship Id="rId139" Type="http://schemas.openxmlformats.org/officeDocument/2006/relationships/hyperlink" Target="https://kevinashowtimes-web.github.io/showtime-office-dashboard/JE_list_J01-J18.pdf" TargetMode="External"/><Relationship Id="rId140" Type="http://schemas.openxmlformats.org/officeDocument/2006/relationships/hyperlink" Target="https://kevinashowtimes-web.github.io/showtime-office-dashboard/JE_list_J01-J18.pdf" TargetMode="External"/><Relationship Id="rId141" Type="http://schemas.openxmlformats.org/officeDocument/2006/relationships/hyperlink" Target="https://www.google.com/maps/search/?api=1&amp;query=25.0467545,121.5404769" TargetMode="External"/><Relationship Id="rId142" Type="http://schemas.openxmlformats.org/officeDocument/2006/relationships/hyperlink" Target="https://www.houseweb.com.tw/house/2504639" TargetMode="External"/><Relationship Id="rId143" Type="http://schemas.openxmlformats.org/officeDocument/2006/relationships/hyperlink" Target="https://www.houseweb.com.tw/house/2504639" TargetMode="External"/><Relationship Id="rId144" Type="http://schemas.openxmlformats.org/officeDocument/2006/relationships/hyperlink" Target="https://www.google.com/maps/search/?api=1&amp;query=25.081444,121.551799" TargetMode="External"/><Relationship Id="rId145" Type="http://schemas.openxmlformats.org/officeDocument/2006/relationships/hyperlink" Target="https://www.houseweb.com.tw/house/2653888" TargetMode="External"/><Relationship Id="rId146" Type="http://schemas.openxmlformats.org/officeDocument/2006/relationships/hyperlink" Target="https://www.houseweb.com.tw/house/2653888" TargetMode="External"/><Relationship Id="rId147" Type="http://schemas.openxmlformats.org/officeDocument/2006/relationships/hyperlink" Target="https://www.houseweb.com.tw/house/2653888" TargetMode="External"/><Relationship Id="rId148" Type="http://schemas.openxmlformats.org/officeDocument/2006/relationships/hyperlink" Target="https://www.houseweb.com.tw/house/2653888" TargetMode="External"/><Relationship Id="rId149" Type="http://schemas.openxmlformats.org/officeDocument/2006/relationships/hyperlink" Target="https://kevinashowtimes-web.github.io/showtime-office-dashboard/JE_list_J01-J18.pdf" TargetMode="External"/><Relationship Id="rId150" Type="http://schemas.openxmlformats.org/officeDocument/2006/relationships/hyperlink" Target="https://kevinashowtimes-web.github.io/showtime-office-dashboard/JE_list_J01-J18.pdf" TargetMode="External"/><Relationship Id="rId151" Type="http://schemas.openxmlformats.org/officeDocument/2006/relationships/hyperlink" Target="https://www.google.com/maps/search/?api=1&amp;query=25.028332,121.571059" TargetMode="External"/><Relationship Id="rId152" Type="http://schemas.openxmlformats.org/officeDocument/2006/relationships/hyperlink" Target="https://kevinashowtimes-web.github.io/showtime-office-dashboard/JE_list_J01-J18.pdf" TargetMode="External"/><Relationship Id="rId153" Type="http://schemas.openxmlformats.org/officeDocument/2006/relationships/hyperlink" Target="https://kevinashowtimes-web.github.io/showtime-office-dashboard/JE_list_J01-J18.pdf" TargetMode="External"/><Relationship Id="rId154" Type="http://schemas.openxmlformats.org/officeDocument/2006/relationships/hyperlink" Target="https://www.houseweb.com.tw/house/2457012" TargetMode="External"/><Relationship Id="rId155" Type="http://schemas.openxmlformats.org/officeDocument/2006/relationships/hyperlink" Target="https://www.houseweb.com.tw/house/2457012" TargetMode="External"/><Relationship Id="rId156" Type="http://schemas.openxmlformats.org/officeDocument/2006/relationships/hyperlink" Target="https://www.google.com/maps/search/?api=1&amp;query=25.081444,121.551799" TargetMode="External"/><Relationship Id="rId157" Type="http://schemas.openxmlformats.org/officeDocument/2006/relationships/hyperlink" Target="https://business.591.com.tw/rent/21200503" TargetMode="External"/><Relationship Id="rId158" Type="http://schemas.openxmlformats.org/officeDocument/2006/relationships/hyperlink" Target="https://business.591.com.tw/rent/21200503" TargetMode="External"/><Relationship Id="rId159" Type="http://schemas.openxmlformats.org/officeDocument/2006/relationships/hyperlink" Target="https://kevinashowtimes-web.github.io/showtime-office-dashboard/JE_list_J01-J18.pdf" TargetMode="External"/><Relationship Id="rId160" Type="http://schemas.openxmlformats.org/officeDocument/2006/relationships/hyperlink" Target="https://kevinashowtimes-web.github.io/showtime-office-dashboard/JE_list_J01-J18.pdf" TargetMode="External"/><Relationship Id="rId161" Type="http://schemas.openxmlformats.org/officeDocument/2006/relationships/hyperlink" Target="https://www.google.com/maps/search/?api=1&amp;query=25.058038,121.549018" TargetMode="External"/><Relationship Id="rId162" Type="http://schemas.openxmlformats.org/officeDocument/2006/relationships/hyperlink" Target="https://kevinashowtimes-web.github.io/showtime-office-dashboard/JE_list_J01-J18.pdf" TargetMode="External"/><Relationship Id="rId163" Type="http://schemas.openxmlformats.org/officeDocument/2006/relationships/hyperlink" Target="https://kevinashowtimes-web.github.io/showtime-office-dashboard/JE_list_J01-J18.pdf" TargetMode="External"/><Relationship Id="rId164" Type="http://schemas.openxmlformats.org/officeDocument/2006/relationships/hyperlink" Target="https://www.google.com/maps/search/?api=1&amp;query=25.0482394,121.5206867" TargetMode="External"/><Relationship Id="rId165" Type="http://schemas.openxmlformats.org/officeDocument/2006/relationships/hyperlink" Target="https://www.houseweb.com.tw/house/2650465" TargetMode="External"/><Relationship Id="rId166" Type="http://schemas.openxmlformats.org/officeDocument/2006/relationships/hyperlink" Target="https://www.houseweb.com.tw/house/2650465" TargetMode="External"/><Relationship Id="rId167" Type="http://schemas.openxmlformats.org/officeDocument/2006/relationships/hyperlink" Target="https://rent.yungching.com.tw/region/house/2358272?pc=0916263633" TargetMode="External"/><Relationship Id="rId168" Type="http://schemas.openxmlformats.org/officeDocument/2006/relationships/hyperlink" Target="https://rent.yungching.com.tw/region/house/2358272?pc=0916263633" TargetMode="External"/><Relationship Id="rId169" Type="http://schemas.openxmlformats.org/officeDocument/2006/relationships/hyperlink" Target="https://www.google.com/maps/search/?api=1&amp;query=25.03901,121.550592" TargetMode="External"/><Relationship Id="rId170" Type="http://schemas.openxmlformats.org/officeDocument/2006/relationships/hyperlink" Target="https://business.591.com.tw/rent/11580037" TargetMode="External"/><Relationship Id="rId171" Type="http://schemas.openxmlformats.org/officeDocument/2006/relationships/hyperlink" Target="https://business.591.com.tw/rent/11580037" TargetMode="External"/><Relationship Id="rId172" Type="http://schemas.openxmlformats.org/officeDocument/2006/relationships/hyperlink" Target="https://www.google.com/maps/search/?api=1&amp;query=25.0641548,121.5204928" TargetMode="External"/><Relationship Id="rId173" Type="http://schemas.openxmlformats.org/officeDocument/2006/relationships/hyperlink" Target="https://www.houseweb.com.tw/house/1506073" TargetMode="External"/><Relationship Id="rId174" Type="http://schemas.openxmlformats.org/officeDocument/2006/relationships/hyperlink" Target="https://www.houseweb.com.tw/house/1506073" TargetMode="External"/><Relationship Id="rId175" Type="http://schemas.openxmlformats.org/officeDocument/2006/relationships/hyperlink" Target="https://business.591.com.tw/rent/22062144" TargetMode="External"/><Relationship Id="rId176" Type="http://schemas.openxmlformats.org/officeDocument/2006/relationships/hyperlink" Target="https://business.591.com.tw/rent/22062144" TargetMode="External"/><Relationship Id="rId177" Type="http://schemas.openxmlformats.org/officeDocument/2006/relationships/hyperlink" Target="https://www.google.com/maps/search/?api=1&amp;query=25.0277004,121.5485169" TargetMode="External"/><Relationship Id="rId178" Type="http://schemas.openxmlformats.org/officeDocument/2006/relationships/hyperlink" Target="https://business.591.com.tw/rent/17979949" TargetMode="External"/><Relationship Id="rId179" Type="http://schemas.openxmlformats.org/officeDocument/2006/relationships/hyperlink" Target="https://business.591.com.tw/rent/17979949" TargetMode="External"/><Relationship Id="rId180" Type="http://schemas.openxmlformats.org/officeDocument/2006/relationships/hyperlink" Target="https://www.google.com/maps/search/?api=1&amp;query=25.0529935,121.5528903" TargetMode="External"/><Relationship Id="rId181" Type="http://schemas.openxmlformats.org/officeDocument/2006/relationships/hyperlink" Target="https://kevinashowtimes-web.github.io/showtime-office-dashboard/JE_list_J01-J18.pdf" TargetMode="External"/><Relationship Id="rId182" Type="http://schemas.openxmlformats.org/officeDocument/2006/relationships/hyperlink" Target="https://kevinashowtimes-web.github.io/showtime-office-dashboard/JE_list_J01-J18.pdf" TargetMode="External"/><Relationship Id="rId183" Type="http://schemas.openxmlformats.org/officeDocument/2006/relationships/hyperlink" Target="https://www.google.com/maps/search/?api=1&amp;query=25.0576372,121.5376791" TargetMode="External"/><Relationship Id="rId184" Type="http://schemas.openxmlformats.org/officeDocument/2006/relationships/hyperlink" Target="https://kevinashowtimes-web.github.io/showtime-office-dashboard/JE_list_J01-J18.pdf" TargetMode="External"/><Relationship Id="rId185" Type="http://schemas.openxmlformats.org/officeDocument/2006/relationships/hyperlink" Target="https://kevinashowtimes-web.github.io/showtime-office-dashboard/JE_list_J01-J18.pdf" TargetMode="External"/><Relationship Id="rId186" Type="http://schemas.openxmlformats.org/officeDocument/2006/relationships/hyperlink" Target="https://www.google.com/maps/search/?api=1&amp;query=25.0576954,121.5440874" TargetMode="External"/><Relationship Id="rId187" Type="http://schemas.openxmlformats.org/officeDocument/2006/relationships/hyperlink" Target="https://kevinashowtimes-web.github.io/showtime-office-dashboard/JE_list_J01-J18.pdf" TargetMode="External"/><Relationship Id="rId188" Type="http://schemas.openxmlformats.org/officeDocument/2006/relationships/hyperlink" Target="https://kevinashowtimes-web.github.io/showtime-office-dashboard/JE_list_J01-J18.pdf" TargetMode="External"/><Relationship Id="rId189" Type="http://schemas.openxmlformats.org/officeDocument/2006/relationships/hyperlink" Target="https://www.google.com/maps/search/?api=1&amp;query=25.0576954,121.5440874" TargetMode="External"/><Relationship Id="rId190" Type="http://schemas.openxmlformats.org/officeDocument/2006/relationships/hyperlink" Target="https://kevinashowtimes-web.github.io/showtime-office-dashboard/JE_list_J01-J18.pdf" TargetMode="External"/><Relationship Id="rId191" Type="http://schemas.openxmlformats.org/officeDocument/2006/relationships/hyperlink" Target="https://kevinashowtimes-web.github.io/showtime-office-dashboard/JE_list_J01-J18.pdf" TargetMode="External"/><Relationship Id="rId192" Type="http://schemas.openxmlformats.org/officeDocument/2006/relationships/hyperlink" Target="https://www.google.com/maps/search/?api=1&amp;query=25.0482394,121.5206867" TargetMode="External"/><Relationship Id="rId193" Type="http://schemas.openxmlformats.org/officeDocument/2006/relationships/hyperlink" Target="https://www.houseweb.com.tw/house/2664165" TargetMode="External"/><Relationship Id="rId194" Type="http://schemas.openxmlformats.org/officeDocument/2006/relationships/hyperlink" Target="https://www.houseweb.com.tw/house/2664165" TargetMode="External"/><Relationship Id="rId195" Type="http://schemas.openxmlformats.org/officeDocument/2006/relationships/hyperlink" Target="https://www.google.com/maps/search/?api=1&amp;query=25.0482394,121.5206867" TargetMode="External"/><Relationship Id="rId196" Type="http://schemas.openxmlformats.org/officeDocument/2006/relationships/hyperlink" Target="https://kevinashowtimes-web.github.io/showtime-office-dashboard/JE_list_J01-J18.pdf" TargetMode="External"/><Relationship Id="rId197" Type="http://schemas.openxmlformats.org/officeDocument/2006/relationships/hyperlink" Target="https://kevinashowtimes-web.github.io/showtime-office-dashboard/JE_list_J01-J18.pdf" TargetMode="External"/><Relationship Id="rId198" Type="http://schemas.openxmlformats.org/officeDocument/2006/relationships/hyperlink" Target="https://www.google.com/maps/search/?api=1&amp;query=25.03901,121.550592" TargetMode="External"/><Relationship Id="rId199" Type="http://schemas.openxmlformats.org/officeDocument/2006/relationships/hyperlink" Target="https://business.591.com.tw/rent/21423260" TargetMode="External"/><Relationship Id="rId200" Type="http://schemas.openxmlformats.org/officeDocument/2006/relationships/hyperlink" Target="https://business.591.com.tw/rent/21423260" TargetMode="External"/><Relationship Id="rId201" Type="http://schemas.openxmlformats.org/officeDocument/2006/relationships/hyperlink" Target="https://www.google.com/maps/search/?api=1&amp;query=25.0507974,121.5430008" TargetMode="External"/><Relationship Id="rId202" Type="http://schemas.openxmlformats.org/officeDocument/2006/relationships/hyperlink" Target="https://kevinashowtimes-web.github.io/showtime-office-dashboard/JE_list_J01-J18.pdf" TargetMode="External"/><Relationship Id="rId203" Type="http://schemas.openxmlformats.org/officeDocument/2006/relationships/hyperlink" Target="https://kevinashowtimes-web.github.io/showtime-office-dashboard/JE_list_J01-J18.pdf" TargetMode="External"/><Relationship Id="rId204" Type="http://schemas.openxmlformats.org/officeDocument/2006/relationships/hyperlink" Target="https://www.google.com/maps/search/?api=1&amp;query=25.051929,121.540853" TargetMode="External"/><Relationship Id="rId205" Type="http://schemas.openxmlformats.org/officeDocument/2006/relationships/hyperlink" Target="https://business.591.com.tw/rent/20903777" TargetMode="External"/><Relationship Id="rId206" Type="http://schemas.openxmlformats.org/officeDocument/2006/relationships/hyperlink" Target="https://business.591.com.tw/rent/20903777" TargetMode="External"/><Relationship Id="rId207" Type="http://schemas.openxmlformats.org/officeDocument/2006/relationships/hyperlink" Target="https://www.google.com/maps/search/?api=1&amp;query=25.0512031,121.5510999" TargetMode="External"/><Relationship Id="rId208" Type="http://schemas.openxmlformats.org/officeDocument/2006/relationships/hyperlink" Target="https://business.591.com.tw/rent/21587259" TargetMode="External"/><Relationship Id="rId209" Type="http://schemas.openxmlformats.org/officeDocument/2006/relationships/hyperlink" Target="https://business.591.com.tw/rent/21587259" TargetMode="External"/><Relationship Id="rId210" Type="http://schemas.openxmlformats.org/officeDocument/2006/relationships/hyperlink" Target="https://kevinashowtimes-web.github.io/showtime-office-dashboard/JE_list_J01-J18.pdf" TargetMode="External"/><Relationship Id="rId211" Type="http://schemas.openxmlformats.org/officeDocument/2006/relationships/hyperlink" Target="https://kevinashowtimes-web.github.io/showtime-office-dashboard/JE_list_J01-J18.pdf" TargetMode="External"/><Relationship Id="rId212" Type="http://schemas.openxmlformats.org/officeDocument/2006/relationships/hyperlink" Target="https://www.google.com/maps/search/?api=1&amp;query=25.058038,121.549018" TargetMode="External"/><Relationship Id="rId213" Type="http://schemas.openxmlformats.org/officeDocument/2006/relationships/hyperlink" Target="https://kevinashowtimes-web.github.io/showtime-office-dashboard/JE2_list_20260923.pdf" TargetMode="External"/><Relationship Id="rId214" Type="http://schemas.openxmlformats.org/officeDocument/2006/relationships/hyperlink" Target="https://kevinashowtimes-web.github.io/showtime-office-dashboard/JE2_list_20260923.pdf" TargetMode="External"/><Relationship Id="rId215" Type="http://schemas.openxmlformats.org/officeDocument/2006/relationships/hyperlink" Target="https://www.sinyiglobal.com/rental/C360646" TargetMode="External"/><Relationship Id="rId216" Type="http://schemas.openxmlformats.org/officeDocument/2006/relationships/hyperlink" Target="https://www.sinyiglobal.com/rental/C360646" TargetMode="External"/><Relationship Id="rId217" Type="http://schemas.openxmlformats.org/officeDocument/2006/relationships/hyperlink" Target="https://www.google.com/maps/search/?api=1&amp;query=25.028332,121.571059" TargetMode="External"/><Relationship Id="rId218" Type="http://schemas.openxmlformats.org/officeDocument/2006/relationships/hyperlink" Target="https://business.591.com.tw/rent/22162790" TargetMode="External"/><Relationship Id="rId219" Type="http://schemas.openxmlformats.org/officeDocument/2006/relationships/hyperlink" Target="https://business.591.com.tw/rent/22162790" TargetMode="External"/><Relationship Id="rId220" Type="http://schemas.openxmlformats.org/officeDocument/2006/relationships/hyperlink" Target="https://www.google.com/maps/search/?api=1&amp;query=25.0410109,121.5602062" TargetMode="External"/><Relationship Id="rId221" Type="http://schemas.openxmlformats.org/officeDocument/2006/relationships/hyperlink" Target="https://kevinashowtimes-web.github.io/showtime-office-dashboard/JE_list_J01-J18.pdf" TargetMode="External"/><Relationship Id="rId222" Type="http://schemas.openxmlformats.org/officeDocument/2006/relationships/hyperlink" Target="https://kevinashowtimes-web.github.io/showtime-office-dashboard/JE_list_J01-J18.pdf" TargetMode="External"/><Relationship Id="rId223" Type="http://schemas.openxmlformats.org/officeDocument/2006/relationships/hyperlink" Target="https://www.google.com/maps/search/?api=1&amp;query=25.044961,121.54338" TargetMode="External"/><Relationship Id="rId224" Type="http://schemas.openxmlformats.org/officeDocument/2006/relationships/hyperlink" Target="https://business.591.com.tw/rent/22129776" TargetMode="External"/><Relationship Id="rId225" Type="http://schemas.openxmlformats.org/officeDocument/2006/relationships/hyperlink" Target="https://business.591.com.tw/rent/22129776" TargetMode="External"/><Relationship Id="rId226" Type="http://schemas.openxmlformats.org/officeDocument/2006/relationships/hyperlink" Target="https://www.google.com/maps/search/?api=1&amp;query=25.0616853,121.5451777" TargetMode="External"/><Relationship Id="rId227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sinyiglobal.com/rental/C905199" TargetMode="External"/><Relationship Id="rId2" Type="http://schemas.openxmlformats.org/officeDocument/2006/relationships/hyperlink" Target="https://www.sinyiglobal.com/rental/C904200" TargetMode="External"/><Relationship Id="rId3" Type="http://schemas.openxmlformats.org/officeDocument/2006/relationships/hyperlink" Target="https://buy.housefun.com.tw/buy/building/9278" TargetMode="External"/><Relationship Id="rId4" Type="http://schemas.openxmlformats.org/officeDocument/2006/relationships/hyperlink" Target="https://business.591.com.tw/rent/21779044" TargetMode="External"/><Relationship Id="rId5" Type="http://schemas.openxmlformats.org/officeDocument/2006/relationships/hyperlink" Target="https://www.sinyiglobal.com/rental/C904707" TargetMode="External"/><Relationship Id="rId6" Type="http://schemas.openxmlformats.org/officeDocument/2006/relationships/hyperlink" Target="https://business.591.com.tw/rent/22010357" TargetMode="External"/><Relationship Id="rId7" Type="http://schemas.openxmlformats.org/officeDocument/2006/relationships/hyperlink" Target="https://kevinashowtimes-web.github.io/showtime-office-dashboard/JE2_list_20260923.pdf" TargetMode="External"/><Relationship Id="rId8" Type="http://schemas.openxmlformats.org/officeDocument/2006/relationships/hyperlink" Target="https://business.591.com.tw/rent/21635155" TargetMode="External"/><Relationship Id="rId9" Type="http://schemas.openxmlformats.org/officeDocument/2006/relationships/hyperlink" Target="https://www.sinyiglobal.com/rental/CZ05585" TargetMode="External"/><Relationship Id="rId10" Type="http://schemas.openxmlformats.org/officeDocument/2006/relationships/hyperlink" Target="https://business.591.com.tw/rent/22062249" TargetMode="External"/><Relationship Id="rId11" Type="http://schemas.openxmlformats.org/officeDocument/2006/relationships/hyperlink" Target="https://business.591.com.tw/rent/21788157" TargetMode="External"/><Relationship Id="rId12" Type="http://schemas.openxmlformats.org/officeDocument/2006/relationships/hyperlink" Target="https://kevinashowtimes-web.github.io/showtime-office-dashboard/JE2_list_20260923.pdf" TargetMode="External"/><Relationship Id="rId13" Type="http://schemas.openxmlformats.org/officeDocument/2006/relationships/hyperlink" Target="https://business.591.com.tw/rent/19506910" TargetMode="External"/><Relationship Id="rId14" Type="http://schemas.openxmlformats.org/officeDocument/2006/relationships/hyperlink" Target="https://business.591.com.tw/rent/22010409" TargetMode="External"/><Relationship Id="rId15" Type="http://schemas.openxmlformats.org/officeDocument/2006/relationships/hyperlink" Target="https://business.591.com.tw/rent/20214332" TargetMode="External"/><Relationship Id="rId16" Type="http://schemas.openxmlformats.org/officeDocument/2006/relationships/hyperlink" Target="https://business.591.com.tw/rent/21985150" TargetMode="External"/><Relationship Id="rId17" Type="http://schemas.openxmlformats.org/officeDocument/2006/relationships/hyperlink" Target="https://www.sinyiglobal.com/rental/CZ05587" TargetMode="External"/><Relationship Id="rId18" Type="http://schemas.openxmlformats.org/officeDocument/2006/relationships/hyperlink" Target="https://business.591.com.tw/rent/22061922" TargetMode="External"/><Relationship Id="rId19" Type="http://schemas.openxmlformats.org/officeDocument/2006/relationships/hyperlink" Target="https://business.591.com.tw/rent/22061968" TargetMode="External"/><Relationship Id="rId20" Type="http://schemas.openxmlformats.org/officeDocument/2006/relationships/hyperlink" Target="https://business.591.com.tw/rent/21537848" TargetMode="External"/><Relationship Id="rId21" Type="http://schemas.openxmlformats.org/officeDocument/2006/relationships/hyperlink" Target="https://business.591.com.tw/rent/21530071" TargetMode="External"/><Relationship Id="rId22" Type="http://schemas.openxmlformats.org/officeDocument/2006/relationships/hyperlink" Target="https://business.591.com.tw/rent/20971276" TargetMode="External"/><Relationship Id="rId23" Type="http://schemas.openxmlformats.org/officeDocument/2006/relationships/hyperlink" Target="https://www.findoffice.com.tw/building.php?bid=Y445" TargetMode="External"/><Relationship Id="rId24" Type="http://schemas.openxmlformats.org/officeDocument/2006/relationships/hyperlink" Target="https://kevinashowtimes-web.github.io/showtime-office-dashboard/JE2_list_20260923.pdf" TargetMode="External"/><Relationship Id="rId25" Type="http://schemas.openxmlformats.org/officeDocument/2006/relationships/hyperlink" Target="https://www.findoffice.com.tw/building.php?bid=Y445" TargetMode="External"/><Relationship Id="rId26" Type="http://schemas.openxmlformats.org/officeDocument/2006/relationships/hyperlink" Target="https://business.591.com.tw/rent/22017413" TargetMode="External"/><Relationship Id="rId27" Type="http://schemas.openxmlformats.org/officeDocument/2006/relationships/hyperlink" Target="https://business.591.com.tw/rent/21804249" TargetMode="External"/><Relationship Id="rId28" Type="http://schemas.openxmlformats.org/officeDocument/2006/relationships/hyperlink" Target="https://kevinashowtimes-web.github.io/showtime-office-dashboard/JE2_list_20260923.pdf" TargetMode="External"/><Relationship Id="rId29" Type="http://schemas.openxmlformats.org/officeDocument/2006/relationships/hyperlink" Target="https://kevinashowtimes-web.github.io/showtime-office-dashboard/JE2_list_20260923.pdf" TargetMode="External"/><Relationship Id="rId30" Type="http://schemas.openxmlformats.org/officeDocument/2006/relationships/hyperlink" Target="https://buy.housefun.com.tw/buy/building/11015" TargetMode="External"/><Relationship Id="rId31" Type="http://schemas.openxmlformats.org/officeDocument/2006/relationships/hyperlink" Target="https://business.591.com.tw/rent/21812612" TargetMode="External"/><Relationship Id="rId32" Type="http://schemas.openxmlformats.org/officeDocument/2006/relationships/hyperlink" Target="https://business.591.com.tw/rent/22053377" TargetMode="External"/><Relationship Id="rId33" Type="http://schemas.openxmlformats.org/officeDocument/2006/relationships/hyperlink" Target="https://buy.housefun.com.tw/buy/building/29038" TargetMode="External"/><Relationship Id="rId34" Type="http://schemas.openxmlformats.org/officeDocument/2006/relationships/hyperlink" Target="https://market.591.com.tw/3496" TargetMode="External"/><Relationship Id="rId35" Type="http://schemas.openxmlformats.org/officeDocument/2006/relationships/hyperlink" Target="https://buy.housefun.com.tw/buy/building/9278" TargetMode="External"/><Relationship Id="rId36" Type="http://schemas.openxmlformats.org/officeDocument/2006/relationships/hyperlink" Target="https://kevinashowtimes-web.github.io/showtime-office-dashboard/JE2_list_20260923.pdf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business.591.com.tw/rent/21263746" TargetMode="External"/><Relationship Id="rId2" Type="http://schemas.openxmlformats.org/officeDocument/2006/relationships/hyperlink" Target="https://business.591.com.tw/rent/21553763" TargetMode="External"/><Relationship Id="rId3" Type="http://schemas.openxmlformats.org/officeDocument/2006/relationships/hyperlink" Target="https://business.591.com.tw/rent/21596085" TargetMode="External"/><Relationship Id="rId4" Type="http://schemas.openxmlformats.org/officeDocument/2006/relationships/hyperlink" Target="https://business.591.com.tw/rent/21686336" TargetMode="External"/><Relationship Id="rId5" Type="http://schemas.openxmlformats.org/officeDocument/2006/relationships/hyperlink" Target="https://business.591.com.tw/rent/22034644" TargetMode="External"/><Relationship Id="rId6" Type="http://schemas.openxmlformats.org/officeDocument/2006/relationships/hyperlink" Target="https://business.591.com.tw/rent/21112784" TargetMode="External"/><Relationship Id="rId7" Type="http://schemas.openxmlformats.org/officeDocument/2006/relationships/hyperlink" Target="https://business.591.com.tw/rent/21546970" TargetMode="External"/><Relationship Id="rId8" Type="http://schemas.openxmlformats.org/officeDocument/2006/relationships/hyperlink" Target="https://business.591.com.tw/rent/21588465" TargetMode="External"/><Relationship Id="rId9" Type="http://schemas.openxmlformats.org/officeDocument/2006/relationships/hyperlink" Target="https://business.591.com.tw/rent/21524253" TargetMode="External"/><Relationship Id="rId10" Type="http://schemas.openxmlformats.org/officeDocument/2006/relationships/hyperlink" Target="https://business.591.com.tw/rent/21530071" TargetMode="External"/><Relationship Id="rId11" Type="http://schemas.openxmlformats.org/officeDocument/2006/relationships/hyperlink" Target="https://business.591.com.tw/rent/20380770" TargetMode="External"/><Relationship Id="rId12" Type="http://schemas.openxmlformats.org/officeDocument/2006/relationships/hyperlink" Target="https://business.591.com.tw/rent/20880830" TargetMode="External"/><Relationship Id="rId13" Type="http://schemas.openxmlformats.org/officeDocument/2006/relationships/hyperlink" Target="https://business.591.com.tw/rent/21643233" TargetMode="External"/><Relationship Id="rId14" Type="http://schemas.openxmlformats.org/officeDocument/2006/relationships/hyperlink" Target="https://business.591.com.tw/rent/21711753" TargetMode="External"/><Relationship Id="rId15" Type="http://schemas.openxmlformats.org/officeDocument/2006/relationships/hyperlink" Target="https://business.591.com.tw/rent/21594352" TargetMode="External"/><Relationship Id="rId16" Type="http://schemas.openxmlformats.org/officeDocument/2006/relationships/hyperlink" Target="https://business.591.com.tw/rent/21731105" TargetMode="External"/><Relationship Id="rId17" Type="http://schemas.openxmlformats.org/officeDocument/2006/relationships/hyperlink" Target="https://business.591.com.tw/rent/17565745" TargetMode="External"/><Relationship Id="rId18" Type="http://schemas.openxmlformats.org/officeDocument/2006/relationships/hyperlink" Target="https://business.591.com.tw/rent/21702485" TargetMode="External"/><Relationship Id="rId19" Type="http://schemas.openxmlformats.org/officeDocument/2006/relationships/hyperlink" Target="https://business.591.com.tw/rent/21804160" TargetMode="External"/><Relationship Id="rId20" Type="http://schemas.openxmlformats.org/officeDocument/2006/relationships/hyperlink" Target="https://business.591.com.tw/rent/21905134" TargetMode="External"/><Relationship Id="rId21" Type="http://schemas.openxmlformats.org/officeDocument/2006/relationships/hyperlink" Target="https://business.591.com.tw/rent/22044756" TargetMode="External"/><Relationship Id="rId22" Type="http://schemas.openxmlformats.org/officeDocument/2006/relationships/hyperlink" Target="https://business.591.com.tw/rent/17942533" TargetMode="External"/><Relationship Id="rId23" Type="http://schemas.openxmlformats.org/officeDocument/2006/relationships/hyperlink" Target="https://business.591.com.tw/rent/21779805" TargetMode="External"/><Relationship Id="rId24" Type="http://schemas.openxmlformats.org/officeDocument/2006/relationships/hyperlink" Target="https://business.591.com.tw/rent/21858944" TargetMode="External"/><Relationship Id="rId25" Type="http://schemas.openxmlformats.org/officeDocument/2006/relationships/hyperlink" Target="https://business.591.com.tw/rent/21593285" TargetMode="External"/><Relationship Id="rId26" Type="http://schemas.openxmlformats.org/officeDocument/2006/relationships/hyperlink" Target="https://business.591.com.tw/rent/22061936" TargetMode="External"/><Relationship Id="rId27" Type="http://schemas.openxmlformats.org/officeDocument/2006/relationships/hyperlink" Target="https://business.591.com.tw/rent/21589109" TargetMode="External"/><Relationship Id="rId28" Type="http://schemas.openxmlformats.org/officeDocument/2006/relationships/hyperlink" Target="https://business.591.com.tw/rent/22010357" TargetMode="External"/><Relationship Id="rId29" Type="http://schemas.openxmlformats.org/officeDocument/2006/relationships/hyperlink" Target="https://business.591.com.tw/rent/20971276" TargetMode="External"/><Relationship Id="rId30" Type="http://schemas.openxmlformats.org/officeDocument/2006/relationships/hyperlink" Target="https://business.591.com.tw/rent/21779044" TargetMode="External"/><Relationship Id="rId31" Type="http://schemas.openxmlformats.org/officeDocument/2006/relationships/hyperlink" Target="https://business.591.com.tw/rent/22009979" TargetMode="External"/><Relationship Id="rId32" Type="http://schemas.openxmlformats.org/officeDocument/2006/relationships/hyperlink" Target="https://business.591.com.tw/rent/21537848" TargetMode="External"/><Relationship Id="rId33" Type="http://schemas.openxmlformats.org/officeDocument/2006/relationships/hyperlink" Target="https://business.591.com.tw/rent/20214332" TargetMode="External"/><Relationship Id="rId34" Type="http://schemas.openxmlformats.org/officeDocument/2006/relationships/hyperlink" Target="https://business.591.com.tw/rent/21234693" TargetMode="External"/><Relationship Id="rId35" Type="http://schemas.openxmlformats.org/officeDocument/2006/relationships/hyperlink" Target="https://business.591.com.tw/rent/21553405" TargetMode="External"/><Relationship Id="rId36" Type="http://schemas.openxmlformats.org/officeDocument/2006/relationships/hyperlink" Target="https://business.591.com.tw/rent/21588975" TargetMode="External"/><Relationship Id="rId37" Type="http://schemas.openxmlformats.org/officeDocument/2006/relationships/hyperlink" Target="https://business.591.com.tw/rent/21788512" TargetMode="External"/><Relationship Id="rId38" Type="http://schemas.openxmlformats.org/officeDocument/2006/relationships/hyperlink" Target="https://business.591.com.tw/rent/21804380" TargetMode="External"/><Relationship Id="rId39" Type="http://schemas.openxmlformats.org/officeDocument/2006/relationships/hyperlink" Target="https://business.591.com.tw/rent/21867832" TargetMode="External"/><Relationship Id="rId40" Type="http://schemas.openxmlformats.org/officeDocument/2006/relationships/hyperlink" Target="https://business.591.com.tw/rent/21939596" TargetMode="External"/><Relationship Id="rId41" Type="http://schemas.openxmlformats.org/officeDocument/2006/relationships/hyperlink" Target="https://business.591.com.tw/rent/21980734" TargetMode="External"/><Relationship Id="rId42" Type="http://schemas.openxmlformats.org/officeDocument/2006/relationships/hyperlink" Target="https://business.591.com.tw/rent/22019214" TargetMode="External"/><Relationship Id="rId43" Type="http://schemas.openxmlformats.org/officeDocument/2006/relationships/hyperlink" Target="https://business.591.com.tw/rent/22020729" TargetMode="External"/><Relationship Id="rId44" Type="http://schemas.openxmlformats.org/officeDocument/2006/relationships/hyperlink" Target="https://business.591.com.tw/rent/19506910" TargetMode="External"/><Relationship Id="rId45" Type="http://schemas.openxmlformats.org/officeDocument/2006/relationships/hyperlink" Target="https://business.591.com.tw/rent/21548435" TargetMode="External"/><Relationship Id="rId46" Type="http://schemas.openxmlformats.org/officeDocument/2006/relationships/hyperlink" Target="https://business.591.com.tw/rent/21635155" TargetMode="External"/><Relationship Id="rId47" Type="http://schemas.openxmlformats.org/officeDocument/2006/relationships/hyperlink" Target="https://business.591.com.tw/rent/21888124" TargetMode="External"/><Relationship Id="rId48" Type="http://schemas.openxmlformats.org/officeDocument/2006/relationships/hyperlink" Target="https://business.591.com.tw/rent/22017413" TargetMode="External"/><Relationship Id="rId49" Type="http://schemas.openxmlformats.org/officeDocument/2006/relationships/hyperlink" Target="https://business.591.com.tw/rent/22061922" TargetMode="External"/><Relationship Id="rId50" Type="http://schemas.openxmlformats.org/officeDocument/2006/relationships/hyperlink" Target="https://business.591.com.tw/rent/22062249" TargetMode="External"/><Relationship Id="rId51" Type="http://schemas.openxmlformats.org/officeDocument/2006/relationships/hyperlink" Target="https://business.591.com.tw/rent/21429025" TargetMode="External"/><Relationship Id="rId52" Type="http://schemas.openxmlformats.org/officeDocument/2006/relationships/hyperlink" Target="https://business.591.com.tw/rent/21788157" TargetMode="External"/><Relationship Id="rId53" Type="http://schemas.openxmlformats.org/officeDocument/2006/relationships/hyperlink" Target="https://business.591.com.tw/rent/21908353" TargetMode="External"/><Relationship Id="rId54" Type="http://schemas.openxmlformats.org/officeDocument/2006/relationships/hyperlink" Target="https://business.591.com.tw/rent/22010409" TargetMode="External"/><Relationship Id="rId55" Type="http://schemas.openxmlformats.org/officeDocument/2006/relationships/hyperlink" Target="https://business.591.com.tw/rent/21595066" TargetMode="External"/><Relationship Id="rId56" Type="http://schemas.openxmlformats.org/officeDocument/2006/relationships/hyperlink" Target="https://business.591.com.tw/rent/21635522" TargetMode="External"/><Relationship Id="rId57" Type="http://schemas.openxmlformats.org/officeDocument/2006/relationships/hyperlink" Target="https://business.591.com.tw/rent/21812612" TargetMode="External"/><Relationship Id="rId58" Type="http://schemas.openxmlformats.org/officeDocument/2006/relationships/hyperlink" Target="https://business.591.com.tw/rent/21985150" TargetMode="External"/><Relationship Id="rId59" Type="http://schemas.openxmlformats.org/officeDocument/2006/relationships/hyperlink" Target="https://business.591.com.tw/rent/20864693" TargetMode="External"/><Relationship Id="rId60" Type="http://schemas.openxmlformats.org/officeDocument/2006/relationships/hyperlink" Target="https://business.591.com.tw/rent/20941554" TargetMode="External"/><Relationship Id="rId61" Type="http://schemas.openxmlformats.org/officeDocument/2006/relationships/hyperlink" Target="https://business.591.com.tw/rent/21364535" TargetMode="External"/><Relationship Id="rId62" Type="http://schemas.openxmlformats.org/officeDocument/2006/relationships/hyperlink" Target="https://business.591.com.tw/rent/21463324" TargetMode="External"/><Relationship Id="rId63" Type="http://schemas.openxmlformats.org/officeDocument/2006/relationships/hyperlink" Target="https://business.591.com.tw/rent/21555597" TargetMode="External"/><Relationship Id="rId64" Type="http://schemas.openxmlformats.org/officeDocument/2006/relationships/hyperlink" Target="https://business.591.com.tw/rent/21593366" TargetMode="External"/><Relationship Id="rId65" Type="http://schemas.openxmlformats.org/officeDocument/2006/relationships/hyperlink" Target="https://business.591.com.tw/rent/21985155" TargetMode="External"/><Relationship Id="rId66" Type="http://schemas.openxmlformats.org/officeDocument/2006/relationships/hyperlink" Target="https://business.591.com.tw/rent/22044758" TargetMode="External"/><Relationship Id="rId67" Type="http://schemas.openxmlformats.org/officeDocument/2006/relationships/hyperlink" Target="https://business.591.com.tw/rent/22062161" TargetMode="External"/><Relationship Id="rId68" Type="http://schemas.openxmlformats.org/officeDocument/2006/relationships/hyperlink" Target="https://business.591.com.tw/rent/21672889" TargetMode="External"/><Relationship Id="rId69" Type="http://schemas.openxmlformats.org/officeDocument/2006/relationships/hyperlink" Target="https://business.591.com.tw/rent/21200503" TargetMode="External"/><Relationship Id="rId70" Type="http://schemas.openxmlformats.org/officeDocument/2006/relationships/hyperlink" Target="https://business.591.com.tw/rent/22058045" TargetMode="External"/><Relationship Id="rId71" Type="http://schemas.openxmlformats.org/officeDocument/2006/relationships/hyperlink" Target="https://business.591.com.tw/rent/21587259" TargetMode="External"/><Relationship Id="rId72" Type="http://schemas.openxmlformats.org/officeDocument/2006/relationships/hyperlink" Target="https://business.591.com.tw/rent/21921504" TargetMode="External"/><Relationship Id="rId73" Type="http://schemas.openxmlformats.org/officeDocument/2006/relationships/hyperlink" Target="https://business.591.com.tw/rent/21983146" TargetMode="External"/><Relationship Id="rId74" Type="http://schemas.openxmlformats.org/officeDocument/2006/relationships/hyperlink" Target="https://business.591.com.tw/rent/22062115" TargetMode="External"/><Relationship Id="rId75" Type="http://schemas.openxmlformats.org/officeDocument/2006/relationships/hyperlink" Target="https://business.591.com.tw/rent/21803100" TargetMode="External"/><Relationship Id="rId76" Type="http://schemas.openxmlformats.org/officeDocument/2006/relationships/hyperlink" Target="https://business.591.com.tw/rent/22061968" TargetMode="External"/><Relationship Id="rId77" Type="http://schemas.openxmlformats.org/officeDocument/2006/relationships/hyperlink" Target="https://business.591.com.tw/rent/20903777" TargetMode="External"/><Relationship Id="rId78" Type="http://schemas.openxmlformats.org/officeDocument/2006/relationships/hyperlink" Target="https://business.591.com.tw/rent/21119557" TargetMode="External"/><Relationship Id="rId79" Type="http://schemas.openxmlformats.org/officeDocument/2006/relationships/hyperlink" Target="https://business.591.com.tw/rent/21146173" TargetMode="External"/><Relationship Id="rId80" Type="http://schemas.openxmlformats.org/officeDocument/2006/relationships/hyperlink" Target="https://business.591.com.tw/rent/21441271" TargetMode="External"/><Relationship Id="rId81" Type="http://schemas.openxmlformats.org/officeDocument/2006/relationships/hyperlink" Target="https://business.591.com.tw/rent/21595882" TargetMode="External"/><Relationship Id="rId82" Type="http://schemas.openxmlformats.org/officeDocument/2006/relationships/hyperlink" Target="https://business.591.com.tw/rent/21809325" TargetMode="External"/><Relationship Id="rId83" Type="http://schemas.openxmlformats.org/officeDocument/2006/relationships/hyperlink" Target="https://business.591.com.tw/rent/21890934" TargetMode="External"/><Relationship Id="rId84" Type="http://schemas.openxmlformats.org/officeDocument/2006/relationships/hyperlink" Target="https://business.591.com.tw/rent/21912218" TargetMode="External"/><Relationship Id="rId85" Type="http://schemas.openxmlformats.org/officeDocument/2006/relationships/hyperlink" Target="https://business.591.com.tw/rent/21921486" TargetMode="External"/><Relationship Id="rId86" Type="http://schemas.openxmlformats.org/officeDocument/2006/relationships/hyperlink" Target="https://business.591.com.tw/rent/22027997" TargetMode="External"/><Relationship Id="rId87" Type="http://schemas.openxmlformats.org/officeDocument/2006/relationships/hyperlink" Target="https://business.591.com.tw/rent/22046212" TargetMode="External"/><Relationship Id="rId88" Type="http://schemas.openxmlformats.org/officeDocument/2006/relationships/hyperlink" Target="https://business.591.com.tw/rent/20991786" TargetMode="External"/><Relationship Id="rId89" Type="http://schemas.openxmlformats.org/officeDocument/2006/relationships/hyperlink" Target="https://business.591.com.tw/rent/21542373" TargetMode="External"/><Relationship Id="rId90" Type="http://schemas.openxmlformats.org/officeDocument/2006/relationships/hyperlink" Target="https://business.591.com.tw/rent/21595262" TargetMode="External"/><Relationship Id="rId91" Type="http://schemas.openxmlformats.org/officeDocument/2006/relationships/hyperlink" Target="https://business.591.com.tw/rent/21808787" TargetMode="External"/><Relationship Id="rId92" Type="http://schemas.openxmlformats.org/officeDocument/2006/relationships/hyperlink" Target="https://business.591.com.tw/rent/22053377" TargetMode="External"/><Relationship Id="rId93" Type="http://schemas.openxmlformats.org/officeDocument/2006/relationships/hyperlink" Target="https://business.591.com.tw/rent/21909087" TargetMode="External"/><Relationship Id="rId94" Type="http://schemas.openxmlformats.org/officeDocument/2006/relationships/hyperlink" Target="https://business.591.com.tw/rent/20991086" TargetMode="External"/><Relationship Id="rId95" Type="http://schemas.openxmlformats.org/officeDocument/2006/relationships/hyperlink" Target="https://business.591.com.tw/rent/21804249" TargetMode="External"/><Relationship Id="rId96" Type="http://schemas.openxmlformats.org/officeDocument/2006/relationships/hyperlink" Target="https://business.591.com.tw/rent/21888219" TargetMode="External"/><Relationship Id="rId97" Type="http://schemas.openxmlformats.org/officeDocument/2006/relationships/hyperlink" Target="https://business.591.com.tw/rent/20625847" TargetMode="External"/><Relationship Id="rId98" Type="http://schemas.openxmlformats.org/officeDocument/2006/relationships/hyperlink" Target="https://business.591.com.tw/rent/20775490" TargetMode="External"/><Relationship Id="rId99" Type="http://schemas.openxmlformats.org/officeDocument/2006/relationships/hyperlink" Target="https://business.591.com.tw/rent/21428866" TargetMode="External"/><Relationship Id="rId100" Type="http://schemas.openxmlformats.org/officeDocument/2006/relationships/hyperlink" Target="https://business.591.com.tw/rent/21570872" TargetMode="External"/><Relationship Id="rId101" Type="http://schemas.openxmlformats.org/officeDocument/2006/relationships/hyperlink" Target="https://business.591.com.tw/rent/21699093" TargetMode="External"/><Relationship Id="rId102" Type="http://schemas.openxmlformats.org/officeDocument/2006/relationships/hyperlink" Target="https://business.591.com.tw/rent/21831272" TargetMode="External"/><Relationship Id="rId103" Type="http://schemas.openxmlformats.org/officeDocument/2006/relationships/hyperlink" Target="https://business.591.com.tw/rent/21835505" TargetMode="External"/><Relationship Id="rId104" Type="http://schemas.openxmlformats.org/officeDocument/2006/relationships/hyperlink" Target="https://business.591.com.tw/rent/21836665" TargetMode="External"/><Relationship Id="rId105" Type="http://schemas.openxmlformats.org/officeDocument/2006/relationships/hyperlink" Target="https://business.591.com.tw/rent/21969002" TargetMode="External"/><Relationship Id="rId106" Type="http://schemas.openxmlformats.org/officeDocument/2006/relationships/hyperlink" Target="https://business.591.com.tw/rent/21976833" TargetMode="External"/><Relationship Id="rId107" Type="http://schemas.openxmlformats.org/officeDocument/2006/relationships/hyperlink" Target="https://business.591.com.tw/rent/19306270" TargetMode="External"/><Relationship Id="rId108" Type="http://schemas.openxmlformats.org/officeDocument/2006/relationships/hyperlink" Target="https://business.591.com.tw/rent/21904994" TargetMode="External"/><Relationship Id="rId109" Type="http://schemas.openxmlformats.org/officeDocument/2006/relationships/hyperlink" Target="https://business.591.com.tw/rent/21673522" TargetMode="External"/><Relationship Id="rId110" Type="http://schemas.openxmlformats.org/officeDocument/2006/relationships/hyperlink" Target="https://business.591.com.tw/rent/21980194" TargetMode="External"/><Relationship Id="rId111" Type="http://schemas.openxmlformats.org/officeDocument/2006/relationships/hyperlink" Target="https://business.591.com.tw/rent/22046277" TargetMode="External"/><Relationship Id="rId112" Type="http://schemas.openxmlformats.org/officeDocument/2006/relationships/hyperlink" Target="https://business.591.com.tw/rent/21634216" TargetMode="External"/><Relationship Id="rId113" Type="http://schemas.openxmlformats.org/officeDocument/2006/relationships/hyperlink" Target="https://business.591.com.tw/rent/21758456" TargetMode="External"/><Relationship Id="rId114" Type="http://schemas.openxmlformats.org/officeDocument/2006/relationships/hyperlink" Target="https://business.591.com.tw/rent/20672322" TargetMode="External"/><Relationship Id="rId115" Type="http://schemas.openxmlformats.org/officeDocument/2006/relationships/hyperlink" Target="https://business.591.com.tw/rent/21759461" TargetMode="External"/><Relationship Id="rId116" Type="http://schemas.openxmlformats.org/officeDocument/2006/relationships/hyperlink" Target="https://business.591.com.tw/rent/21994974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kevinashowtimes-web.github.io/showtime-office-dashboard/JE2_list_20260923.pdf" TargetMode="External"/><Relationship Id="rId2" Type="http://schemas.openxmlformats.org/officeDocument/2006/relationships/hyperlink" Target="https://kevinashowtimes-web.github.io/showtime-office-dashboard/JE2_list_20260923.pdf" TargetMode="External"/><Relationship Id="rId3" Type="http://schemas.openxmlformats.org/officeDocument/2006/relationships/hyperlink" Target="https://kevinashowtimes-web.github.io/showtime-office-dashboard/JE2_list_20260923.pdf" TargetMode="External"/><Relationship Id="rId4" Type="http://schemas.openxmlformats.org/officeDocument/2006/relationships/hyperlink" Target="https://kevinashowtimes-web.github.io/showtime-office-dashboard/JE2_list_20260923.pdf" TargetMode="External"/><Relationship Id="rId5" Type="http://schemas.openxmlformats.org/officeDocument/2006/relationships/hyperlink" Target="https://kevinashowtimes-web.github.io/showtime-office-dashboard/JE2_list_20260923.pdf" TargetMode="External"/><Relationship Id="rId6" Type="http://schemas.openxmlformats.org/officeDocument/2006/relationships/hyperlink" Target="https://kevinashowtimes-web.github.io/showtime-office-dashboard/JE2_list_20260923.pdf" TargetMode="External"/><Relationship Id="rId7" Type="http://schemas.openxmlformats.org/officeDocument/2006/relationships/hyperlink" Target="https://kevinashowtimes-web.github.io/showtime-office-dashboard/JE2_list_20260923.pdf" TargetMode="External"/><Relationship Id="rId8" Type="http://schemas.openxmlformats.org/officeDocument/2006/relationships/hyperlink" Target="https://kevinashowtimes-web.github.io/showtime-office-dashboard/JE2_list_20260923.pdf" TargetMode="External"/><Relationship Id="rId9" Type="http://schemas.openxmlformats.org/officeDocument/2006/relationships/hyperlink" Target="https://kevinashowtimes-web.github.io/showtime-office-dashboard/JE2_list_20260923.pdf" TargetMode="External"/><Relationship Id="rId10" Type="http://schemas.openxmlformats.org/officeDocument/2006/relationships/hyperlink" Target="https://kevinashowtimes-web.github.io/showtime-office-dashboard/JE2_list_20260923.pdf" TargetMode="External"/><Relationship Id="rId11" Type="http://schemas.openxmlformats.org/officeDocument/2006/relationships/hyperlink" Target="https://kevinashowtimes-web.github.io/showtime-office-dashboard/JE2_list_20260923.pdf" TargetMode="External"/><Relationship Id="rId12" Type="http://schemas.openxmlformats.org/officeDocument/2006/relationships/hyperlink" Target="https://kevinashowtimes-web.github.io/showtime-office-dashboard/JE2_list_20260923.pdf" TargetMode="External"/><Relationship Id="rId13" Type="http://schemas.openxmlformats.org/officeDocument/2006/relationships/hyperlink" Target="https://kevinashowtimes-web.github.io/showtime-office-dashboard/JE2_list_20260923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220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v>450000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v>550000</v>
      </c>
      <c r="C7" s="4" t="s">
        <v>10</v>
      </c>
    </row>
    <row r="8" customFormat="false" ht="15" hidden="false" customHeight="false" outlineLevel="0" collapsed="false">
      <c r="A8" s="4" t="s">
        <v>11</v>
      </c>
      <c r="B8" s="5" t="n">
        <v>10</v>
      </c>
      <c r="C8" s="4" t="s">
        <v>12</v>
      </c>
    </row>
    <row r="9" customFormat="false" ht="15" hidden="false" customHeight="false" outlineLevel="0" collapsed="false">
      <c r="A9" s="4" t="s">
        <v>13</v>
      </c>
      <c r="B9" s="6" t="n">
        <v>0.05</v>
      </c>
      <c r="C9" s="4" t="s">
        <v>14</v>
      </c>
    </row>
    <row r="11" customFormat="false" ht="15" hidden="false" customHeight="false" outlineLevel="0" collapsed="false">
      <c r="A11" s="7" t="s">
        <v>15</v>
      </c>
    </row>
    <row r="12" customFormat="false" ht="15" hidden="false" customHeight="true" outlineLevel="0" collapsed="false">
      <c r="A12" s="8" t="s">
        <v>16</v>
      </c>
      <c r="B12" s="9" t="s">
        <v>17</v>
      </c>
      <c r="C12" s="9"/>
    </row>
    <row r="13" customFormat="false" ht="15" hidden="false" customHeight="true" outlineLevel="0" collapsed="false">
      <c r="A13" s="10" t="s">
        <v>18</v>
      </c>
      <c r="B13" s="9" t="s">
        <v>19</v>
      </c>
      <c r="C13" s="9"/>
    </row>
    <row r="14" customFormat="false" ht="15" hidden="false" customHeight="true" outlineLevel="0" collapsed="false">
      <c r="A14" s="11" t="s">
        <v>20</v>
      </c>
      <c r="B14" s="9" t="s">
        <v>21</v>
      </c>
      <c r="C14" s="9"/>
    </row>
    <row r="15" customFormat="false" ht="15" hidden="false" customHeight="true" outlineLevel="0" collapsed="false">
      <c r="A15" s="12" t="s">
        <v>22</v>
      </c>
      <c r="B15" s="9" t="s">
        <v>23</v>
      </c>
      <c r="C15" s="9"/>
    </row>
    <row r="17" customFormat="false" ht="15" hidden="false" customHeight="false" outlineLevel="0" collapsed="false">
      <c r="A17" s="7" t="s">
        <v>24</v>
      </c>
    </row>
    <row r="18" customFormat="false" ht="15" hidden="false" customHeight="false" outlineLevel="0" collapsed="false">
      <c r="A18" s="8" t="s">
        <v>16</v>
      </c>
      <c r="B18" s="13" t="n">
        <f aca="false">COUNTIF(A_總表!A:A,"第一優先")</f>
        <v>1</v>
      </c>
    </row>
    <row r="19" customFormat="false" ht="15" hidden="false" customHeight="false" outlineLevel="0" collapsed="false">
      <c r="A19" s="10" t="s">
        <v>18</v>
      </c>
      <c r="B19" s="13" t="n">
        <f aca="false">COUNTIF(A_總表!A:A,"第二優先")</f>
        <v>5</v>
      </c>
    </row>
    <row r="20" customFormat="false" ht="15" hidden="false" customHeight="false" outlineLevel="0" collapsed="false">
      <c r="A20" s="11" t="s">
        <v>20</v>
      </c>
      <c r="B20" s="13" t="n">
        <f aca="false">COUNTIF(A_總表!A:A,"待確認實坪")</f>
        <v>13</v>
      </c>
    </row>
    <row r="21" customFormat="false" ht="15" hidden="false" customHeight="false" outlineLevel="0" collapsed="false">
      <c r="A21" s="12" t="s">
        <v>22</v>
      </c>
      <c r="B21" s="13" t="n">
        <f aca="false">COUNTIF(A_總表!A:A,"不符合")</f>
        <v>61</v>
      </c>
    </row>
    <row r="22" customFormat="false" ht="15" hidden="false" customHeight="false" outlineLevel="0" collapsed="false">
      <c r="A22" s="14" t="s">
        <v>25</v>
      </c>
      <c r="B22" s="15" t="n">
        <f aca="false">SUM(B18:B21)</f>
        <v>80</v>
      </c>
    </row>
    <row r="24" customFormat="false" ht="15" hidden="false" customHeight="false" outlineLevel="0" collapsed="false">
      <c r="A24" s="7" t="s">
        <v>26</v>
      </c>
    </row>
    <row r="25" customFormat="false" ht="15" hidden="false" customHeight="true" outlineLevel="0" collapsed="false">
      <c r="A25" s="16" t="s">
        <v>27</v>
      </c>
      <c r="B25" s="9" t="s">
        <v>28</v>
      </c>
      <c r="C25" s="9"/>
    </row>
    <row r="26" customFormat="false" ht="15" hidden="false" customHeight="true" outlineLevel="0" collapsed="false">
      <c r="A26" s="16" t="s">
        <v>29</v>
      </c>
      <c r="B26" s="9" t="s">
        <v>30</v>
      </c>
      <c r="C26" s="9"/>
    </row>
    <row r="27" customFormat="false" ht="15" hidden="false" customHeight="true" outlineLevel="0" collapsed="false">
      <c r="A27" s="16" t="s">
        <v>31</v>
      </c>
      <c r="B27" s="9" t="s">
        <v>32</v>
      </c>
      <c r="C27" s="9"/>
    </row>
    <row r="28" customFormat="false" ht="15" hidden="false" customHeight="true" outlineLevel="0" collapsed="false">
      <c r="A28" s="16" t="s">
        <v>33</v>
      </c>
      <c r="B28" s="9" t="s">
        <v>34</v>
      </c>
      <c r="C28" s="9"/>
    </row>
    <row r="29" customFormat="false" ht="15" hidden="false" customHeight="true" outlineLevel="0" collapsed="false">
      <c r="A29" s="16" t="s">
        <v>35</v>
      </c>
      <c r="B29" s="17" t="s">
        <v>36</v>
      </c>
      <c r="C29" s="17"/>
    </row>
    <row r="30" customFormat="false" ht="15" hidden="false" customHeight="true" outlineLevel="0" collapsed="false">
      <c r="A30" s="16" t="s">
        <v>37</v>
      </c>
      <c r="B30" s="9" t="s">
        <v>38</v>
      </c>
      <c r="C30" s="9"/>
    </row>
    <row r="31" customFormat="false" ht="15" hidden="false" customHeight="true" outlineLevel="0" collapsed="false">
      <c r="A31" s="16" t="s">
        <v>39</v>
      </c>
      <c r="B31" s="9" t="s">
        <v>40</v>
      </c>
      <c r="C31" s="9"/>
    </row>
    <row r="32" customFormat="false" ht="15" hidden="false" customHeight="true" outlineLevel="0" collapsed="false">
      <c r="A32" s="16" t="s">
        <v>41</v>
      </c>
      <c r="B32" s="9" t="s">
        <v>42</v>
      </c>
      <c r="C32" s="9"/>
    </row>
    <row r="33" customFormat="false" ht="15" hidden="false" customHeight="true" outlineLevel="0" collapsed="false">
      <c r="A33" s="16" t="s">
        <v>43</v>
      </c>
      <c r="B33" s="17" t="s">
        <v>44</v>
      </c>
      <c r="C33" s="17"/>
    </row>
  </sheetData>
  <mergeCells count="13">
    <mergeCell ref="B12:C12"/>
    <mergeCell ref="B13:C13"/>
    <mergeCell ref="B14:C14"/>
    <mergeCell ref="B15:C15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36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6" min="15" style="0" width="11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1"/>
    <col collapsed="false" customWidth="true" hidden="false" outlineLevel="0" max="21" min="21" style="0" width="40"/>
    <col collapsed="false" customWidth="true" hidden="false" outlineLevel="0" max="22" min="22" style="0" width="12"/>
    <col collapsed="false" customWidth="true" hidden="false" outlineLevel="0" max="23" min="23" style="0" width="9"/>
    <col collapsed="false" customWidth="true" hidden="false" outlineLevel="0" max="24" min="24" style="0" width="44"/>
    <col collapsed="false" customWidth="true" hidden="false" outlineLevel="0" max="25" min="25" style="0" width="40"/>
    <col collapsed="false" customWidth="true" hidden="false" outlineLevel="0" max="26" min="26" style="0" width="34"/>
    <col collapsed="false" customWidth="true" hidden="false" outlineLevel="0" max="27" min="27" style="0" width="16"/>
    <col collapsed="false" customWidth="true" hidden="false" outlineLevel="0" max="28" min="28" style="0" width="12"/>
    <col collapsed="false" customWidth="true" hidden="false" outlineLevel="0" max="29" min="29" style="0" width="46"/>
  </cols>
  <sheetData>
    <row r="1" customFormat="false" ht="21.6" hidden="false" customHeight="false" outlineLevel="0" collapsed="false">
      <c r="A1" s="18" t="s">
        <v>45</v>
      </c>
    </row>
    <row r="2" customFormat="false" ht="15" hidden="false" customHeight="false" outlineLevel="0" collapsed="false">
      <c r="A2" s="2" t="s">
        <v>46</v>
      </c>
    </row>
    <row r="4" customFormat="false" ht="33.75" hidden="false" customHeight="true" outlineLevel="0" collapsed="false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56</v>
      </c>
      <c r="K4" s="3" t="s">
        <v>57</v>
      </c>
      <c r="L4" s="3" t="s">
        <v>58</v>
      </c>
      <c r="M4" s="3" t="s">
        <v>59</v>
      </c>
      <c r="N4" s="3" t="s">
        <v>60</v>
      </c>
      <c r="O4" s="3" t="s">
        <v>61</v>
      </c>
      <c r="P4" s="3" t="s">
        <v>62</v>
      </c>
      <c r="Q4" s="3" t="s">
        <v>63</v>
      </c>
      <c r="R4" s="3" t="s">
        <v>64</v>
      </c>
      <c r="S4" s="3" t="s">
        <v>65</v>
      </c>
      <c r="T4" s="3" t="s">
        <v>66</v>
      </c>
      <c r="U4" s="3" t="s">
        <v>67</v>
      </c>
      <c r="V4" s="3" t="s">
        <v>68</v>
      </c>
      <c r="W4" s="3" t="s">
        <v>69</v>
      </c>
      <c r="X4" s="3" t="s">
        <v>70</v>
      </c>
      <c r="Y4" s="3" t="s">
        <v>71</v>
      </c>
      <c r="Z4" s="3" t="s">
        <v>72</v>
      </c>
      <c r="AA4" s="3" t="s">
        <v>73</v>
      </c>
      <c r="AB4" s="19" t="s">
        <v>74</v>
      </c>
      <c r="AC4" s="3" t="s">
        <v>75</v>
      </c>
    </row>
    <row r="5" customFormat="false" ht="63.75" hidden="false" customHeight="true" outlineLevel="0" collapsed="false">
      <c r="A5" s="16" t="s">
        <v>76</v>
      </c>
      <c r="B5" s="20" t="s">
        <v>77</v>
      </c>
      <c r="C5" s="10" t="s">
        <v>18</v>
      </c>
      <c r="D5" s="4" t="s">
        <v>78</v>
      </c>
      <c r="E5" s="4" t="s">
        <v>79</v>
      </c>
      <c r="F5" s="16" t="s">
        <v>80</v>
      </c>
      <c r="G5" s="21" t="n">
        <v>330.22</v>
      </c>
      <c r="H5" s="21" t="n">
        <v>300.43</v>
      </c>
      <c r="I5" s="22" t="n">
        <v>480000</v>
      </c>
      <c r="J5" s="16" t="s">
        <v>81</v>
      </c>
      <c r="K5" s="23" t="n">
        <v>49533</v>
      </c>
      <c r="L5" s="24" t="n">
        <f aca="false">IF(OR(I5="",K5=""),"管理費缺",I5+K5)</f>
        <v>529533</v>
      </c>
      <c r="M5" s="24" t="n">
        <f aca="false">IF(OR(I5="",G5=""),"",I5/G5)</f>
        <v>1453.57640360971</v>
      </c>
      <c r="N5" s="4" t="str">
        <f aca="false">IF(H5="","未揭露",IF(H5&gt;=0_條件與假設!$B$5,"✓","✗"))</f>
        <v>✓</v>
      </c>
      <c r="O5" s="4" t="str">
        <f aca="false">IF(I5="","未提供",IF(I5&lt;=0_條件與假設!$B$6,"≤45萬",IF(I5&lt;=0_條件與假設!$B$7,"45～55萬","超過55萬")))</f>
        <v>45～55萬</v>
      </c>
      <c r="P5" s="4" t="s">
        <v>82</v>
      </c>
      <c r="Q5" s="4" t="s">
        <v>83</v>
      </c>
      <c r="R5" s="23" t="n">
        <v>950</v>
      </c>
      <c r="S5" s="13" t="n">
        <v>16</v>
      </c>
      <c r="T5" s="4" t="str">
        <f aca="false">IF(S5="","未確認",IF(S5&lt;=0_條件與假設!$B$8,"✓",IF(S5&lt;=16,"△ 11～16分","✗")))</f>
        <v>△ 11～16分</v>
      </c>
      <c r="U5" s="4" t="s">
        <v>84</v>
      </c>
      <c r="V5" s="16" t="s">
        <v>85</v>
      </c>
      <c r="W5" s="16" t="s">
        <v>86</v>
      </c>
      <c r="X5" s="25" t="s">
        <v>87</v>
      </c>
      <c r="Y5" s="25" t="s">
        <v>88</v>
      </c>
      <c r="Z5" s="4" t="s">
        <v>89</v>
      </c>
      <c r="AA5" s="20" t="s">
        <v>90</v>
      </c>
      <c r="AB5" s="20" t="s">
        <v>91</v>
      </c>
      <c r="AC5" s="4" t="s">
        <v>92</v>
      </c>
    </row>
    <row r="6" customFormat="false" ht="63.75" hidden="false" customHeight="true" outlineLevel="0" collapsed="false">
      <c r="A6" s="16" t="s">
        <v>93</v>
      </c>
      <c r="B6" s="20" t="s">
        <v>94</v>
      </c>
      <c r="C6" s="11" t="s">
        <v>20</v>
      </c>
      <c r="D6" s="4" t="s">
        <v>95</v>
      </c>
      <c r="E6" s="4" t="s">
        <v>96</v>
      </c>
      <c r="F6" s="16" t="s">
        <v>97</v>
      </c>
      <c r="G6" s="21" t="n">
        <v>302</v>
      </c>
      <c r="H6" s="26"/>
      <c r="I6" s="23" t="n">
        <v>540837</v>
      </c>
      <c r="J6" s="16" t="s">
        <v>98</v>
      </c>
      <c r="K6" s="22"/>
      <c r="L6" s="27" t="str">
        <f aca="false">IF(OR(I6="",K6=""),"管理費缺",I6+K6)</f>
        <v>管理費缺</v>
      </c>
      <c r="M6" s="24" t="n">
        <f aca="false">IF(OR(I6="",G6=""),"",I6/G6)</f>
        <v>1790.85099337748</v>
      </c>
      <c r="N6" s="4" t="str">
        <f aca="false">IF(H6="","未揭露",IF(H6&gt;=0_條件與假設!$B$5,"✓","✗"))</f>
        <v>未揭露</v>
      </c>
      <c r="O6" s="4" t="str">
        <f aca="false">IF(I6="","未提供",IF(I6&lt;=0_條件與假設!$B$6,"≤45萬",IF(I6&lt;=0_條件與假設!$B$7,"45～55萬","超過55萬")))</f>
        <v>45～55萬</v>
      </c>
      <c r="P6" s="4" t="s">
        <v>99</v>
      </c>
      <c r="Q6" s="4" t="s">
        <v>100</v>
      </c>
      <c r="R6" s="23" t="n">
        <v>156</v>
      </c>
      <c r="S6" s="13" t="n">
        <v>3</v>
      </c>
      <c r="T6" s="4" t="str">
        <f aca="false">IF(S6="","未確認",IF(S6&lt;=0_條件與假設!$B$8,"✓",IF(S6&lt;=16,"△ 11～16分","✗")))</f>
        <v>✓</v>
      </c>
      <c r="U6" s="28" t="s">
        <v>101</v>
      </c>
      <c r="V6" s="4" t="s">
        <v>102</v>
      </c>
      <c r="W6" s="4" t="s">
        <v>103</v>
      </c>
      <c r="X6" s="16" t="s">
        <v>104</v>
      </c>
      <c r="Y6" s="28" t="s">
        <v>105</v>
      </c>
      <c r="Z6" s="4" t="s">
        <v>106</v>
      </c>
      <c r="AA6" s="20" t="s">
        <v>90</v>
      </c>
      <c r="AB6" s="20" t="s">
        <v>91</v>
      </c>
      <c r="AC6" s="4" t="s">
        <v>107</v>
      </c>
    </row>
    <row r="7" customFormat="false" ht="63.75" hidden="false" customHeight="true" outlineLevel="0" collapsed="false">
      <c r="A7" s="16" t="s">
        <v>108</v>
      </c>
      <c r="B7" s="20" t="s">
        <v>109</v>
      </c>
      <c r="C7" s="11" t="s">
        <v>20</v>
      </c>
      <c r="D7" s="4" t="s">
        <v>95</v>
      </c>
      <c r="E7" s="4" t="s">
        <v>110</v>
      </c>
      <c r="F7" s="16" t="s">
        <v>111</v>
      </c>
      <c r="G7" s="21" t="n">
        <v>285.67</v>
      </c>
      <c r="H7" s="26"/>
      <c r="I7" s="23" t="n">
        <v>428505</v>
      </c>
      <c r="J7" s="16" t="s">
        <v>112</v>
      </c>
      <c r="K7" s="23" t="n">
        <v>47136</v>
      </c>
      <c r="L7" s="24" t="n">
        <f aca="false">IF(OR(I7="",K7=""),"管理費缺",I7+K7)</f>
        <v>475641</v>
      </c>
      <c r="M7" s="24" t="n">
        <f aca="false">IF(OR(I7="",G7=""),"",I7/G7)</f>
        <v>1500</v>
      </c>
      <c r="N7" s="4" t="str">
        <f aca="false">IF(H7="","未揭露",IF(H7&gt;=0_條件與假設!$B$5,"✓","✗"))</f>
        <v>未揭露</v>
      </c>
      <c r="O7" s="4" t="str">
        <f aca="false">IF(I7="","未提供",IF(I7&lt;=0_條件與假設!$B$6,"≤45萬",IF(I7&lt;=0_條件與假設!$B$7,"45～55萬","超過55萬")))</f>
        <v>≤45萬</v>
      </c>
      <c r="P7" s="4" t="s">
        <v>113</v>
      </c>
      <c r="Q7" s="4" t="s">
        <v>114</v>
      </c>
      <c r="R7" s="23" t="n">
        <v>620</v>
      </c>
      <c r="S7" s="13" t="n">
        <v>11</v>
      </c>
      <c r="T7" s="4" t="str">
        <f aca="false">IF(S7="","未確認",IF(S7&lt;=0_條件與假設!$B$8,"✓",IF(S7&lt;=16,"△ 11～16分","✗")))</f>
        <v>△ 11～16分</v>
      </c>
      <c r="U7" s="4" t="s">
        <v>115</v>
      </c>
      <c r="V7" s="16" t="s">
        <v>86</v>
      </c>
      <c r="W7" s="16" t="s">
        <v>86</v>
      </c>
      <c r="X7" s="16" t="s">
        <v>116</v>
      </c>
      <c r="Y7" s="28" t="s">
        <v>117</v>
      </c>
      <c r="Z7" s="4" t="s">
        <v>118</v>
      </c>
      <c r="AA7" s="20" t="s">
        <v>90</v>
      </c>
      <c r="AB7" s="20" t="s">
        <v>91</v>
      </c>
      <c r="AC7" s="4" t="s">
        <v>119</v>
      </c>
    </row>
    <row r="8" customFormat="false" ht="63.75" hidden="false" customHeight="true" outlineLevel="0" collapsed="false">
      <c r="A8" s="16" t="s">
        <v>120</v>
      </c>
      <c r="B8" s="20" t="s">
        <v>121</v>
      </c>
      <c r="C8" s="11" t="s">
        <v>20</v>
      </c>
      <c r="D8" s="4" t="s">
        <v>122</v>
      </c>
      <c r="E8" s="4" t="s">
        <v>123</v>
      </c>
      <c r="F8" s="16" t="s">
        <v>124</v>
      </c>
      <c r="G8" s="21" t="n">
        <v>283</v>
      </c>
      <c r="H8" s="26"/>
      <c r="I8" s="23" t="n">
        <v>534870</v>
      </c>
      <c r="J8" s="16" t="s">
        <v>125</v>
      </c>
      <c r="K8" s="22"/>
      <c r="L8" s="27" t="str">
        <f aca="false">IF(OR(I8="",K8=""),"管理費缺",I8+K8)</f>
        <v>管理費缺</v>
      </c>
      <c r="M8" s="24" t="n">
        <f aca="false">IF(OR(I8="",G8=""),"",I8/G8)</f>
        <v>1890</v>
      </c>
      <c r="N8" s="4" t="str">
        <f aca="false">IF(H8="","未揭露",IF(H8&gt;=0_條件與假設!$B$5,"✓","✗"))</f>
        <v>未揭露</v>
      </c>
      <c r="O8" s="4" t="str">
        <f aca="false">IF(I8="","未提供",IF(I8&lt;=0_條件與假設!$B$6,"≤45萬",IF(I8&lt;=0_條件與假設!$B$7,"45～55萬","超過55萬")))</f>
        <v>45～55萬</v>
      </c>
      <c r="P8" s="4" t="s">
        <v>126</v>
      </c>
      <c r="Q8" s="4" t="s">
        <v>100</v>
      </c>
      <c r="R8" s="23" t="n">
        <v>88</v>
      </c>
      <c r="S8" s="13" t="n">
        <v>2</v>
      </c>
      <c r="T8" s="4" t="str">
        <f aca="false">IF(S8="","未確認",IF(S8&lt;=0_條件與假設!$B$8,"✓",IF(S8&lt;=16,"△ 11～16分","✗")))</f>
        <v>✓</v>
      </c>
      <c r="U8" s="28" t="s">
        <v>127</v>
      </c>
      <c r="V8" s="16" t="s">
        <v>128</v>
      </c>
      <c r="W8" s="16" t="s">
        <v>129</v>
      </c>
      <c r="X8" s="16" t="s">
        <v>130</v>
      </c>
      <c r="Y8" s="28" t="s">
        <v>131</v>
      </c>
      <c r="Z8" s="4" t="s">
        <v>132</v>
      </c>
      <c r="AA8" s="20" t="s">
        <v>90</v>
      </c>
      <c r="AB8" s="20" t="s">
        <v>91</v>
      </c>
      <c r="AC8" s="4" t="s">
        <v>133</v>
      </c>
    </row>
    <row r="9" customFormat="false" ht="63.75" hidden="false" customHeight="true" outlineLevel="0" collapsed="false">
      <c r="A9" s="16" t="s">
        <v>134</v>
      </c>
      <c r="B9" s="20" t="s">
        <v>135</v>
      </c>
      <c r="C9" s="11" t="s">
        <v>20</v>
      </c>
      <c r="D9" s="4" t="s">
        <v>95</v>
      </c>
      <c r="E9" s="4" t="s">
        <v>136</v>
      </c>
      <c r="F9" s="16" t="s">
        <v>137</v>
      </c>
      <c r="G9" s="21" t="n">
        <v>255.18</v>
      </c>
      <c r="H9" s="26"/>
      <c r="I9" s="23" t="n">
        <v>507565</v>
      </c>
      <c r="J9" s="16" t="s">
        <v>138</v>
      </c>
      <c r="K9" s="22"/>
      <c r="L9" s="27" t="str">
        <f aca="false">IF(OR(I9="",K9=""),"管理費缺",I9+K9)</f>
        <v>管理費缺</v>
      </c>
      <c r="M9" s="24" t="n">
        <f aca="false">IF(OR(I9="",G9=""),"",I9/G9)</f>
        <v>1989.04694725292</v>
      </c>
      <c r="N9" s="4" t="str">
        <f aca="false">IF(H9="","未揭露",IF(H9&gt;=0_條件與假設!$B$5,"✓","✗"))</f>
        <v>未揭露</v>
      </c>
      <c r="O9" s="4" t="str">
        <f aca="false">IF(I9="","未提供",IF(I9&lt;=0_條件與假設!$B$6,"≤45萬",IF(I9&lt;=0_條件與假設!$B$7,"45～55萬","超過55萬")))</f>
        <v>45～55萬</v>
      </c>
      <c r="P9" s="28" t="s">
        <v>139</v>
      </c>
      <c r="Q9" s="4"/>
      <c r="R9" s="23"/>
      <c r="S9" s="13"/>
      <c r="T9" s="4" t="str">
        <f aca="false">IF(S9="","未確認",IF(S9&lt;=0_條件與假設!$B$8,"✓",IF(S9&lt;=16,"△ 11～16分","✗")))</f>
        <v>未確認</v>
      </c>
      <c r="U9" s="4" t="s">
        <v>140</v>
      </c>
      <c r="V9" s="4" t="s">
        <v>141</v>
      </c>
      <c r="W9" s="4" t="s">
        <v>103</v>
      </c>
      <c r="X9" s="25" t="s">
        <v>142</v>
      </c>
      <c r="Y9" s="28" t="s">
        <v>143</v>
      </c>
      <c r="Z9" s="4" t="s">
        <v>144</v>
      </c>
      <c r="AA9" s="20" t="s">
        <v>90</v>
      </c>
      <c r="AB9" s="20" t="s">
        <v>91</v>
      </c>
      <c r="AC9" s="4" t="s">
        <v>145</v>
      </c>
    </row>
    <row r="10" customFormat="false" ht="63.75" hidden="false" customHeight="true" outlineLevel="0" collapsed="false">
      <c r="A10" s="16" t="s">
        <v>146</v>
      </c>
      <c r="B10" s="20" t="s">
        <v>147</v>
      </c>
      <c r="C10" s="11" t="s">
        <v>20</v>
      </c>
      <c r="D10" s="4" t="s">
        <v>95</v>
      </c>
      <c r="E10" s="4" t="s">
        <v>110</v>
      </c>
      <c r="F10" s="16" t="s">
        <v>148</v>
      </c>
      <c r="G10" s="21" t="n">
        <v>254.06</v>
      </c>
      <c r="H10" s="26"/>
      <c r="I10" s="23" t="n">
        <v>381090</v>
      </c>
      <c r="J10" s="16" t="s">
        <v>149</v>
      </c>
      <c r="K10" s="23" t="n">
        <v>41920</v>
      </c>
      <c r="L10" s="24" t="n">
        <f aca="false">IF(OR(I10="",K10=""),"管理費缺",I10+K10)</f>
        <v>423010</v>
      </c>
      <c r="M10" s="24" t="n">
        <f aca="false">IF(OR(I10="",G10=""),"",I10/G10)</f>
        <v>1500</v>
      </c>
      <c r="N10" s="4" t="str">
        <f aca="false">IF(H10="","未揭露",IF(H10&gt;=0_條件與假設!$B$5,"✓","✗"))</f>
        <v>未揭露</v>
      </c>
      <c r="O10" s="4" t="str">
        <f aca="false">IF(I10="","未提供",IF(I10&lt;=0_條件與假設!$B$6,"≤45萬",IF(I10&lt;=0_條件與假設!$B$7,"45～55萬","超過55萬")))</f>
        <v>≤45萬</v>
      </c>
      <c r="P10" s="4" t="s">
        <v>113</v>
      </c>
      <c r="Q10" s="4" t="s">
        <v>114</v>
      </c>
      <c r="R10" s="23" t="n">
        <v>620</v>
      </c>
      <c r="S10" s="13" t="n">
        <v>11</v>
      </c>
      <c r="T10" s="4" t="str">
        <f aca="false">IF(S10="","未確認",IF(S10&lt;=0_條件與假設!$B$8,"✓",IF(S10&lt;=16,"△ 11～16分","✗")))</f>
        <v>△ 11～16分</v>
      </c>
      <c r="U10" s="4" t="s">
        <v>150</v>
      </c>
      <c r="V10" s="16" t="s">
        <v>128</v>
      </c>
      <c r="W10" s="16" t="s">
        <v>129</v>
      </c>
      <c r="X10" s="16" t="s">
        <v>151</v>
      </c>
      <c r="Y10" s="28" t="s">
        <v>117</v>
      </c>
      <c r="Z10" s="4" t="s">
        <v>118</v>
      </c>
      <c r="AA10" s="20" t="s">
        <v>90</v>
      </c>
      <c r="AB10" s="20" t="s">
        <v>91</v>
      </c>
      <c r="AC10" s="4" t="s">
        <v>152</v>
      </c>
    </row>
    <row r="11" customFormat="false" ht="63.75" hidden="false" customHeight="true" outlineLevel="0" collapsed="false">
      <c r="A11" s="16" t="s">
        <v>153</v>
      </c>
      <c r="B11" s="20" t="s">
        <v>154</v>
      </c>
      <c r="C11" s="11" t="s">
        <v>20</v>
      </c>
      <c r="D11" s="4" t="s">
        <v>95</v>
      </c>
      <c r="E11" s="4" t="s">
        <v>155</v>
      </c>
      <c r="F11" s="16" t="s">
        <v>156</v>
      </c>
      <c r="G11" s="21" t="n">
        <v>253</v>
      </c>
      <c r="H11" s="26"/>
      <c r="I11" s="23" t="n">
        <v>480035</v>
      </c>
      <c r="J11" s="16" t="s">
        <v>157</v>
      </c>
      <c r="K11" s="22"/>
      <c r="L11" s="27" t="str">
        <f aca="false">IF(OR(I11="",K11=""),"管理費缺",I11+K11)</f>
        <v>管理費缺</v>
      </c>
      <c r="M11" s="24" t="n">
        <f aca="false">IF(OR(I11="",G11=""),"",I11/G11)</f>
        <v>1897.37154150198</v>
      </c>
      <c r="N11" s="4" t="str">
        <f aca="false">IF(H11="","未揭露",IF(H11&gt;=0_條件與假設!$B$5,"✓","✗"))</f>
        <v>未揭露</v>
      </c>
      <c r="O11" s="4" t="str">
        <f aca="false">IF(I11="","未提供",IF(I11&lt;=0_條件與假設!$B$6,"≤45萬",IF(I11&lt;=0_條件與假設!$B$7,"45～55萬","超過55萬")))</f>
        <v>45～55萬</v>
      </c>
      <c r="P11" s="4" t="s">
        <v>99</v>
      </c>
      <c r="Q11" s="4" t="s">
        <v>100</v>
      </c>
      <c r="R11" s="23" t="n">
        <v>310</v>
      </c>
      <c r="S11" s="13" t="n">
        <v>6</v>
      </c>
      <c r="T11" s="4" t="str">
        <f aca="false">IF(S11="","未確認",IF(S11&lt;=0_條件與假設!$B$8,"✓",IF(S11&lt;=16,"△ 11～16分","✗")))</f>
        <v>✓</v>
      </c>
      <c r="U11" s="28" t="s">
        <v>158</v>
      </c>
      <c r="V11" s="4" t="s">
        <v>159</v>
      </c>
      <c r="W11" s="4" t="s">
        <v>103</v>
      </c>
      <c r="X11" s="16" t="s">
        <v>160</v>
      </c>
      <c r="Y11" s="28" t="s">
        <v>161</v>
      </c>
      <c r="Z11" s="4" t="s">
        <v>162</v>
      </c>
      <c r="AA11" s="20" t="s">
        <v>90</v>
      </c>
      <c r="AB11" s="20" t="s">
        <v>91</v>
      </c>
      <c r="AC11" s="4" t="s">
        <v>163</v>
      </c>
    </row>
    <row r="12" customFormat="false" ht="63.75" hidden="false" customHeight="true" outlineLevel="0" collapsed="false">
      <c r="A12" s="16" t="s">
        <v>164</v>
      </c>
      <c r="B12" s="20" t="s">
        <v>165</v>
      </c>
      <c r="C12" s="11" t="s">
        <v>20</v>
      </c>
      <c r="D12" s="4" t="s">
        <v>122</v>
      </c>
      <c r="E12" s="4" t="s">
        <v>166</v>
      </c>
      <c r="F12" s="16" t="s">
        <v>167</v>
      </c>
      <c r="G12" s="21" t="n">
        <v>243</v>
      </c>
      <c r="H12" s="26"/>
      <c r="I12" s="23" t="n">
        <v>534754</v>
      </c>
      <c r="J12" s="16" t="s">
        <v>168</v>
      </c>
      <c r="K12" s="22"/>
      <c r="L12" s="27" t="str">
        <f aca="false">IF(OR(I12="",K12=""),"管理費缺",I12+K12)</f>
        <v>管理費缺</v>
      </c>
      <c r="M12" s="24" t="n">
        <f aca="false">IF(OR(I12="",G12=""),"",I12/G12)</f>
        <v>2200.63374485597</v>
      </c>
      <c r="N12" s="4" t="str">
        <f aca="false">IF(H12="","未揭露",IF(H12&gt;=0_條件與假設!$B$5,"✓","✗"))</f>
        <v>未揭露</v>
      </c>
      <c r="O12" s="4" t="str">
        <f aca="false">IF(I12="","未提供",IF(I12&lt;=0_條件與假設!$B$6,"≤45萬",IF(I12&lt;=0_條件與假設!$B$7,"45～55萬","超過55萬")))</f>
        <v>45～55萬</v>
      </c>
      <c r="P12" s="4" t="s">
        <v>126</v>
      </c>
      <c r="Q12" s="4" t="s">
        <v>100</v>
      </c>
      <c r="R12" s="23" t="n">
        <v>48</v>
      </c>
      <c r="S12" s="13" t="n">
        <v>1</v>
      </c>
      <c r="T12" s="4" t="str">
        <f aca="false">IF(S12="","未確認",IF(S12&lt;=0_條件與假設!$B$8,"✓",IF(S12&lt;=16,"△ 11～16分","✗")))</f>
        <v>✓</v>
      </c>
      <c r="U12" s="28" t="s">
        <v>169</v>
      </c>
      <c r="V12" s="4" t="s">
        <v>159</v>
      </c>
      <c r="W12" s="4" t="s">
        <v>103</v>
      </c>
      <c r="X12" s="16" t="s">
        <v>170</v>
      </c>
      <c r="Y12" s="28" t="s">
        <v>171</v>
      </c>
      <c r="Z12" s="4" t="s">
        <v>162</v>
      </c>
      <c r="AA12" s="20" t="s">
        <v>90</v>
      </c>
      <c r="AB12" s="20" t="s">
        <v>91</v>
      </c>
      <c r="AC12" s="4" t="s">
        <v>172</v>
      </c>
    </row>
    <row r="13" customFormat="false" ht="63.75" hidden="false" customHeight="true" outlineLevel="0" collapsed="false">
      <c r="A13" s="16" t="s">
        <v>173</v>
      </c>
      <c r="B13" s="20" t="s">
        <v>174</v>
      </c>
      <c r="C13" s="12" t="s">
        <v>22</v>
      </c>
      <c r="D13" s="4" t="s">
        <v>122</v>
      </c>
      <c r="E13" s="4" t="s">
        <v>175</v>
      </c>
      <c r="F13" s="16" t="s">
        <v>176</v>
      </c>
      <c r="G13" s="21" t="n">
        <v>220.07</v>
      </c>
      <c r="H13" s="21" t="n">
        <v>207.21</v>
      </c>
      <c r="I13" s="23" t="n">
        <v>440140</v>
      </c>
      <c r="J13" s="16" t="s">
        <v>177</v>
      </c>
      <c r="K13" s="23" t="n">
        <v>48415</v>
      </c>
      <c r="L13" s="24" t="n">
        <f aca="false">IF(OR(I13="",K13=""),"管理費缺",I13+K13)</f>
        <v>488555</v>
      </c>
      <c r="M13" s="24" t="n">
        <f aca="false">IF(OR(I13="",G13=""),"",I13/G13)</f>
        <v>2000</v>
      </c>
      <c r="N13" s="4" t="str">
        <f aca="false">IF(H13="","未揭露",IF(H13&gt;=0_條件與假設!$B$5,"✓","✗"))</f>
        <v>✗</v>
      </c>
      <c r="O13" s="4" t="str">
        <f aca="false">IF(I13="","未提供",IF(I13&lt;=0_條件與假設!$B$6,"≤45萬",IF(I13&lt;=0_條件與假設!$B$7,"45～55萬","超過55萬")))</f>
        <v>≤45萬</v>
      </c>
      <c r="P13" s="28" t="s">
        <v>178</v>
      </c>
      <c r="Q13" s="4"/>
      <c r="R13" s="23"/>
      <c r="S13" s="13"/>
      <c r="T13" s="4" t="str">
        <f aca="false">IF(S13="","未確認",IF(S13&lt;=0_條件與假設!$B$8,"✓",IF(S13&lt;=16,"△ 11～16分","✗")))</f>
        <v>未確認</v>
      </c>
      <c r="U13" s="28" t="s">
        <v>179</v>
      </c>
      <c r="V13" s="16" t="s">
        <v>180</v>
      </c>
      <c r="W13" s="16" t="s">
        <v>129</v>
      </c>
      <c r="X13" s="16" t="s">
        <v>181</v>
      </c>
      <c r="Y13" s="25" t="s">
        <v>182</v>
      </c>
      <c r="Z13" s="4" t="s">
        <v>183</v>
      </c>
      <c r="AA13" s="20" t="s">
        <v>90</v>
      </c>
      <c r="AB13" s="20" t="s">
        <v>91</v>
      </c>
      <c r="AC13" s="28" t="s">
        <v>184</v>
      </c>
    </row>
    <row r="14" customFormat="false" ht="63.75" hidden="false" customHeight="true" outlineLevel="0" collapsed="false">
      <c r="A14" s="16" t="s">
        <v>185</v>
      </c>
      <c r="B14" s="20" t="s">
        <v>186</v>
      </c>
      <c r="C14" s="12" t="s">
        <v>22</v>
      </c>
      <c r="D14" s="4" t="s">
        <v>95</v>
      </c>
      <c r="E14" s="4" t="s">
        <v>187</v>
      </c>
      <c r="F14" s="16" t="s">
        <v>188</v>
      </c>
      <c r="G14" s="21" t="n">
        <v>227.15</v>
      </c>
      <c r="H14" s="21" t="n">
        <v>198.26</v>
      </c>
      <c r="I14" s="23" t="n">
        <v>500000</v>
      </c>
      <c r="J14" s="16" t="s">
        <v>189</v>
      </c>
      <c r="K14" s="23" t="n">
        <v>40000</v>
      </c>
      <c r="L14" s="24" t="n">
        <f aca="false">IF(OR(I14="",K14=""),"管理費缺",I14+K14)</f>
        <v>540000</v>
      </c>
      <c r="M14" s="24" t="n">
        <f aca="false">IF(OR(I14="",G14=""),"",I14/G14)</f>
        <v>2201.18864186661</v>
      </c>
      <c r="N14" s="4" t="str">
        <f aca="false">IF(H14="","未揭露",IF(H14&gt;=0_條件與假設!$B$5,"✓","✗"))</f>
        <v>✗</v>
      </c>
      <c r="O14" s="4" t="str">
        <f aca="false">IF(I14="","未提供",IF(I14&lt;=0_條件與假設!$B$6,"≤45萬",IF(I14&lt;=0_條件與假設!$B$7,"45～55萬","超過55萬")))</f>
        <v>45～55萬</v>
      </c>
      <c r="P14" s="28" t="s">
        <v>190</v>
      </c>
      <c r="Q14" s="4"/>
      <c r="R14" s="23"/>
      <c r="S14" s="13"/>
      <c r="T14" s="4" t="str">
        <f aca="false">IF(S14="","未確認",IF(S14&lt;=0_條件與假設!$B$8,"✓",IF(S14&lt;=16,"△ 11～16分","✗")))</f>
        <v>未確認</v>
      </c>
      <c r="U14" s="28" t="s">
        <v>191</v>
      </c>
      <c r="V14" s="16" t="s">
        <v>180</v>
      </c>
      <c r="W14" s="16" t="s">
        <v>129</v>
      </c>
      <c r="X14" s="16" t="s">
        <v>192</v>
      </c>
      <c r="Y14" s="4"/>
      <c r="Z14" s="4" t="s">
        <v>193</v>
      </c>
      <c r="AA14" s="20" t="s">
        <v>90</v>
      </c>
      <c r="AB14" s="20" t="s">
        <v>91</v>
      </c>
      <c r="AC14" s="28" t="s">
        <v>194</v>
      </c>
    </row>
    <row r="15" customFormat="false" ht="63.75" hidden="false" customHeight="true" outlineLevel="0" collapsed="false">
      <c r="A15" s="16" t="s">
        <v>195</v>
      </c>
      <c r="B15" s="20" t="s">
        <v>196</v>
      </c>
      <c r="C15" s="12" t="s">
        <v>22</v>
      </c>
      <c r="D15" s="4" t="s">
        <v>197</v>
      </c>
      <c r="E15" s="4" t="s">
        <v>198</v>
      </c>
      <c r="F15" s="16" t="s">
        <v>199</v>
      </c>
      <c r="G15" s="21" t="n">
        <v>303</v>
      </c>
      <c r="H15" s="26"/>
      <c r="I15" s="23" t="n">
        <v>450000</v>
      </c>
      <c r="J15" s="16" t="s">
        <v>200</v>
      </c>
      <c r="K15" s="22"/>
      <c r="L15" s="27" t="str">
        <f aca="false">IF(OR(I15="",K15=""),"管理費缺",I15+K15)</f>
        <v>管理費缺</v>
      </c>
      <c r="M15" s="24" t="n">
        <f aca="false">IF(OR(I15="",G15=""),"",I15/G15)</f>
        <v>1485.14851485149</v>
      </c>
      <c r="N15" s="4" t="str">
        <f aca="false">IF(H15="","未揭露",IF(H15&gt;=0_條件與假設!$B$5,"✓","✗"))</f>
        <v>未揭露</v>
      </c>
      <c r="O15" s="4" t="str">
        <f aca="false">IF(I15="","未提供",IF(I15&lt;=0_條件與假設!$B$6,"≤45萬",IF(I15&lt;=0_條件與假設!$B$7,"45～55萬","超過55萬")))</f>
        <v>≤45萬</v>
      </c>
      <c r="P15" s="4" t="s">
        <v>198</v>
      </c>
      <c r="Q15" s="4" t="s">
        <v>83</v>
      </c>
      <c r="R15" s="23" t="n">
        <v>164</v>
      </c>
      <c r="S15" s="13" t="n">
        <v>3</v>
      </c>
      <c r="T15" s="4" t="str">
        <f aca="false">IF(S15="","未確認",IF(S15&lt;=0_條件與假設!$B$8,"✓",IF(S15&lt;=16,"△ 11～16分","✗")))</f>
        <v>✓</v>
      </c>
      <c r="U15" s="28" t="s">
        <v>201</v>
      </c>
      <c r="V15" s="4" t="s">
        <v>159</v>
      </c>
      <c r="W15" s="16" t="s">
        <v>202</v>
      </c>
      <c r="X15" s="16" t="s">
        <v>203</v>
      </c>
      <c r="Y15" s="28" t="s">
        <v>204</v>
      </c>
      <c r="Z15" s="4" t="s">
        <v>205</v>
      </c>
      <c r="AA15" s="20" t="s">
        <v>90</v>
      </c>
      <c r="AB15" s="20" t="s">
        <v>91</v>
      </c>
      <c r="AC15" s="28" t="s">
        <v>206</v>
      </c>
    </row>
    <row r="16" customFormat="false" ht="63.75" hidden="false" customHeight="true" outlineLevel="0" collapsed="false">
      <c r="A16" s="16" t="s">
        <v>207</v>
      </c>
      <c r="B16" s="20" t="s">
        <v>208</v>
      </c>
      <c r="C16" s="12" t="s">
        <v>22</v>
      </c>
      <c r="D16" s="4" t="s">
        <v>209</v>
      </c>
      <c r="E16" s="4" t="s">
        <v>210</v>
      </c>
      <c r="F16" s="16" t="s">
        <v>211</v>
      </c>
      <c r="G16" s="21" t="n">
        <v>204</v>
      </c>
      <c r="H16" s="26"/>
      <c r="I16" s="23" t="n">
        <v>469200</v>
      </c>
      <c r="J16" s="16" t="s">
        <v>212</v>
      </c>
      <c r="K16" s="22"/>
      <c r="L16" s="27" t="str">
        <f aca="false">IF(OR(I16="",K16=""),"管理費缺",I16+K16)</f>
        <v>管理費缺</v>
      </c>
      <c r="M16" s="24" t="n">
        <f aca="false">IF(OR(I16="",G16=""),"",I16/G16)</f>
        <v>2300</v>
      </c>
      <c r="N16" s="4" t="str">
        <f aca="false">IF(H16="","未揭露",IF(H16&gt;=0_條件與假設!$B$5,"✓","✗"))</f>
        <v>未揭露</v>
      </c>
      <c r="O16" s="4" t="str">
        <f aca="false">IF(I16="","未提供",IF(I16&lt;=0_條件與假設!$B$6,"≤45萬",IF(I16&lt;=0_條件與假設!$B$7,"45～55萬","超過55萬")))</f>
        <v>45～55萬</v>
      </c>
      <c r="P16" s="4" t="s">
        <v>213</v>
      </c>
      <c r="Q16" s="4" t="s">
        <v>83</v>
      </c>
      <c r="R16" s="23" t="n">
        <v>760</v>
      </c>
      <c r="S16" s="13" t="n">
        <v>13</v>
      </c>
      <c r="T16" s="4" t="str">
        <f aca="false">IF(S16="","未確認",IF(S16&lt;=0_條件與假設!$B$8,"✓",IF(S16&lt;=16,"△ 11～16分","✗")))</f>
        <v>△ 11～16分</v>
      </c>
      <c r="U16" s="28" t="s">
        <v>214</v>
      </c>
      <c r="V16" s="16" t="s">
        <v>128</v>
      </c>
      <c r="W16" s="4" t="s">
        <v>103</v>
      </c>
      <c r="X16" s="16" t="s">
        <v>215</v>
      </c>
      <c r="Y16" s="28" t="s">
        <v>216</v>
      </c>
      <c r="Z16" s="4" t="s">
        <v>162</v>
      </c>
      <c r="AA16" s="20" t="s">
        <v>90</v>
      </c>
      <c r="AB16" s="20" t="s">
        <v>91</v>
      </c>
      <c r="AC16" s="28" t="s">
        <v>217</v>
      </c>
    </row>
    <row r="17" customFormat="false" ht="63.75" hidden="false" customHeight="true" outlineLevel="0" collapsed="false">
      <c r="A17" s="16" t="s">
        <v>218</v>
      </c>
      <c r="B17" s="20" t="s">
        <v>219</v>
      </c>
      <c r="C17" s="12" t="s">
        <v>22</v>
      </c>
      <c r="D17" s="4" t="s">
        <v>122</v>
      </c>
      <c r="E17" s="4" t="s">
        <v>220</v>
      </c>
      <c r="F17" s="16" t="s">
        <v>156</v>
      </c>
      <c r="G17" s="21" t="n">
        <v>195</v>
      </c>
      <c r="H17" s="26"/>
      <c r="I17" s="23" t="n">
        <v>470925</v>
      </c>
      <c r="J17" s="16" t="s">
        <v>221</v>
      </c>
      <c r="K17" s="22"/>
      <c r="L17" s="27" t="str">
        <f aca="false">IF(OR(I17="",K17=""),"管理費缺",I17+K17)</f>
        <v>管理費缺</v>
      </c>
      <c r="M17" s="24" t="n">
        <f aca="false">IF(OR(I17="",G17=""),"",I17/G17)</f>
        <v>2415</v>
      </c>
      <c r="N17" s="4" t="str">
        <f aca="false">IF(H17="","未揭露",IF(H17&gt;=0_條件與假設!$B$5,"✓","✗"))</f>
        <v>未揭露</v>
      </c>
      <c r="O17" s="4" t="str">
        <f aca="false">IF(I17="","未提供",IF(I17&lt;=0_條件與假設!$B$6,"≤45萬",IF(I17&lt;=0_條件與假設!$B$7,"45～55萬","超過55萬")))</f>
        <v>45～55萬</v>
      </c>
      <c r="P17" s="4" t="s">
        <v>222</v>
      </c>
      <c r="Q17" s="4" t="s">
        <v>100</v>
      </c>
      <c r="R17" s="23" t="n">
        <v>180</v>
      </c>
      <c r="S17" s="13" t="n">
        <v>3</v>
      </c>
      <c r="T17" s="4" t="str">
        <f aca="false">IF(S17="","未確認",IF(S17&lt;=0_條件與假設!$B$8,"✓",IF(S17&lt;=16,"△ 11～16分","✗")))</f>
        <v>✓</v>
      </c>
      <c r="U17" s="28" t="s">
        <v>223</v>
      </c>
      <c r="V17" s="16" t="s">
        <v>128</v>
      </c>
      <c r="W17" s="4" t="s">
        <v>103</v>
      </c>
      <c r="X17" s="16" t="s">
        <v>224</v>
      </c>
      <c r="Y17" s="28" t="s">
        <v>225</v>
      </c>
      <c r="Z17" s="4" t="s">
        <v>226</v>
      </c>
      <c r="AA17" s="20" t="s">
        <v>90</v>
      </c>
      <c r="AB17" s="20" t="s">
        <v>91</v>
      </c>
      <c r="AC17" s="28" t="s">
        <v>227</v>
      </c>
    </row>
    <row r="18" customFormat="false" ht="63.75" hidden="false" customHeight="true" outlineLevel="0" collapsed="false">
      <c r="A18" s="16" t="s">
        <v>228</v>
      </c>
      <c r="B18" s="20" t="s">
        <v>229</v>
      </c>
      <c r="C18" s="12" t="s">
        <v>22</v>
      </c>
      <c r="D18" s="4" t="s">
        <v>95</v>
      </c>
      <c r="E18" s="4" t="s">
        <v>230</v>
      </c>
      <c r="F18" s="16" t="s">
        <v>231</v>
      </c>
      <c r="G18" s="21" t="n">
        <v>209.16</v>
      </c>
      <c r="H18" s="26"/>
      <c r="I18" s="23" t="n">
        <v>501984</v>
      </c>
      <c r="J18" s="16" t="s">
        <v>232</v>
      </c>
      <c r="K18" s="22"/>
      <c r="L18" s="27" t="str">
        <f aca="false">IF(OR(I18="",K18=""),"管理費缺",I18+K18)</f>
        <v>管理費缺</v>
      </c>
      <c r="M18" s="24" t="n">
        <f aca="false">IF(OR(I18="",G18=""),"",I18/G18)</f>
        <v>2400</v>
      </c>
      <c r="N18" s="4" t="str">
        <f aca="false">IF(H18="","未揭露",IF(H18&gt;=0_條件與假設!$B$5,"✓","✗"))</f>
        <v>未揭露</v>
      </c>
      <c r="O18" s="4" t="str">
        <f aca="false">IF(I18="","未提供",IF(I18&lt;=0_條件與假設!$B$6,"≤45萬",IF(I18&lt;=0_條件與假設!$B$7,"45～55萬","超過55萬")))</f>
        <v>45～55萬</v>
      </c>
      <c r="P18" s="4" t="s">
        <v>233</v>
      </c>
      <c r="Q18" s="4" t="s">
        <v>100</v>
      </c>
      <c r="R18" s="23" t="n">
        <v>175</v>
      </c>
      <c r="S18" s="13" t="n">
        <v>3</v>
      </c>
      <c r="T18" s="4" t="str">
        <f aca="false">IF(S18="","未確認",IF(S18&lt;=0_條件與假設!$B$8,"✓",IF(S18&lt;=16,"△ 11～16分","✗")))</f>
        <v>✓</v>
      </c>
      <c r="U18" s="28" t="s">
        <v>234</v>
      </c>
      <c r="V18" s="16" t="s">
        <v>128</v>
      </c>
      <c r="W18" s="4" t="s">
        <v>103</v>
      </c>
      <c r="X18" s="16" t="s">
        <v>235</v>
      </c>
      <c r="Y18" s="28" t="s">
        <v>236</v>
      </c>
      <c r="Z18" s="4" t="s">
        <v>226</v>
      </c>
      <c r="AA18" s="20" t="s">
        <v>90</v>
      </c>
      <c r="AB18" s="20" t="s">
        <v>91</v>
      </c>
      <c r="AC18" s="28" t="s">
        <v>237</v>
      </c>
    </row>
    <row r="19" customFormat="false" ht="63.75" hidden="false" customHeight="true" outlineLevel="0" collapsed="false">
      <c r="A19" s="16" t="s">
        <v>238</v>
      </c>
      <c r="B19" s="20" t="s">
        <v>239</v>
      </c>
      <c r="C19" s="12" t="s">
        <v>22</v>
      </c>
      <c r="D19" s="4" t="s">
        <v>122</v>
      </c>
      <c r="E19" s="4" t="s">
        <v>220</v>
      </c>
      <c r="F19" s="16" t="s">
        <v>97</v>
      </c>
      <c r="G19" s="21" t="n">
        <v>221</v>
      </c>
      <c r="H19" s="26"/>
      <c r="I19" s="23" t="n">
        <v>508300</v>
      </c>
      <c r="J19" s="16" t="s">
        <v>240</v>
      </c>
      <c r="K19" s="22"/>
      <c r="L19" s="27" t="str">
        <f aca="false">IF(OR(I19="",K19=""),"管理費缺",I19+K19)</f>
        <v>管理費缺</v>
      </c>
      <c r="M19" s="24" t="n">
        <f aca="false">IF(OR(I19="",G19=""),"",I19/G19)</f>
        <v>2300</v>
      </c>
      <c r="N19" s="4" t="str">
        <f aca="false">IF(H19="","未揭露",IF(H19&gt;=0_條件與假設!$B$5,"✓","✗"))</f>
        <v>未揭露</v>
      </c>
      <c r="O19" s="4" t="str">
        <f aca="false">IF(I19="","未提供",IF(I19&lt;=0_條件與假設!$B$6,"≤45萬",IF(I19&lt;=0_條件與假設!$B$7,"45～55萬","超過55萬")))</f>
        <v>45～55萬</v>
      </c>
      <c r="P19" s="4" t="s">
        <v>222</v>
      </c>
      <c r="Q19" s="4" t="s">
        <v>100</v>
      </c>
      <c r="R19" s="23" t="n">
        <v>94</v>
      </c>
      <c r="S19" s="13" t="n">
        <v>2</v>
      </c>
      <c r="T19" s="4" t="str">
        <f aca="false">IF(S19="","未確認",IF(S19&lt;=0_條件與假設!$B$8,"✓",IF(S19&lt;=16,"△ 11～16分","✗")))</f>
        <v>✓</v>
      </c>
      <c r="U19" s="28" t="s">
        <v>241</v>
      </c>
      <c r="V19" s="4" t="s">
        <v>159</v>
      </c>
      <c r="W19" s="4" t="s">
        <v>103</v>
      </c>
      <c r="X19" s="16" t="s">
        <v>242</v>
      </c>
      <c r="Y19" s="28" t="s">
        <v>243</v>
      </c>
      <c r="Z19" s="16" t="s">
        <v>244</v>
      </c>
      <c r="AA19" s="20" t="s">
        <v>90</v>
      </c>
      <c r="AB19" s="20" t="s">
        <v>91</v>
      </c>
      <c r="AC19" s="28" t="s">
        <v>245</v>
      </c>
    </row>
    <row r="20" customFormat="false" ht="63.75" hidden="false" customHeight="true" outlineLevel="0" collapsed="false">
      <c r="A20" s="16" t="s">
        <v>246</v>
      </c>
      <c r="B20" s="20" t="s">
        <v>247</v>
      </c>
      <c r="C20" s="12" t="s">
        <v>22</v>
      </c>
      <c r="D20" s="4" t="s">
        <v>78</v>
      </c>
      <c r="E20" s="4" t="s">
        <v>248</v>
      </c>
      <c r="F20" s="16" t="s">
        <v>249</v>
      </c>
      <c r="G20" s="21" t="n">
        <v>196</v>
      </c>
      <c r="H20" s="26"/>
      <c r="I20" s="23" t="n">
        <v>578621</v>
      </c>
      <c r="J20" s="16" t="s">
        <v>250</v>
      </c>
      <c r="K20" s="22"/>
      <c r="L20" s="27" t="str">
        <f aca="false">IF(OR(I20="",K20=""),"管理費缺",I20+K20)</f>
        <v>管理費缺</v>
      </c>
      <c r="M20" s="24" t="n">
        <f aca="false">IF(OR(I20="",G20=""),"",I20/G20)</f>
        <v>2952.14795918367</v>
      </c>
      <c r="N20" s="4" t="str">
        <f aca="false">IF(H20="","未揭露",IF(H20&gt;=0_條件與假設!$B$5,"✓","✗"))</f>
        <v>未揭露</v>
      </c>
      <c r="O20" s="4" t="str">
        <f aca="false">IF(I20="","未提供",IF(I20&lt;=0_條件與假設!$B$6,"≤45萬",IF(I20&lt;=0_條件與假設!$B$7,"45～55萬","超過55萬")))</f>
        <v>超過55萬</v>
      </c>
      <c r="P20" s="4" t="s">
        <v>251</v>
      </c>
      <c r="Q20" s="4" t="s">
        <v>114</v>
      </c>
      <c r="R20" s="23" t="n">
        <v>274</v>
      </c>
      <c r="S20" s="13" t="n">
        <v>5</v>
      </c>
      <c r="T20" s="4" t="str">
        <f aca="false">IF(S20="","未確認",IF(S20&lt;=0_條件與假設!$B$8,"✓",IF(S20&lt;=16,"△ 11～16分","✗")))</f>
        <v>✓</v>
      </c>
      <c r="U20" s="28" t="s">
        <v>252</v>
      </c>
      <c r="V20" s="4" t="s">
        <v>102</v>
      </c>
      <c r="W20" s="4" t="s">
        <v>103</v>
      </c>
      <c r="X20" s="16" t="s">
        <v>253</v>
      </c>
      <c r="Y20" s="28" t="s">
        <v>254</v>
      </c>
      <c r="Z20" s="4" t="s">
        <v>255</v>
      </c>
      <c r="AA20" s="20" t="s">
        <v>90</v>
      </c>
      <c r="AB20" s="20" t="s">
        <v>91</v>
      </c>
      <c r="AC20" s="28" t="s">
        <v>256</v>
      </c>
    </row>
    <row r="21" customFormat="false" ht="63.75" hidden="false" customHeight="true" outlineLevel="0" collapsed="false">
      <c r="A21" s="16" t="s">
        <v>257</v>
      </c>
      <c r="B21" s="20" t="s">
        <v>258</v>
      </c>
      <c r="C21" s="12" t="s">
        <v>22</v>
      </c>
      <c r="D21" s="4" t="s">
        <v>209</v>
      </c>
      <c r="E21" s="4" t="s">
        <v>259</v>
      </c>
      <c r="F21" s="16" t="s">
        <v>260</v>
      </c>
      <c r="G21" s="21" t="n">
        <v>257</v>
      </c>
      <c r="H21" s="26"/>
      <c r="I21" s="23" t="n">
        <v>588000</v>
      </c>
      <c r="J21" s="16" t="s">
        <v>261</v>
      </c>
      <c r="K21" s="22"/>
      <c r="L21" s="27" t="str">
        <f aca="false">IF(OR(I21="",K21=""),"管理費缺",I21+K21)</f>
        <v>管理費缺</v>
      </c>
      <c r="M21" s="24" t="n">
        <f aca="false">IF(OR(I21="",G21=""),"",I21/G21)</f>
        <v>2287.93774319066</v>
      </c>
      <c r="N21" s="4" t="str">
        <f aca="false">IF(H21="","未揭露",IF(H21&gt;=0_條件與假設!$B$5,"✓","✗"))</f>
        <v>未揭露</v>
      </c>
      <c r="O21" s="4" t="str">
        <f aca="false">IF(I21="","未提供",IF(I21&lt;=0_條件與假設!$B$6,"≤45萬",IF(I21&lt;=0_條件與假設!$B$7,"45～55萬","超過55萬")))</f>
        <v>超過55萬</v>
      </c>
      <c r="P21" s="4" t="s">
        <v>113</v>
      </c>
      <c r="Q21" s="4" t="s">
        <v>114</v>
      </c>
      <c r="R21" s="23" t="n">
        <v>370</v>
      </c>
      <c r="S21" s="13" t="n">
        <v>7</v>
      </c>
      <c r="T21" s="4" t="str">
        <f aca="false">IF(S21="","未確認",IF(S21&lt;=0_條件與假設!$B$8,"✓",IF(S21&lt;=16,"△ 11～16分","✗")))</f>
        <v>✓</v>
      </c>
      <c r="U21" s="28" t="s">
        <v>262</v>
      </c>
      <c r="V21" s="16" t="s">
        <v>86</v>
      </c>
      <c r="W21" s="16" t="s">
        <v>129</v>
      </c>
      <c r="X21" s="16" t="s">
        <v>263</v>
      </c>
      <c r="Y21" s="25" t="s">
        <v>264</v>
      </c>
      <c r="Z21" s="4" t="s">
        <v>265</v>
      </c>
      <c r="AA21" s="20" t="s">
        <v>90</v>
      </c>
      <c r="AB21" s="20" t="s">
        <v>91</v>
      </c>
      <c r="AC21" s="28" t="s">
        <v>266</v>
      </c>
    </row>
    <row r="22" customFormat="false" ht="63.75" hidden="false" customHeight="true" outlineLevel="0" collapsed="false">
      <c r="A22" s="16" t="s">
        <v>267</v>
      </c>
      <c r="B22" s="20" t="s">
        <v>268</v>
      </c>
      <c r="C22" s="12" t="s">
        <v>22</v>
      </c>
      <c r="D22" s="4" t="s">
        <v>95</v>
      </c>
      <c r="E22" s="4" t="s">
        <v>269</v>
      </c>
      <c r="F22" s="16" t="s">
        <v>270</v>
      </c>
      <c r="G22" s="21" t="n">
        <v>254.53</v>
      </c>
      <c r="H22" s="26"/>
      <c r="I22" s="23" t="n">
        <v>614678</v>
      </c>
      <c r="J22" s="16" t="s">
        <v>271</v>
      </c>
      <c r="K22" s="22"/>
      <c r="L22" s="27" t="str">
        <f aca="false">IF(OR(I22="",K22=""),"管理費缺",I22+K22)</f>
        <v>管理費缺</v>
      </c>
      <c r="M22" s="24" t="n">
        <f aca="false">IF(OR(I22="",G22=""),"",I22/G22)</f>
        <v>2414.95305072094</v>
      </c>
      <c r="N22" s="4" t="str">
        <f aca="false">IF(H22="","未揭露",IF(H22&gt;=0_條件與假設!$B$5,"✓","✗"))</f>
        <v>未揭露</v>
      </c>
      <c r="O22" s="4" t="str">
        <f aca="false">IF(I22="","未提供",IF(I22&lt;=0_條件與假設!$B$6,"≤45萬",IF(I22&lt;=0_條件與假設!$B$7,"45～55萬","超過55萬")))</f>
        <v>超過55萬</v>
      </c>
      <c r="P22" s="4" t="s">
        <v>233</v>
      </c>
      <c r="Q22" s="4" t="s">
        <v>100</v>
      </c>
      <c r="R22" s="23" t="n">
        <v>1070</v>
      </c>
      <c r="S22" s="13" t="n">
        <v>18</v>
      </c>
      <c r="T22" s="4" t="str">
        <f aca="false">IF(S22="","未確認",IF(S22&lt;=0_條件與假設!$B$8,"✓",IF(S22&lt;=16,"△ 11～16分","✗")))</f>
        <v>✗</v>
      </c>
      <c r="U22" s="28" t="s">
        <v>272</v>
      </c>
      <c r="V22" s="4" t="s">
        <v>102</v>
      </c>
      <c r="W22" s="4" t="s">
        <v>103</v>
      </c>
      <c r="X22" s="16" t="s">
        <v>273</v>
      </c>
      <c r="Y22" s="28" t="s">
        <v>274</v>
      </c>
      <c r="Z22" s="4" t="s">
        <v>275</v>
      </c>
      <c r="AA22" s="20" t="s">
        <v>90</v>
      </c>
      <c r="AB22" s="20" t="s">
        <v>91</v>
      </c>
      <c r="AC22" s="28" t="s">
        <v>276</v>
      </c>
    </row>
  </sheetData>
  <hyperlinks>
    <hyperlink ref="B5" r:id="rId1" display="信義大樓 10F"/>
    <hyperlink ref="AA5" r:id="rId2" display="開啟"/>
    <hyperlink ref="AB5" r:id="rId3" display="開啟地圖"/>
    <hyperlink ref="B6" r:id="rId4" display="松江路 3F（松江南京站）"/>
    <hyperlink ref="AA6" r:id="rId5" display="開啟"/>
    <hyperlink ref="AB6" r:id="rId6" display="開啟地圖"/>
    <hyperlink ref="B7" r:id="rId7" display="八德大樓 5F（出租285.67坪）"/>
    <hyperlink ref="AA7" r:id="rId8" display="開啟"/>
    <hyperlink ref="AB7" r:id="rId9" display="開啟地圖"/>
    <hyperlink ref="B8" r:id="rId10" display="光復北路11巷 2F（南京三民站）"/>
    <hyperlink ref="AA8" r:id="rId11" display="開啟"/>
    <hyperlink ref="AB8" r:id="rId12" display="開啟地圖"/>
    <hyperlink ref="B9" r:id="rId13" display="民生東路二段 6F（仲介稱使用約226坪）"/>
    <hyperlink ref="AA9" r:id="rId14" display="開啟"/>
    <hyperlink ref="AB9" r:id="rId15" display="開啟地圖"/>
    <hyperlink ref="B10" r:id="rId16" display="八德大樓 7F（出租254.06坪）"/>
    <hyperlink ref="AA10" r:id="rId17" display="開啟"/>
    <hyperlink ref="AB10" r:id="rId18" display="開啟地圖"/>
    <hyperlink ref="B11" r:id="rId19" display="長春路 8F（松江南京站）"/>
    <hyperlink ref="AA11" r:id="rId20" display="開啟"/>
    <hyperlink ref="AB11" r:id="rId21" display="開啟地圖"/>
    <hyperlink ref="B12" r:id="rId22" display="南京東路五段 3F（南京三民站）"/>
    <hyperlink ref="AA12" r:id="rId23" display="開啟"/>
    <hyperlink ref="AB12" r:id="rId24" display="開啟地圖"/>
    <hyperlink ref="B13" r:id="rId25" display="敦化財經大樓 4F之1"/>
    <hyperlink ref="AA13" r:id="rId26" display="開啟"/>
    <hyperlink ref="AB13" r:id="rId27" display="開啟地圖"/>
    <hyperlink ref="B14" r:id="rId28" display="松哖大樓 2F"/>
    <hyperlink ref="AA14" r:id="rId29" display="開啟"/>
    <hyperlink ref="AB14" r:id="rId30" display="開啟地圖"/>
    <hyperlink ref="B15" r:id="rId31" display="民權西路 5F（民權西路站）"/>
    <hyperlink ref="AA15" r:id="rId32" display="開啟"/>
    <hyperlink ref="AB15" r:id="rId33" display="開啟地圖"/>
    <hyperlink ref="B16" r:id="rId34" display="敦化南路二段 15F（信義安和站）"/>
    <hyperlink ref="AA16" r:id="rId35" display="開啟"/>
    <hyperlink ref="AB16" r:id="rId36" display="開啟地圖"/>
    <hyperlink ref="B17" r:id="rId37" display="健康路 8F（南京三民／小巨蛋站）"/>
    <hyperlink ref="AA17" r:id="rId38" display="開啟"/>
    <hyperlink ref="AB17" r:id="rId39" display="開啟地圖"/>
    <hyperlink ref="B18" r:id="rId40" display="南京東路三段 9F（南京復興站）"/>
    <hyperlink ref="AA18" r:id="rId41" display="開啟"/>
    <hyperlink ref="AB18" r:id="rId42" display="開啟地圖"/>
    <hyperlink ref="B19" r:id="rId43" display="健康路 3F（台北小巨蛋站）"/>
    <hyperlink ref="AA19" r:id="rId44" display="開啟"/>
    <hyperlink ref="AB19" r:id="rId45" display="開啟地圖"/>
    <hyperlink ref="B20" r:id="rId46" display="菸廠路 8F（國父紀念館站・松菸旁）"/>
    <hyperlink ref="AA20" r:id="rId47" display="開啟"/>
    <hyperlink ref="AB20" r:id="rId48" display="開啟地圖"/>
    <hyperlink ref="B21" r:id="rId49" location="page=5" display="市民大道3段近復興南路 8F 257坪"/>
    <hyperlink ref="AA21" r:id="rId50" display="開啟"/>
    <hyperlink ref="AB21" r:id="rId51" display="開啟地圖"/>
    <hyperlink ref="B22" r:id="rId52" display="民生東路三段 8F（中山國中站）"/>
    <hyperlink ref="AA22" r:id="rId53" display="開啟"/>
    <hyperlink ref="AB22" r:id="rId54" display="開啟地圖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9" min="8" style="0" width="9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34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6"/>
    <col collapsed="false" customWidth="true" hidden="false" outlineLevel="0" max="20" min="20" style="0" width="9"/>
    <col collapsed="false" customWidth="true" hidden="false" outlineLevel="0" max="21" min="21" style="0" width="8"/>
    <col collapsed="false" customWidth="true" hidden="false" outlineLevel="0" max="22" min="22" style="0" width="11"/>
    <col collapsed="false" customWidth="true" hidden="false" outlineLevel="0" max="23" min="23" style="0" width="46"/>
    <col collapsed="false" customWidth="true" hidden="false" outlineLevel="0" max="24" min="24" style="0" width="34"/>
    <col collapsed="false" customWidth="true" hidden="false" outlineLevel="0" max="25" min="25" style="0" width="46"/>
    <col collapsed="false" customWidth="true" hidden="false" outlineLevel="0" max="26" min="26" style="0" width="18"/>
    <col collapsed="false" customWidth="true" hidden="false" outlineLevel="0" max="27" min="27" style="0" width="22"/>
    <col collapsed="false" customWidth="true" hidden="false" outlineLevel="0" max="28" min="28" style="0" width="40"/>
    <col collapsed="false" customWidth="true" hidden="false" outlineLevel="0" max="29" min="29" style="0" width="30"/>
    <col collapsed="false" customWidth="true" hidden="false" outlineLevel="0" max="30" min="30" style="0" width="28"/>
    <col collapsed="false" customWidth="true" hidden="false" outlineLevel="0" max="31" min="31" style="0" width="44"/>
    <col collapsed="false" customWidth="true" hidden="false" outlineLevel="0" max="32" min="32" style="0" width="14"/>
  </cols>
  <sheetData>
    <row r="1" customFormat="false" ht="33.75" hidden="false" customHeight="true" outlineLevel="0" collapsed="false">
      <c r="A1" s="3" t="s">
        <v>49</v>
      </c>
      <c r="B1" s="3" t="s">
        <v>277</v>
      </c>
      <c r="C1" s="3" t="s">
        <v>47</v>
      </c>
      <c r="D1" s="3" t="s">
        <v>48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278</v>
      </c>
      <c r="K1" s="3" t="s">
        <v>55</v>
      </c>
      <c r="L1" s="3" t="s">
        <v>56</v>
      </c>
      <c r="M1" s="3" t="s">
        <v>57</v>
      </c>
      <c r="N1" s="3" t="s">
        <v>279</v>
      </c>
      <c r="O1" s="3" t="s">
        <v>280</v>
      </c>
      <c r="P1" s="3" t="s">
        <v>60</v>
      </c>
      <c r="Q1" s="3" t="s">
        <v>61</v>
      </c>
      <c r="R1" s="3" t="s">
        <v>62</v>
      </c>
      <c r="S1" s="3" t="s">
        <v>63</v>
      </c>
      <c r="T1" s="3" t="s">
        <v>64</v>
      </c>
      <c r="U1" s="3" t="s">
        <v>65</v>
      </c>
      <c r="V1" s="3" t="s">
        <v>66</v>
      </c>
      <c r="W1" s="3" t="s">
        <v>281</v>
      </c>
      <c r="X1" s="3" t="s">
        <v>71</v>
      </c>
      <c r="Y1" s="3" t="s">
        <v>282</v>
      </c>
      <c r="Z1" s="3" t="s">
        <v>283</v>
      </c>
      <c r="AA1" s="3" t="s">
        <v>284</v>
      </c>
      <c r="AB1" s="3" t="s">
        <v>285</v>
      </c>
      <c r="AC1" s="3" t="s">
        <v>72</v>
      </c>
      <c r="AD1" s="3" t="s">
        <v>286</v>
      </c>
      <c r="AE1" s="3" t="s">
        <v>287</v>
      </c>
      <c r="AF1" s="19" t="s">
        <v>74</v>
      </c>
    </row>
    <row r="2" customFormat="false" ht="48" hidden="false" customHeight="true" outlineLevel="0" collapsed="false">
      <c r="A2" s="8" t="s">
        <v>16</v>
      </c>
      <c r="B2" s="13" t="n">
        <v>1</v>
      </c>
      <c r="C2" s="16" t="s">
        <v>288</v>
      </c>
      <c r="D2" s="20" t="s">
        <v>289</v>
      </c>
      <c r="E2" s="4" t="s">
        <v>95</v>
      </c>
      <c r="F2" s="4" t="s">
        <v>290</v>
      </c>
      <c r="G2" s="16" t="s">
        <v>291</v>
      </c>
      <c r="H2" s="21" t="n">
        <v>278.04</v>
      </c>
      <c r="I2" s="21" t="n">
        <v>262.5</v>
      </c>
      <c r="J2" s="4" t="s">
        <v>292</v>
      </c>
      <c r="K2" s="23" t="n">
        <v>388500</v>
      </c>
      <c r="L2" s="16" t="s">
        <v>293</v>
      </c>
      <c r="M2" s="23" t="n">
        <v>37500</v>
      </c>
      <c r="N2" s="24" t="n">
        <f aca="false">IF(K2="","",K2+N(M2))</f>
        <v>426000</v>
      </c>
      <c r="O2" s="24" t="n">
        <f aca="false">IF(OR(I2="",N2=""),"",N2/I2)</f>
        <v>1622.85714285714</v>
      </c>
      <c r="P2" s="4" t="str">
        <f aca="false">IF(I2="","未揭露",IF(I2&gt;=0_條件與假設!$B$5,"✓","✗"))</f>
        <v>✓</v>
      </c>
      <c r="Q2" s="4" t="str">
        <f aca="false">IF(K2="","未提供",IF(K2&lt;=0_條件與假設!$B$6,"≤45萬",IF(K2&lt;=0_條件與假設!$B$7,"45～55萬","超過55萬")))</f>
        <v>≤45萬</v>
      </c>
      <c r="R2" s="4" t="s">
        <v>99</v>
      </c>
      <c r="S2" s="4" t="s">
        <v>100</v>
      </c>
      <c r="T2" s="23" t="n">
        <v>530</v>
      </c>
      <c r="U2" s="13" t="n">
        <v>9</v>
      </c>
      <c r="V2" s="4" t="str">
        <f aca="false">IF(U2="","未確認",IF(U2&lt;=0_條件與假設!$B$8,"✓",IF(U2&lt;=16,"△ 11～16分","✗")))</f>
        <v>✓</v>
      </c>
      <c r="W2" s="4" t="s">
        <v>294</v>
      </c>
      <c r="X2" s="28" t="s">
        <v>295</v>
      </c>
      <c r="Y2" s="28" t="s">
        <v>296</v>
      </c>
      <c r="Z2" s="4" t="s">
        <v>297</v>
      </c>
      <c r="AA2" s="4" t="s">
        <v>298</v>
      </c>
      <c r="AB2" s="4" t="s">
        <v>299</v>
      </c>
      <c r="AC2" s="4" t="s">
        <v>300</v>
      </c>
      <c r="AD2" s="20" t="s">
        <v>301</v>
      </c>
      <c r="AE2" s="4" t="s">
        <v>302</v>
      </c>
      <c r="AF2" s="20" t="s">
        <v>91</v>
      </c>
    </row>
    <row r="3" customFormat="false" ht="48" hidden="false" customHeight="true" outlineLevel="0" collapsed="false">
      <c r="A3" s="10" t="s">
        <v>18</v>
      </c>
      <c r="B3" s="13" t="n">
        <v>2</v>
      </c>
      <c r="C3" s="16" t="s">
        <v>76</v>
      </c>
      <c r="D3" s="20" t="s">
        <v>77</v>
      </c>
      <c r="E3" s="4" t="s">
        <v>78</v>
      </c>
      <c r="F3" s="4" t="s">
        <v>79</v>
      </c>
      <c r="G3" s="16" t="s">
        <v>80</v>
      </c>
      <c r="H3" s="21" t="n">
        <v>330.22</v>
      </c>
      <c r="I3" s="21" t="n">
        <v>300.43</v>
      </c>
      <c r="J3" s="4" t="s">
        <v>303</v>
      </c>
      <c r="K3" s="23" t="n">
        <v>480000</v>
      </c>
      <c r="L3" s="16" t="s">
        <v>304</v>
      </c>
      <c r="M3" s="23" t="n">
        <v>49533</v>
      </c>
      <c r="N3" s="24" t="n">
        <f aca="false">IF(K3="","",K3+N(M3))</f>
        <v>529533</v>
      </c>
      <c r="O3" s="24" t="n">
        <f aca="false">IF(OR(I3="",N3=""),"",N3/I3)</f>
        <v>1762.58363013015</v>
      </c>
      <c r="P3" s="4" t="str">
        <f aca="false">IF(I3="","未揭露",IF(I3&gt;=0_條件與假設!$B$5,"✓","✗"))</f>
        <v>✓</v>
      </c>
      <c r="Q3" s="4" t="str">
        <f aca="false">IF(K3="","未提供",IF(K3&lt;=0_條件與假設!$B$6,"≤45萬",IF(K3&lt;=0_條件與假設!$B$7,"45～55萬","超過55萬")))</f>
        <v>45～55萬</v>
      </c>
      <c r="R3" s="4" t="s">
        <v>82</v>
      </c>
      <c r="S3" s="4" t="s">
        <v>83</v>
      </c>
      <c r="T3" s="23" t="n">
        <v>950</v>
      </c>
      <c r="U3" s="13" t="n">
        <v>16</v>
      </c>
      <c r="V3" s="4" t="str">
        <f aca="false">IF(U3="","未確認",IF(U3&lt;=0_條件與假設!$B$8,"✓",IF(U3&lt;=16,"△ 11～16分","✗")))</f>
        <v>△ 11～16分</v>
      </c>
      <c r="W3" s="4" t="s">
        <v>92</v>
      </c>
      <c r="X3" s="25" t="s">
        <v>88</v>
      </c>
      <c r="Y3" s="4" t="s">
        <v>84</v>
      </c>
      <c r="Z3" s="4" t="s">
        <v>305</v>
      </c>
      <c r="AA3" s="16" t="s">
        <v>306</v>
      </c>
      <c r="AB3" s="16" t="s">
        <v>307</v>
      </c>
      <c r="AC3" s="4" t="s">
        <v>89</v>
      </c>
      <c r="AD3" s="20" t="s">
        <v>308</v>
      </c>
      <c r="AE3" s="4" t="s">
        <v>309</v>
      </c>
      <c r="AF3" s="20" t="s">
        <v>91</v>
      </c>
    </row>
    <row r="4" customFormat="false" ht="48" hidden="false" customHeight="true" outlineLevel="0" collapsed="false">
      <c r="A4" s="10" t="s">
        <v>18</v>
      </c>
      <c r="B4" s="13" t="n">
        <v>3</v>
      </c>
      <c r="C4" s="16" t="s">
        <v>310</v>
      </c>
      <c r="D4" s="20" t="s">
        <v>311</v>
      </c>
      <c r="E4" s="4" t="s">
        <v>122</v>
      </c>
      <c r="F4" s="4" t="s">
        <v>312</v>
      </c>
      <c r="G4" s="16" t="s">
        <v>313</v>
      </c>
      <c r="H4" s="21" t="n">
        <v>282.06</v>
      </c>
      <c r="I4" s="21" t="n">
        <v>255.38</v>
      </c>
      <c r="J4" s="4" t="s">
        <v>314</v>
      </c>
      <c r="K4" s="23" t="n">
        <v>472500</v>
      </c>
      <c r="L4" s="16" t="s">
        <v>315</v>
      </c>
      <c r="M4" s="23" t="n">
        <v>33847</v>
      </c>
      <c r="N4" s="24" t="n">
        <f aca="false">IF(K4="","",K4+N(M4))</f>
        <v>506347</v>
      </c>
      <c r="O4" s="24" t="n">
        <f aca="false">IF(OR(I4="",N4=""),"",N4/I4)</f>
        <v>1982.71986843136</v>
      </c>
      <c r="P4" s="4" t="str">
        <f aca="false">IF(I4="","未揭露",IF(I4&gt;=0_條件與假設!$B$5,"✓","✗"))</f>
        <v>✓</v>
      </c>
      <c r="Q4" s="4" t="str">
        <f aca="false">IF(K4="","未提供",IF(K4&lt;=0_條件與假設!$B$6,"≤45萬",IF(K4&lt;=0_條件與假設!$B$7,"45～55萬","超過55萬")))</f>
        <v>45～55萬</v>
      </c>
      <c r="R4" s="4" t="s">
        <v>316</v>
      </c>
      <c r="S4" s="4" t="s">
        <v>114</v>
      </c>
      <c r="T4" s="23" t="n">
        <v>570</v>
      </c>
      <c r="U4" s="13" t="n">
        <v>10</v>
      </c>
      <c r="V4" s="4" t="str">
        <f aca="false">IF(U4="","未確認",IF(U4&lt;=0_條件與假設!$B$8,"✓",IF(U4&lt;=16,"△ 11～16分","✗")))</f>
        <v>✓</v>
      </c>
      <c r="W4" s="4" t="s">
        <v>317</v>
      </c>
      <c r="X4" s="28" t="s">
        <v>318</v>
      </c>
      <c r="Y4" s="28" t="s">
        <v>319</v>
      </c>
      <c r="Z4" s="4" t="s">
        <v>320</v>
      </c>
      <c r="AA4" s="4" t="s">
        <v>321</v>
      </c>
      <c r="AB4" s="4" t="s">
        <v>322</v>
      </c>
      <c r="AC4" s="4" t="s">
        <v>323</v>
      </c>
      <c r="AD4" s="20" t="s">
        <v>324</v>
      </c>
      <c r="AE4" s="4" t="s">
        <v>325</v>
      </c>
      <c r="AF4" s="20" t="s">
        <v>91</v>
      </c>
    </row>
    <row r="5" customFormat="false" ht="48" hidden="false" customHeight="true" outlineLevel="0" collapsed="false">
      <c r="A5" s="10" t="s">
        <v>18</v>
      </c>
      <c r="B5" s="13" t="n">
        <v>4</v>
      </c>
      <c r="C5" s="16" t="s">
        <v>326</v>
      </c>
      <c r="D5" s="20" t="s">
        <v>327</v>
      </c>
      <c r="E5" s="4" t="s">
        <v>328</v>
      </c>
      <c r="F5" s="4" t="s">
        <v>329</v>
      </c>
      <c r="G5" s="16" t="s">
        <v>330</v>
      </c>
      <c r="H5" s="21" t="n">
        <v>326.85</v>
      </c>
      <c r="I5" s="21" t="n">
        <v>253.54</v>
      </c>
      <c r="J5" s="4" t="s">
        <v>331</v>
      </c>
      <c r="K5" s="23" t="n">
        <v>491000</v>
      </c>
      <c r="L5" s="16" t="s">
        <v>332</v>
      </c>
      <c r="M5" s="23" t="n">
        <v>31053</v>
      </c>
      <c r="N5" s="24" t="n">
        <f aca="false">IF(K5="","",K5+N(M5))</f>
        <v>522053</v>
      </c>
      <c r="O5" s="24" t="n">
        <f aca="false">IF(OR(I5="",N5=""),"",N5/I5)</f>
        <v>2059.05577029266</v>
      </c>
      <c r="P5" s="4" t="str">
        <f aca="false">IF(I5="","未揭露",IF(I5&gt;=0_條件與假設!$B$5,"✓","✗"))</f>
        <v>✓</v>
      </c>
      <c r="Q5" s="4" t="str">
        <f aca="false">IF(K5="","未提供",IF(K5&lt;=0_條件與假設!$B$6,"≤45萬",IF(K5&lt;=0_條件與假設!$B$7,"45～55萬","超過55萬")))</f>
        <v>45～55萬</v>
      </c>
      <c r="R5" s="4" t="s">
        <v>333</v>
      </c>
      <c r="S5" s="4" t="s">
        <v>100</v>
      </c>
      <c r="T5" s="23" t="n">
        <v>380</v>
      </c>
      <c r="U5" s="13" t="n">
        <v>7</v>
      </c>
      <c r="V5" s="4" t="str">
        <f aca="false">IF(U5="","未確認",IF(U5&lt;=0_條件與假設!$B$8,"✓",IF(U5&lt;=16,"△ 11～16分","✗")))</f>
        <v>✓</v>
      </c>
      <c r="W5" s="4" t="s">
        <v>334</v>
      </c>
      <c r="X5" s="28" t="s">
        <v>335</v>
      </c>
      <c r="Y5" s="28" t="s">
        <v>336</v>
      </c>
      <c r="Z5" s="4" t="s">
        <v>337</v>
      </c>
      <c r="AA5" s="4" t="s">
        <v>338</v>
      </c>
      <c r="AB5" s="4" t="s">
        <v>339</v>
      </c>
      <c r="AC5" s="4" t="s">
        <v>340</v>
      </c>
      <c r="AD5" s="29" t="s">
        <v>341</v>
      </c>
      <c r="AE5" s="4" t="s">
        <v>342</v>
      </c>
      <c r="AF5" s="20" t="s">
        <v>91</v>
      </c>
    </row>
    <row r="6" customFormat="false" ht="48" hidden="false" customHeight="true" outlineLevel="0" collapsed="false">
      <c r="A6" s="10" t="s">
        <v>18</v>
      </c>
      <c r="B6" s="13" t="n">
        <v>5</v>
      </c>
      <c r="C6" s="16" t="s">
        <v>343</v>
      </c>
      <c r="D6" s="20" t="s">
        <v>344</v>
      </c>
      <c r="E6" s="4" t="s">
        <v>78</v>
      </c>
      <c r="F6" s="4" t="s">
        <v>345</v>
      </c>
      <c r="G6" s="16" t="s">
        <v>346</v>
      </c>
      <c r="H6" s="21" t="n">
        <v>265.82</v>
      </c>
      <c r="I6" s="21" t="n">
        <v>241.8</v>
      </c>
      <c r="J6" s="4" t="s">
        <v>347</v>
      </c>
      <c r="K6" s="23" t="n">
        <v>502400</v>
      </c>
      <c r="L6" s="16" t="s">
        <v>348</v>
      </c>
      <c r="M6" s="23" t="n">
        <v>39873</v>
      </c>
      <c r="N6" s="24" t="n">
        <f aca="false">IF(K6="","",K6+N(M6))</f>
        <v>542273</v>
      </c>
      <c r="O6" s="24" t="n">
        <f aca="false">IF(OR(I6="",N6=""),"",N6/I6)</f>
        <v>2242.65095119934</v>
      </c>
      <c r="P6" s="4" t="str">
        <f aca="false">IF(I6="","未揭露",IF(I6&gt;=0_條件與假設!$B$5,"✓","✗"))</f>
        <v>✓</v>
      </c>
      <c r="Q6" s="4" t="str">
        <f aca="false">IF(K6="","未提供",IF(K6&lt;=0_條件與假設!$B$6,"≤45萬",IF(K6&lt;=0_條件與假設!$B$7,"45～55萬","超過55萬")))</f>
        <v>45～55萬</v>
      </c>
      <c r="R6" s="4" t="s">
        <v>82</v>
      </c>
      <c r="S6" s="4" t="s">
        <v>83</v>
      </c>
      <c r="T6" s="23" t="n">
        <v>950</v>
      </c>
      <c r="U6" s="13" t="n">
        <v>16</v>
      </c>
      <c r="V6" s="4" t="str">
        <f aca="false">IF(U6="","未確認",IF(U6&lt;=0_條件與假設!$B$8,"✓",IF(U6&lt;=16,"△ 11～16分","✗")))</f>
        <v>△ 11～16分</v>
      </c>
      <c r="W6" s="4" t="s">
        <v>349</v>
      </c>
      <c r="X6" s="4"/>
      <c r="Y6" s="4" t="s">
        <v>350</v>
      </c>
      <c r="Z6" s="4" t="s">
        <v>351</v>
      </c>
      <c r="AA6" s="4" t="s">
        <v>352</v>
      </c>
      <c r="AB6" s="4" t="s">
        <v>353</v>
      </c>
      <c r="AC6" s="4" t="s">
        <v>354</v>
      </c>
      <c r="AD6" s="20" t="s">
        <v>355</v>
      </c>
      <c r="AE6" s="4" t="s">
        <v>356</v>
      </c>
      <c r="AF6" s="20" t="s">
        <v>91</v>
      </c>
    </row>
    <row r="7" customFormat="false" ht="48" hidden="false" customHeight="true" outlineLevel="0" collapsed="false">
      <c r="A7" s="10" t="s">
        <v>18</v>
      </c>
      <c r="B7" s="13" t="n">
        <v>6</v>
      </c>
      <c r="C7" s="16" t="s">
        <v>357</v>
      </c>
      <c r="D7" s="20" t="s">
        <v>358</v>
      </c>
      <c r="E7" s="4" t="s">
        <v>328</v>
      </c>
      <c r="F7" s="4" t="s">
        <v>359</v>
      </c>
      <c r="G7" s="16" t="s">
        <v>360</v>
      </c>
      <c r="H7" s="21" t="n">
        <v>260.98</v>
      </c>
      <c r="I7" s="21" t="n">
        <v>228.34</v>
      </c>
      <c r="J7" s="4" t="s">
        <v>361</v>
      </c>
      <c r="K7" s="23" t="n">
        <v>465849</v>
      </c>
      <c r="L7" s="16" t="s">
        <v>362</v>
      </c>
      <c r="M7" s="22"/>
      <c r="N7" s="27" t="n">
        <f aca="false">IF(K7="","",K7+N(M7))</f>
        <v>465849</v>
      </c>
      <c r="O7" s="24" t="n">
        <f aca="false">IF(OR(I7="",N7=""),"",N7/I7)</f>
        <v>2040.15503196987</v>
      </c>
      <c r="P7" s="4" t="str">
        <f aca="false">IF(I7="","未揭露",IF(I7&gt;=0_條件與假設!$B$5,"✓","✗"))</f>
        <v>✓</v>
      </c>
      <c r="Q7" s="4" t="str">
        <f aca="false">IF(K7="","未提供",IF(K7&lt;=0_條件與假設!$B$6,"≤45萬",IF(K7&lt;=0_條件與假設!$B$7,"45～55萬","超過55萬")))</f>
        <v>45～55萬</v>
      </c>
      <c r="R7" s="4" t="s">
        <v>363</v>
      </c>
      <c r="S7" s="4" t="s">
        <v>364</v>
      </c>
      <c r="T7" s="23" t="n">
        <v>150</v>
      </c>
      <c r="U7" s="13" t="n">
        <v>3</v>
      </c>
      <c r="V7" s="4" t="str">
        <f aca="false">IF(U7="","未確認",IF(U7&lt;=0_條件與假設!$B$8,"✓",IF(U7&lt;=16,"△ 11～16分","✗")))</f>
        <v>✓</v>
      </c>
      <c r="W7" s="4" t="s">
        <v>365</v>
      </c>
      <c r="X7" s="28" t="s">
        <v>366</v>
      </c>
      <c r="Y7" s="28" t="s">
        <v>367</v>
      </c>
      <c r="Z7" s="4" t="s">
        <v>368</v>
      </c>
      <c r="AA7" s="4" t="s">
        <v>369</v>
      </c>
      <c r="AB7" s="4" t="s">
        <v>370</v>
      </c>
      <c r="AC7" s="4" t="s">
        <v>371</v>
      </c>
      <c r="AD7" s="29" t="s">
        <v>341</v>
      </c>
      <c r="AE7" s="4" t="s">
        <v>372</v>
      </c>
      <c r="AF7" s="20" t="s">
        <v>91</v>
      </c>
    </row>
    <row r="8" customFormat="false" ht="48" hidden="false" customHeight="true" outlineLevel="0" collapsed="false">
      <c r="A8" s="11" t="s">
        <v>20</v>
      </c>
      <c r="B8" s="13" t="n">
        <v>7</v>
      </c>
      <c r="C8" s="16" t="s">
        <v>373</v>
      </c>
      <c r="D8" s="20" t="s">
        <v>374</v>
      </c>
      <c r="E8" s="4" t="s">
        <v>78</v>
      </c>
      <c r="F8" s="4" t="s">
        <v>375</v>
      </c>
      <c r="G8" s="16" t="s">
        <v>260</v>
      </c>
      <c r="H8" s="21" t="n">
        <v>331</v>
      </c>
      <c r="I8" s="26"/>
      <c r="J8" s="16" t="s">
        <v>376</v>
      </c>
      <c r="K8" s="23" t="n">
        <v>538703</v>
      </c>
      <c r="L8" s="16" t="s">
        <v>377</v>
      </c>
      <c r="M8" s="22"/>
      <c r="N8" s="27" t="n">
        <f aca="false">IF(K8="","",K8+N(M8))</f>
        <v>538703</v>
      </c>
      <c r="O8" s="24" t="str">
        <f aca="false">IF(OR(I8="",N8=""),"",N8/I8)</f>
        <v/>
      </c>
      <c r="P8" s="4" t="str">
        <f aca="false">IF(I8="","未揭露",IF(I8&gt;=0_條件與假設!$B$5,"✓","✗"))</f>
        <v>未揭露</v>
      </c>
      <c r="Q8" s="4" t="str">
        <f aca="false">IF(K8="","未提供",IF(K8&lt;=0_條件與假設!$B$6,"≤45萬",IF(K8&lt;=0_條件與假設!$B$7,"45～55萬","超過55萬")))</f>
        <v>45～55萬</v>
      </c>
      <c r="R8" s="4" t="s">
        <v>82</v>
      </c>
      <c r="S8" s="4" t="s">
        <v>83</v>
      </c>
      <c r="T8" s="23" t="n">
        <v>950</v>
      </c>
      <c r="U8" s="13" t="n">
        <v>16</v>
      </c>
      <c r="V8" s="4" t="str">
        <f aca="false">IF(U8="","未確認",IF(U8&lt;=0_條件與假設!$B$8,"✓",IF(U8&lt;=16,"△ 11～16分","✗")))</f>
        <v>△ 11～16分</v>
      </c>
      <c r="W8" s="4" t="s">
        <v>378</v>
      </c>
      <c r="X8" s="28" t="s">
        <v>105</v>
      </c>
      <c r="Y8" s="25" t="s">
        <v>379</v>
      </c>
      <c r="Z8" s="4" t="s">
        <v>305</v>
      </c>
      <c r="AA8" s="4" t="s">
        <v>380</v>
      </c>
      <c r="AB8" s="4" t="s">
        <v>381</v>
      </c>
      <c r="AC8" s="4" t="s">
        <v>265</v>
      </c>
      <c r="AD8" s="20" t="s">
        <v>382</v>
      </c>
      <c r="AE8" s="4" t="s">
        <v>309</v>
      </c>
      <c r="AF8" s="20" t="s">
        <v>91</v>
      </c>
    </row>
    <row r="9" customFormat="false" ht="48" hidden="false" customHeight="true" outlineLevel="0" collapsed="false">
      <c r="A9" s="11" t="s">
        <v>20</v>
      </c>
      <c r="B9" s="13" t="n">
        <v>8</v>
      </c>
      <c r="C9" s="16" t="s">
        <v>93</v>
      </c>
      <c r="D9" s="20" t="s">
        <v>94</v>
      </c>
      <c r="E9" s="4" t="s">
        <v>95</v>
      </c>
      <c r="F9" s="4" t="s">
        <v>96</v>
      </c>
      <c r="G9" s="16" t="s">
        <v>97</v>
      </c>
      <c r="H9" s="21" t="n">
        <v>302</v>
      </c>
      <c r="I9" s="26"/>
      <c r="J9" s="16" t="s">
        <v>383</v>
      </c>
      <c r="K9" s="23" t="n">
        <v>540837</v>
      </c>
      <c r="L9" s="16" t="s">
        <v>98</v>
      </c>
      <c r="M9" s="22"/>
      <c r="N9" s="27" t="n">
        <f aca="false">IF(K9="","",K9+N(M9))</f>
        <v>540837</v>
      </c>
      <c r="O9" s="24" t="str">
        <f aca="false">IF(OR(I9="",N9=""),"",N9/I9)</f>
        <v/>
      </c>
      <c r="P9" s="4" t="str">
        <f aca="false">IF(I9="","未揭露",IF(I9&gt;=0_條件與假設!$B$5,"✓","✗"))</f>
        <v>未揭露</v>
      </c>
      <c r="Q9" s="4" t="str">
        <f aca="false">IF(K9="","未提供",IF(K9&lt;=0_條件與假設!$B$6,"≤45萬",IF(K9&lt;=0_條件與假設!$B$7,"45～55萬","超過55萬")))</f>
        <v>45～55萬</v>
      </c>
      <c r="R9" s="4" t="s">
        <v>99</v>
      </c>
      <c r="S9" s="4" t="s">
        <v>100</v>
      </c>
      <c r="T9" s="23" t="n">
        <v>156</v>
      </c>
      <c r="U9" s="13" t="n">
        <v>3</v>
      </c>
      <c r="V9" s="4" t="str">
        <f aca="false">IF(U9="","未確認",IF(U9&lt;=0_條件與假設!$B$8,"✓",IF(U9&lt;=16,"△ 11～16分","✗")))</f>
        <v>✓</v>
      </c>
      <c r="W9" s="4" t="s">
        <v>107</v>
      </c>
      <c r="X9" s="28" t="s">
        <v>105</v>
      </c>
      <c r="Y9" s="28" t="s">
        <v>101</v>
      </c>
      <c r="Z9" s="4" t="s">
        <v>380</v>
      </c>
      <c r="AA9" s="4" t="s">
        <v>380</v>
      </c>
      <c r="AB9" s="16" t="s">
        <v>384</v>
      </c>
      <c r="AC9" s="4" t="s">
        <v>106</v>
      </c>
      <c r="AD9" s="29" t="s">
        <v>341</v>
      </c>
      <c r="AE9" s="28" t="s">
        <v>385</v>
      </c>
      <c r="AF9" s="20" t="s">
        <v>91</v>
      </c>
    </row>
    <row r="10" customFormat="false" ht="48" hidden="false" customHeight="true" outlineLevel="0" collapsed="false">
      <c r="A10" s="11" t="s">
        <v>20</v>
      </c>
      <c r="B10" s="13" t="n">
        <v>9</v>
      </c>
      <c r="C10" s="16" t="s">
        <v>108</v>
      </c>
      <c r="D10" s="20" t="s">
        <v>109</v>
      </c>
      <c r="E10" s="4" t="s">
        <v>95</v>
      </c>
      <c r="F10" s="4" t="s">
        <v>110</v>
      </c>
      <c r="G10" s="16" t="s">
        <v>111</v>
      </c>
      <c r="H10" s="21" t="n">
        <v>285.67</v>
      </c>
      <c r="I10" s="26"/>
      <c r="J10" s="4" t="s">
        <v>386</v>
      </c>
      <c r="K10" s="23" t="n">
        <v>428505</v>
      </c>
      <c r="L10" s="16" t="s">
        <v>112</v>
      </c>
      <c r="M10" s="23" t="n">
        <v>47136</v>
      </c>
      <c r="N10" s="24" t="n">
        <f aca="false">IF(K10="","",K10+N(M10))</f>
        <v>475641</v>
      </c>
      <c r="O10" s="24" t="str">
        <f aca="false">IF(OR(I10="",N10=""),"",N10/I10)</f>
        <v/>
      </c>
      <c r="P10" s="4" t="str">
        <f aca="false">IF(I10="","未揭露",IF(I10&gt;=0_條件與假設!$B$5,"✓","✗"))</f>
        <v>未揭露</v>
      </c>
      <c r="Q10" s="4" t="str">
        <f aca="false">IF(K10="","未提供",IF(K10&lt;=0_條件與假設!$B$6,"≤45萬",IF(K10&lt;=0_條件與假設!$B$7,"45～55萬","超過55萬")))</f>
        <v>≤45萬</v>
      </c>
      <c r="R10" s="4" t="s">
        <v>113</v>
      </c>
      <c r="S10" s="4" t="s">
        <v>114</v>
      </c>
      <c r="T10" s="23" t="n">
        <v>620</v>
      </c>
      <c r="U10" s="13" t="n">
        <v>11</v>
      </c>
      <c r="V10" s="4" t="str">
        <f aca="false">IF(U10="","未確認",IF(U10&lt;=0_條件與假設!$B$8,"✓",IF(U10&lt;=16,"△ 11～16分","✗")))</f>
        <v>△ 11～16分</v>
      </c>
      <c r="W10" s="4" t="s">
        <v>119</v>
      </c>
      <c r="X10" s="28" t="s">
        <v>117</v>
      </c>
      <c r="Y10" s="4" t="s">
        <v>115</v>
      </c>
      <c r="Z10" s="4" t="s">
        <v>387</v>
      </c>
      <c r="AA10" s="4" t="s">
        <v>388</v>
      </c>
      <c r="AB10" s="4" t="s">
        <v>389</v>
      </c>
      <c r="AC10" s="4" t="s">
        <v>118</v>
      </c>
      <c r="AD10" s="20" t="s">
        <v>355</v>
      </c>
      <c r="AE10" s="4" t="s">
        <v>390</v>
      </c>
      <c r="AF10" s="20" t="s">
        <v>91</v>
      </c>
    </row>
    <row r="11" customFormat="false" ht="48" hidden="false" customHeight="true" outlineLevel="0" collapsed="false">
      <c r="A11" s="11" t="s">
        <v>20</v>
      </c>
      <c r="B11" s="13" t="n">
        <v>10</v>
      </c>
      <c r="C11" s="16" t="s">
        <v>120</v>
      </c>
      <c r="D11" s="20" t="s">
        <v>121</v>
      </c>
      <c r="E11" s="4" t="s">
        <v>122</v>
      </c>
      <c r="F11" s="4" t="s">
        <v>123</v>
      </c>
      <c r="G11" s="16" t="s">
        <v>124</v>
      </c>
      <c r="H11" s="21" t="n">
        <v>283</v>
      </c>
      <c r="I11" s="26"/>
      <c r="J11" s="16" t="s">
        <v>391</v>
      </c>
      <c r="K11" s="23" t="n">
        <v>534870</v>
      </c>
      <c r="L11" s="16" t="s">
        <v>125</v>
      </c>
      <c r="M11" s="22"/>
      <c r="N11" s="27" t="n">
        <f aca="false">IF(K11="","",K11+N(M11))</f>
        <v>534870</v>
      </c>
      <c r="O11" s="24" t="str">
        <f aca="false">IF(OR(I11="",N11=""),"",N11/I11)</f>
        <v/>
      </c>
      <c r="P11" s="4" t="str">
        <f aca="false">IF(I11="","未揭露",IF(I11&gt;=0_條件與假設!$B$5,"✓","✗"))</f>
        <v>未揭露</v>
      </c>
      <c r="Q11" s="4" t="str">
        <f aca="false">IF(K11="","未提供",IF(K11&lt;=0_條件與假設!$B$6,"≤45萬",IF(K11&lt;=0_條件與假設!$B$7,"45～55萬","超過55萬")))</f>
        <v>45～55萬</v>
      </c>
      <c r="R11" s="4" t="s">
        <v>126</v>
      </c>
      <c r="S11" s="4" t="s">
        <v>100</v>
      </c>
      <c r="T11" s="23" t="n">
        <v>88</v>
      </c>
      <c r="U11" s="13" t="n">
        <v>2</v>
      </c>
      <c r="V11" s="4" t="str">
        <f aca="false">IF(U11="","未確認",IF(U11&lt;=0_條件與假設!$B$8,"✓",IF(U11&lt;=16,"△ 11～16分","✗")))</f>
        <v>✓</v>
      </c>
      <c r="W11" s="4" t="s">
        <v>133</v>
      </c>
      <c r="X11" s="28" t="s">
        <v>131</v>
      </c>
      <c r="Y11" s="28" t="s">
        <v>127</v>
      </c>
      <c r="Z11" s="4" t="s">
        <v>380</v>
      </c>
      <c r="AA11" s="4" t="s">
        <v>392</v>
      </c>
      <c r="AB11" s="16" t="s">
        <v>393</v>
      </c>
      <c r="AC11" s="4" t="s">
        <v>132</v>
      </c>
      <c r="AD11" s="29" t="s">
        <v>341</v>
      </c>
      <c r="AE11" s="28" t="s">
        <v>394</v>
      </c>
      <c r="AF11" s="20" t="s">
        <v>91</v>
      </c>
    </row>
    <row r="12" customFormat="false" ht="48" hidden="false" customHeight="true" outlineLevel="0" collapsed="false">
      <c r="A12" s="11" t="s">
        <v>20</v>
      </c>
      <c r="B12" s="13" t="n">
        <v>11</v>
      </c>
      <c r="C12" s="16" t="s">
        <v>395</v>
      </c>
      <c r="D12" s="20" t="s">
        <v>396</v>
      </c>
      <c r="E12" s="4" t="s">
        <v>122</v>
      </c>
      <c r="F12" s="4" t="s">
        <v>312</v>
      </c>
      <c r="G12" s="16" t="s">
        <v>397</v>
      </c>
      <c r="H12" s="21" t="n">
        <v>282.06</v>
      </c>
      <c r="I12" s="26"/>
      <c r="J12" s="16" t="s">
        <v>398</v>
      </c>
      <c r="K12" s="23" t="n">
        <v>532980</v>
      </c>
      <c r="L12" s="16" t="s">
        <v>399</v>
      </c>
      <c r="M12" s="22"/>
      <c r="N12" s="27" t="n">
        <f aca="false">IF(K12="","",K12+N(M12))</f>
        <v>532980</v>
      </c>
      <c r="O12" s="24" t="str">
        <f aca="false">IF(OR(I12="",N12=""),"",N12/I12)</f>
        <v/>
      </c>
      <c r="P12" s="4" t="str">
        <f aca="false">IF(I12="","未揭露",IF(I12&gt;=0_條件與假設!$B$5,"✓","✗"))</f>
        <v>未揭露</v>
      </c>
      <c r="Q12" s="4" t="str">
        <f aca="false">IF(K12="","未提供",IF(K12&lt;=0_條件與假設!$B$6,"≤45萬",IF(K12&lt;=0_條件與假設!$B$7,"45～55萬","超過55萬")))</f>
        <v>45～55萬</v>
      </c>
      <c r="R12" s="4" t="s">
        <v>316</v>
      </c>
      <c r="S12" s="4" t="s">
        <v>114</v>
      </c>
      <c r="T12" s="23" t="n">
        <v>570</v>
      </c>
      <c r="U12" s="13" t="n">
        <v>10</v>
      </c>
      <c r="V12" s="4" t="str">
        <f aca="false">IF(U12="","未確認",IF(U12&lt;=0_條件與假設!$B$8,"✓",IF(U12&lt;=16,"△ 11～16分","✗")))</f>
        <v>✓</v>
      </c>
      <c r="W12" s="4" t="s">
        <v>400</v>
      </c>
      <c r="X12" s="28" t="s">
        <v>105</v>
      </c>
      <c r="Y12" s="28" t="s">
        <v>401</v>
      </c>
      <c r="Z12" s="4" t="s">
        <v>402</v>
      </c>
      <c r="AA12" s="4" t="s">
        <v>380</v>
      </c>
      <c r="AB12" s="4" t="s">
        <v>403</v>
      </c>
      <c r="AC12" s="4" t="s">
        <v>404</v>
      </c>
      <c r="AD12" s="29" t="s">
        <v>341</v>
      </c>
      <c r="AE12" s="4" t="s">
        <v>405</v>
      </c>
      <c r="AF12" s="20" t="s">
        <v>91</v>
      </c>
    </row>
    <row r="13" customFormat="false" ht="48" hidden="false" customHeight="true" outlineLevel="0" collapsed="false">
      <c r="A13" s="11" t="s">
        <v>20</v>
      </c>
      <c r="B13" s="13" t="n">
        <v>12</v>
      </c>
      <c r="C13" s="16" t="s">
        <v>406</v>
      </c>
      <c r="D13" s="20" t="s">
        <v>407</v>
      </c>
      <c r="E13" s="4" t="s">
        <v>209</v>
      </c>
      <c r="F13" s="4" t="s">
        <v>408</v>
      </c>
      <c r="G13" s="16" t="s">
        <v>409</v>
      </c>
      <c r="H13" s="21" t="n">
        <v>276</v>
      </c>
      <c r="I13" s="26"/>
      <c r="J13" s="4" t="s">
        <v>410</v>
      </c>
      <c r="K13" s="23" t="n">
        <v>504000</v>
      </c>
      <c r="L13" s="16" t="s">
        <v>411</v>
      </c>
      <c r="M13" s="22"/>
      <c r="N13" s="27" t="n">
        <f aca="false">IF(K13="","",K13+N(M13))</f>
        <v>504000</v>
      </c>
      <c r="O13" s="24" t="str">
        <f aca="false">IF(OR(I13="",N13=""),"",N13/I13)</f>
        <v/>
      </c>
      <c r="P13" s="4" t="str">
        <f aca="false">IF(I13="","未揭露",IF(I13&gt;=0_條件與假設!$B$5,"✓","✗"))</f>
        <v>未揭露</v>
      </c>
      <c r="Q13" s="4" t="str">
        <f aca="false">IF(K13="","未提供",IF(K13&lt;=0_條件與假設!$B$6,"≤45萬",IF(K13&lt;=0_條件與假設!$B$7,"45～55萬","超過55萬")))</f>
        <v>45～55萬</v>
      </c>
      <c r="R13" s="4" t="s">
        <v>251</v>
      </c>
      <c r="S13" s="4" t="s">
        <v>114</v>
      </c>
      <c r="T13" s="23" t="n">
        <v>300</v>
      </c>
      <c r="U13" s="13" t="n">
        <v>5</v>
      </c>
      <c r="V13" s="4" t="str">
        <f aca="false">IF(U13="","未確認",IF(U13&lt;=0_條件與假設!$B$8,"✓",IF(U13&lt;=16,"△ 11～16分","✗")))</f>
        <v>✓</v>
      </c>
      <c r="W13" s="4" t="s">
        <v>412</v>
      </c>
      <c r="X13" s="28" t="s">
        <v>413</v>
      </c>
      <c r="Y13" s="28" t="s">
        <v>414</v>
      </c>
      <c r="Z13" s="4" t="s">
        <v>415</v>
      </c>
      <c r="AA13" s="4" t="s">
        <v>380</v>
      </c>
      <c r="AB13" s="4" t="s">
        <v>416</v>
      </c>
      <c r="AC13" s="4" t="s">
        <v>265</v>
      </c>
      <c r="AD13" s="20" t="s">
        <v>417</v>
      </c>
      <c r="AE13" s="28" t="s">
        <v>418</v>
      </c>
      <c r="AF13" s="20" t="s">
        <v>91</v>
      </c>
    </row>
    <row r="14" customFormat="false" ht="48" hidden="false" customHeight="true" outlineLevel="0" collapsed="false">
      <c r="A14" s="11" t="s">
        <v>20</v>
      </c>
      <c r="B14" s="13" t="n">
        <v>13</v>
      </c>
      <c r="C14" s="16" t="s">
        <v>419</v>
      </c>
      <c r="D14" s="20" t="s">
        <v>420</v>
      </c>
      <c r="E14" s="4" t="s">
        <v>328</v>
      </c>
      <c r="F14" s="4" t="s">
        <v>421</v>
      </c>
      <c r="G14" s="16" t="s">
        <v>422</v>
      </c>
      <c r="H14" s="21" t="n">
        <v>266.78</v>
      </c>
      <c r="I14" s="26"/>
      <c r="J14" s="16" t="s">
        <v>423</v>
      </c>
      <c r="K14" s="23" t="n">
        <v>533500</v>
      </c>
      <c r="L14" s="16" t="s">
        <v>424</v>
      </c>
      <c r="M14" s="22"/>
      <c r="N14" s="27" t="n">
        <f aca="false">IF(K14="","",K14+N(M14))</f>
        <v>533500</v>
      </c>
      <c r="O14" s="24" t="str">
        <f aca="false">IF(OR(I14="",N14=""),"",N14/I14)</f>
        <v/>
      </c>
      <c r="P14" s="4" t="str">
        <f aca="false">IF(I14="","未揭露",IF(I14&gt;=0_條件與假設!$B$5,"✓","✗"))</f>
        <v>未揭露</v>
      </c>
      <c r="Q14" s="4" t="str">
        <f aca="false">IF(K14="","未提供",IF(K14&lt;=0_條件與假設!$B$6,"≤45萬",IF(K14&lt;=0_條件與假設!$B$7,"45～55萬","超過55萬")))</f>
        <v>45～55萬</v>
      </c>
      <c r="R14" s="4" t="s">
        <v>425</v>
      </c>
      <c r="S14" s="4" t="s">
        <v>426</v>
      </c>
      <c r="T14" s="23" t="n">
        <v>171</v>
      </c>
      <c r="U14" s="13" t="n">
        <v>3</v>
      </c>
      <c r="V14" s="4" t="str">
        <f aca="false">IF(U14="","未確認",IF(U14&lt;=0_條件與假設!$B$8,"✓",IF(U14&lt;=16,"△ 11～16分","✗")))</f>
        <v>✓</v>
      </c>
      <c r="W14" s="4" t="s">
        <v>427</v>
      </c>
      <c r="X14" s="25" t="s">
        <v>428</v>
      </c>
      <c r="Y14" s="28" t="s">
        <v>429</v>
      </c>
      <c r="Z14" s="4" t="s">
        <v>380</v>
      </c>
      <c r="AA14" s="4" t="s">
        <v>380</v>
      </c>
      <c r="AB14" s="16" t="s">
        <v>430</v>
      </c>
      <c r="AC14" s="4" t="s">
        <v>226</v>
      </c>
      <c r="AD14" s="29" t="s">
        <v>341</v>
      </c>
      <c r="AE14" s="28" t="s">
        <v>431</v>
      </c>
      <c r="AF14" s="16" t="s">
        <v>86</v>
      </c>
    </row>
    <row r="15" customFormat="false" ht="48" hidden="false" customHeight="true" outlineLevel="0" collapsed="false">
      <c r="A15" s="11" t="s">
        <v>20</v>
      </c>
      <c r="B15" s="13" t="n">
        <v>14</v>
      </c>
      <c r="C15" s="16" t="s">
        <v>432</v>
      </c>
      <c r="D15" s="20" t="s">
        <v>433</v>
      </c>
      <c r="E15" s="4" t="s">
        <v>95</v>
      </c>
      <c r="F15" s="4" t="s">
        <v>434</v>
      </c>
      <c r="G15" s="16" t="s">
        <v>435</v>
      </c>
      <c r="H15" s="21" t="n">
        <v>265.93</v>
      </c>
      <c r="I15" s="26"/>
      <c r="J15" s="16" t="s">
        <v>436</v>
      </c>
      <c r="K15" s="23" t="n">
        <v>385599</v>
      </c>
      <c r="L15" s="16" t="s">
        <v>437</v>
      </c>
      <c r="M15" s="23" t="n">
        <v>0</v>
      </c>
      <c r="N15" s="24" t="n">
        <f aca="false">IF(K15="","",K15+N(M15))</f>
        <v>385599</v>
      </c>
      <c r="O15" s="24" t="str">
        <f aca="false">IF(OR(I15="",N15=""),"",N15/I15)</f>
        <v/>
      </c>
      <c r="P15" s="4" t="str">
        <f aca="false">IF(I15="","未揭露",IF(I15&gt;=0_條件與假設!$B$5,"✓","✗"))</f>
        <v>未揭露</v>
      </c>
      <c r="Q15" s="4" t="str">
        <f aca="false">IF(K15="","未提供",IF(K15&lt;=0_條件與假設!$B$6,"≤45萬",IF(K15&lt;=0_條件與假設!$B$7,"45～55萬","超過55萬")))</f>
        <v>≤45萬</v>
      </c>
      <c r="R15" s="4" t="s">
        <v>198</v>
      </c>
      <c r="S15" s="4" t="s">
        <v>83</v>
      </c>
      <c r="T15" s="23" t="n">
        <v>170</v>
      </c>
      <c r="U15" s="13" t="n">
        <v>3</v>
      </c>
      <c r="V15" s="4" t="str">
        <f aca="false">IF(U15="","未確認",IF(U15&lt;=0_條件與假設!$B$8,"✓",IF(U15&lt;=16,"△ 11～16分","✗")))</f>
        <v>✓</v>
      </c>
      <c r="W15" s="4" t="s">
        <v>438</v>
      </c>
      <c r="X15" s="28" t="s">
        <v>439</v>
      </c>
      <c r="Y15" s="28" t="s">
        <v>440</v>
      </c>
      <c r="Z15" s="4" t="s">
        <v>380</v>
      </c>
      <c r="AA15" s="4" t="s">
        <v>441</v>
      </c>
      <c r="AB15" s="16" t="s">
        <v>442</v>
      </c>
      <c r="AC15" s="4" t="s">
        <v>443</v>
      </c>
      <c r="AD15" s="29" t="s">
        <v>341</v>
      </c>
      <c r="AE15" s="28" t="s">
        <v>444</v>
      </c>
      <c r="AF15" s="20" t="s">
        <v>91</v>
      </c>
    </row>
    <row r="16" customFormat="false" ht="48" hidden="false" customHeight="true" outlineLevel="0" collapsed="false">
      <c r="A16" s="11" t="s">
        <v>20</v>
      </c>
      <c r="B16" s="13" t="n">
        <v>15</v>
      </c>
      <c r="C16" s="16" t="s">
        <v>445</v>
      </c>
      <c r="D16" s="20" t="s">
        <v>446</v>
      </c>
      <c r="E16" s="4" t="s">
        <v>328</v>
      </c>
      <c r="F16" s="4" t="s">
        <v>421</v>
      </c>
      <c r="G16" s="16" t="s">
        <v>447</v>
      </c>
      <c r="H16" s="21" t="n">
        <v>261.4</v>
      </c>
      <c r="I16" s="26"/>
      <c r="J16" s="16" t="s">
        <v>448</v>
      </c>
      <c r="K16" s="23" t="n">
        <v>421872</v>
      </c>
      <c r="L16" s="16" t="s">
        <v>449</v>
      </c>
      <c r="M16" s="22"/>
      <c r="N16" s="27" t="n">
        <f aca="false">IF(K16="","",K16+N(M16))</f>
        <v>421872</v>
      </c>
      <c r="O16" s="24" t="str">
        <f aca="false">IF(OR(I16="",N16=""),"",N16/I16)</f>
        <v/>
      </c>
      <c r="P16" s="4" t="str">
        <f aca="false">IF(I16="","未揭露",IF(I16&gt;=0_條件與假設!$B$5,"✓","✗"))</f>
        <v>未揭露</v>
      </c>
      <c r="Q16" s="4" t="str">
        <f aca="false">IF(K16="","未提供",IF(K16&lt;=0_條件與假設!$B$6,"≤45萬",IF(K16&lt;=0_條件與假設!$B$7,"45～55萬","超過55萬")))</f>
        <v>≤45萬</v>
      </c>
      <c r="R16" s="4" t="s">
        <v>450</v>
      </c>
      <c r="S16" s="4" t="s">
        <v>114</v>
      </c>
      <c r="T16" s="23" t="n">
        <v>119</v>
      </c>
      <c r="U16" s="13" t="n">
        <v>2</v>
      </c>
      <c r="V16" s="4" t="str">
        <f aca="false">IF(U16="","未確認",IF(U16&lt;=0_條件與假設!$B$8,"✓",IF(U16&lt;=16,"△ 11～16分","✗")))</f>
        <v>✓</v>
      </c>
      <c r="W16" s="4" t="s">
        <v>451</v>
      </c>
      <c r="X16" s="28" t="s">
        <v>452</v>
      </c>
      <c r="Y16" s="28" t="s">
        <v>453</v>
      </c>
      <c r="Z16" s="4" t="s">
        <v>380</v>
      </c>
      <c r="AA16" s="4" t="s">
        <v>454</v>
      </c>
      <c r="AB16" s="16" t="s">
        <v>455</v>
      </c>
      <c r="AC16" s="4" t="s">
        <v>226</v>
      </c>
      <c r="AD16" s="29" t="s">
        <v>341</v>
      </c>
      <c r="AE16" s="28" t="s">
        <v>456</v>
      </c>
      <c r="AF16" s="20" t="s">
        <v>91</v>
      </c>
    </row>
    <row r="17" customFormat="false" ht="48" hidden="false" customHeight="true" outlineLevel="0" collapsed="false">
      <c r="A17" s="11" t="s">
        <v>20</v>
      </c>
      <c r="B17" s="13" t="n">
        <v>16</v>
      </c>
      <c r="C17" s="16" t="s">
        <v>134</v>
      </c>
      <c r="D17" s="20" t="s">
        <v>135</v>
      </c>
      <c r="E17" s="4" t="s">
        <v>95</v>
      </c>
      <c r="F17" s="4" t="s">
        <v>136</v>
      </c>
      <c r="G17" s="16" t="s">
        <v>137</v>
      </c>
      <c r="H17" s="21" t="n">
        <v>255.18</v>
      </c>
      <c r="I17" s="26"/>
      <c r="J17" s="16" t="s">
        <v>457</v>
      </c>
      <c r="K17" s="23" t="n">
        <v>507565</v>
      </c>
      <c r="L17" s="16" t="s">
        <v>138</v>
      </c>
      <c r="M17" s="22"/>
      <c r="N17" s="27" t="n">
        <f aca="false">IF(K17="","",K17+N(M17))</f>
        <v>507565</v>
      </c>
      <c r="O17" s="24" t="str">
        <f aca="false">IF(OR(I17="",N17=""),"",N17/I17)</f>
        <v/>
      </c>
      <c r="P17" s="4" t="str">
        <f aca="false">IF(I17="","未揭露",IF(I17&gt;=0_條件與假設!$B$5,"✓","✗"))</f>
        <v>未揭露</v>
      </c>
      <c r="Q17" s="4" t="str">
        <f aca="false">IF(K17="","未提供",IF(K17&lt;=0_條件與假設!$B$6,"≤45萬",IF(K17&lt;=0_條件與假設!$B$7,"45～55萬","超過55萬")))</f>
        <v>45～55萬</v>
      </c>
      <c r="R17" s="28" t="s">
        <v>139</v>
      </c>
      <c r="S17" s="4"/>
      <c r="T17" s="23"/>
      <c r="U17" s="13"/>
      <c r="V17" s="4" t="str">
        <f aca="false">IF(U17="","未確認",IF(U17&lt;=0_條件與假設!$B$8,"✓",IF(U17&lt;=16,"△ 11～16分","✗")))</f>
        <v>未確認</v>
      </c>
      <c r="W17" s="4" t="s">
        <v>145</v>
      </c>
      <c r="X17" s="28" t="s">
        <v>143</v>
      </c>
      <c r="Y17" s="4" t="s">
        <v>140</v>
      </c>
      <c r="Z17" s="4" t="s">
        <v>380</v>
      </c>
      <c r="AA17" s="4" t="s">
        <v>454</v>
      </c>
      <c r="AB17" s="16" t="s">
        <v>458</v>
      </c>
      <c r="AC17" s="4" t="s">
        <v>144</v>
      </c>
      <c r="AD17" s="29" t="s">
        <v>341</v>
      </c>
      <c r="AE17" s="28" t="s">
        <v>459</v>
      </c>
      <c r="AF17" s="20" t="s">
        <v>91</v>
      </c>
    </row>
    <row r="18" customFormat="false" ht="48" hidden="false" customHeight="true" outlineLevel="0" collapsed="false">
      <c r="A18" s="11" t="s">
        <v>20</v>
      </c>
      <c r="B18" s="13" t="n">
        <v>17</v>
      </c>
      <c r="C18" s="16" t="s">
        <v>146</v>
      </c>
      <c r="D18" s="20" t="s">
        <v>147</v>
      </c>
      <c r="E18" s="4" t="s">
        <v>95</v>
      </c>
      <c r="F18" s="4" t="s">
        <v>110</v>
      </c>
      <c r="G18" s="16" t="s">
        <v>148</v>
      </c>
      <c r="H18" s="21" t="n">
        <v>254.06</v>
      </c>
      <c r="I18" s="26"/>
      <c r="J18" s="4" t="s">
        <v>460</v>
      </c>
      <c r="K18" s="23" t="n">
        <v>381090</v>
      </c>
      <c r="L18" s="16" t="s">
        <v>149</v>
      </c>
      <c r="M18" s="23" t="n">
        <v>41920</v>
      </c>
      <c r="N18" s="24" t="n">
        <f aca="false">IF(K18="","",K18+N(M18))</f>
        <v>423010</v>
      </c>
      <c r="O18" s="24" t="str">
        <f aca="false">IF(OR(I18="",N18=""),"",N18/I18)</f>
        <v/>
      </c>
      <c r="P18" s="4" t="str">
        <f aca="false">IF(I18="","未揭露",IF(I18&gt;=0_條件與假設!$B$5,"✓","✗"))</f>
        <v>未揭露</v>
      </c>
      <c r="Q18" s="4" t="str">
        <f aca="false">IF(K18="","未提供",IF(K18&lt;=0_條件與假設!$B$6,"≤45萬",IF(K18&lt;=0_條件與假設!$B$7,"45～55萬","超過55萬")))</f>
        <v>≤45萬</v>
      </c>
      <c r="R18" s="4" t="s">
        <v>113</v>
      </c>
      <c r="S18" s="4" t="s">
        <v>114</v>
      </c>
      <c r="T18" s="23" t="n">
        <v>620</v>
      </c>
      <c r="U18" s="13" t="n">
        <v>11</v>
      </c>
      <c r="V18" s="4" t="str">
        <f aca="false">IF(U18="","未確認",IF(U18&lt;=0_條件與假設!$B$8,"✓",IF(U18&lt;=16,"△ 11～16分","✗")))</f>
        <v>△ 11～16分</v>
      </c>
      <c r="W18" s="4" t="s">
        <v>152</v>
      </c>
      <c r="X18" s="28" t="s">
        <v>117</v>
      </c>
      <c r="Y18" s="4" t="s">
        <v>150</v>
      </c>
      <c r="Z18" s="4" t="s">
        <v>387</v>
      </c>
      <c r="AA18" s="4" t="s">
        <v>388</v>
      </c>
      <c r="AB18" s="4" t="s">
        <v>461</v>
      </c>
      <c r="AC18" s="4" t="s">
        <v>118</v>
      </c>
      <c r="AD18" s="20" t="s">
        <v>355</v>
      </c>
      <c r="AE18" s="4" t="s">
        <v>462</v>
      </c>
      <c r="AF18" s="20" t="s">
        <v>91</v>
      </c>
    </row>
    <row r="19" customFormat="false" ht="48" hidden="false" customHeight="true" outlineLevel="0" collapsed="false">
      <c r="A19" s="11" t="s">
        <v>20</v>
      </c>
      <c r="B19" s="13" t="n">
        <v>18</v>
      </c>
      <c r="C19" s="16" t="s">
        <v>153</v>
      </c>
      <c r="D19" s="20" t="s">
        <v>154</v>
      </c>
      <c r="E19" s="4" t="s">
        <v>95</v>
      </c>
      <c r="F19" s="4" t="s">
        <v>155</v>
      </c>
      <c r="G19" s="16" t="s">
        <v>156</v>
      </c>
      <c r="H19" s="21" t="n">
        <v>253</v>
      </c>
      <c r="I19" s="26"/>
      <c r="J19" s="16" t="s">
        <v>463</v>
      </c>
      <c r="K19" s="23" t="n">
        <v>480035</v>
      </c>
      <c r="L19" s="16" t="s">
        <v>157</v>
      </c>
      <c r="M19" s="22"/>
      <c r="N19" s="27" t="n">
        <f aca="false">IF(K19="","",K19+N(M19))</f>
        <v>480035</v>
      </c>
      <c r="O19" s="24" t="str">
        <f aca="false">IF(OR(I19="",N19=""),"",N19/I19)</f>
        <v/>
      </c>
      <c r="P19" s="4" t="str">
        <f aca="false">IF(I19="","未揭露",IF(I19&gt;=0_條件與假設!$B$5,"✓","✗"))</f>
        <v>未揭露</v>
      </c>
      <c r="Q19" s="4" t="str">
        <f aca="false">IF(K19="","未提供",IF(K19&lt;=0_條件與假設!$B$6,"≤45萬",IF(K19&lt;=0_條件與假設!$B$7,"45～55萬","超過55萬")))</f>
        <v>45～55萬</v>
      </c>
      <c r="R19" s="4" t="s">
        <v>99</v>
      </c>
      <c r="S19" s="4" t="s">
        <v>100</v>
      </c>
      <c r="T19" s="23" t="n">
        <v>310</v>
      </c>
      <c r="U19" s="13" t="n">
        <v>6</v>
      </c>
      <c r="V19" s="4" t="str">
        <f aca="false">IF(U19="","未確認",IF(U19&lt;=0_條件與假設!$B$8,"✓",IF(U19&lt;=16,"△ 11～16分","✗")))</f>
        <v>✓</v>
      </c>
      <c r="W19" s="4" t="s">
        <v>163</v>
      </c>
      <c r="X19" s="28" t="s">
        <v>161</v>
      </c>
      <c r="Y19" s="28" t="s">
        <v>158</v>
      </c>
      <c r="Z19" s="4" t="s">
        <v>380</v>
      </c>
      <c r="AA19" s="4" t="s">
        <v>380</v>
      </c>
      <c r="AB19" s="16" t="s">
        <v>464</v>
      </c>
      <c r="AC19" s="4" t="s">
        <v>162</v>
      </c>
      <c r="AD19" s="29" t="s">
        <v>341</v>
      </c>
      <c r="AE19" s="28" t="s">
        <v>465</v>
      </c>
      <c r="AF19" s="20" t="s">
        <v>91</v>
      </c>
    </row>
    <row r="20" customFormat="false" ht="48" hidden="false" customHeight="true" outlineLevel="0" collapsed="false">
      <c r="A20" s="11" t="s">
        <v>20</v>
      </c>
      <c r="B20" s="13" t="n">
        <v>19</v>
      </c>
      <c r="C20" s="16" t="s">
        <v>164</v>
      </c>
      <c r="D20" s="20" t="s">
        <v>165</v>
      </c>
      <c r="E20" s="4" t="s">
        <v>122</v>
      </c>
      <c r="F20" s="4" t="s">
        <v>166</v>
      </c>
      <c r="G20" s="16" t="s">
        <v>167</v>
      </c>
      <c r="H20" s="21" t="n">
        <v>243</v>
      </c>
      <c r="I20" s="26"/>
      <c r="J20" s="16" t="s">
        <v>466</v>
      </c>
      <c r="K20" s="23" t="n">
        <v>534754</v>
      </c>
      <c r="L20" s="16" t="s">
        <v>168</v>
      </c>
      <c r="M20" s="22"/>
      <c r="N20" s="27" t="n">
        <f aca="false">IF(K20="","",K20+N(M20))</f>
        <v>534754</v>
      </c>
      <c r="O20" s="24" t="str">
        <f aca="false">IF(OR(I20="",N20=""),"",N20/I20)</f>
        <v/>
      </c>
      <c r="P20" s="4" t="str">
        <f aca="false">IF(I20="","未揭露",IF(I20&gt;=0_條件與假設!$B$5,"✓","✗"))</f>
        <v>未揭露</v>
      </c>
      <c r="Q20" s="4" t="str">
        <f aca="false">IF(K20="","未提供",IF(K20&lt;=0_條件與假設!$B$6,"≤45萬",IF(K20&lt;=0_條件與假設!$B$7,"45～55萬","超過55萬")))</f>
        <v>45～55萬</v>
      </c>
      <c r="R20" s="4" t="s">
        <v>126</v>
      </c>
      <c r="S20" s="4" t="s">
        <v>100</v>
      </c>
      <c r="T20" s="23" t="n">
        <v>48</v>
      </c>
      <c r="U20" s="13" t="n">
        <v>1</v>
      </c>
      <c r="V20" s="4" t="str">
        <f aca="false">IF(U20="","未確認",IF(U20&lt;=0_條件與假設!$B$8,"✓",IF(U20&lt;=16,"△ 11～16分","✗")))</f>
        <v>✓</v>
      </c>
      <c r="W20" s="4" t="s">
        <v>172</v>
      </c>
      <c r="X20" s="28" t="s">
        <v>171</v>
      </c>
      <c r="Y20" s="28" t="s">
        <v>169</v>
      </c>
      <c r="Z20" s="4" t="s">
        <v>380</v>
      </c>
      <c r="AA20" s="4" t="s">
        <v>380</v>
      </c>
      <c r="AB20" s="16" t="s">
        <v>467</v>
      </c>
      <c r="AC20" s="4" t="s">
        <v>162</v>
      </c>
      <c r="AD20" s="29" t="s">
        <v>341</v>
      </c>
      <c r="AE20" s="28" t="s">
        <v>468</v>
      </c>
      <c r="AF20" s="20" t="s">
        <v>91</v>
      </c>
    </row>
    <row r="21" customFormat="false" ht="48" hidden="false" customHeight="true" outlineLevel="0" collapsed="false">
      <c r="A21" s="12" t="s">
        <v>22</v>
      </c>
      <c r="B21" s="13" t="n">
        <v>20</v>
      </c>
      <c r="C21" s="16" t="s">
        <v>469</v>
      </c>
      <c r="D21" s="20" t="s">
        <v>470</v>
      </c>
      <c r="E21" s="4" t="s">
        <v>78</v>
      </c>
      <c r="F21" s="4" t="s">
        <v>471</v>
      </c>
      <c r="G21" s="16" t="s">
        <v>472</v>
      </c>
      <c r="H21" s="21" t="n">
        <v>330.42</v>
      </c>
      <c r="I21" s="21" t="n">
        <v>300.54</v>
      </c>
      <c r="J21" s="4" t="s">
        <v>473</v>
      </c>
      <c r="K21" s="23" t="n">
        <v>561714</v>
      </c>
      <c r="L21" s="16" t="s">
        <v>474</v>
      </c>
      <c r="M21" s="23" t="n">
        <v>49563</v>
      </c>
      <c r="N21" s="24" t="n">
        <f aca="false">IF(K21="","",K21+N(M21))</f>
        <v>611277</v>
      </c>
      <c r="O21" s="24" t="n">
        <f aca="false">IF(OR(I21="",N21=""),"",N21/I21)</f>
        <v>2033.92892792973</v>
      </c>
      <c r="P21" s="4" t="str">
        <f aca="false">IF(I21="","未揭露",IF(I21&gt;=0_條件與假設!$B$5,"✓","✗"))</f>
        <v>✓</v>
      </c>
      <c r="Q21" s="4" t="str">
        <f aca="false">IF(K21="","未提供",IF(K21&lt;=0_條件與假設!$B$6,"≤45萬",IF(K21&lt;=0_條件與假設!$B$7,"45～55萬","超過55萬")))</f>
        <v>超過55萬</v>
      </c>
      <c r="R21" s="4" t="s">
        <v>82</v>
      </c>
      <c r="S21" s="4" t="s">
        <v>83</v>
      </c>
      <c r="T21" s="23" t="n">
        <v>950</v>
      </c>
      <c r="U21" s="13" t="n">
        <v>16</v>
      </c>
      <c r="V21" s="4" t="str">
        <f aca="false">IF(U21="","未確認",IF(U21&lt;=0_條件與假設!$B$8,"✓",IF(U21&lt;=16,"△ 11～16分","✗")))</f>
        <v>△ 11～16分</v>
      </c>
      <c r="W21" s="4" t="s">
        <v>475</v>
      </c>
      <c r="X21" s="28" t="s">
        <v>476</v>
      </c>
      <c r="Y21" s="4" t="s">
        <v>477</v>
      </c>
      <c r="Z21" s="4" t="s">
        <v>478</v>
      </c>
      <c r="AA21" s="4" t="s">
        <v>388</v>
      </c>
      <c r="AB21" s="4" t="s">
        <v>479</v>
      </c>
      <c r="AC21" s="4" t="s">
        <v>480</v>
      </c>
      <c r="AD21" s="20" t="s">
        <v>355</v>
      </c>
      <c r="AE21" s="4" t="s">
        <v>309</v>
      </c>
      <c r="AF21" s="20" t="s">
        <v>91</v>
      </c>
    </row>
    <row r="22" customFormat="false" ht="48" hidden="false" customHeight="true" outlineLevel="0" collapsed="false">
      <c r="A22" s="12" t="s">
        <v>22</v>
      </c>
      <c r="B22" s="13" t="n">
        <v>21</v>
      </c>
      <c r="C22" s="16" t="s">
        <v>481</v>
      </c>
      <c r="D22" s="20" t="s">
        <v>482</v>
      </c>
      <c r="E22" s="4" t="s">
        <v>78</v>
      </c>
      <c r="F22" s="4" t="s">
        <v>471</v>
      </c>
      <c r="G22" s="16" t="s">
        <v>483</v>
      </c>
      <c r="H22" s="21" t="n">
        <v>330.22</v>
      </c>
      <c r="I22" s="21" t="n">
        <v>300.44</v>
      </c>
      <c r="J22" s="4" t="s">
        <v>484</v>
      </c>
      <c r="K22" s="23" t="n">
        <v>577885</v>
      </c>
      <c r="L22" s="16" t="s">
        <v>485</v>
      </c>
      <c r="M22" s="23" t="n">
        <v>49533</v>
      </c>
      <c r="N22" s="24" t="n">
        <f aca="false">IF(K22="","",K22+N(M22))</f>
        <v>627418</v>
      </c>
      <c r="O22" s="24" t="n">
        <f aca="false">IF(OR(I22="",N22=""),"",N22/I22)</f>
        <v>2088.33044867528</v>
      </c>
      <c r="P22" s="4" t="str">
        <f aca="false">IF(I22="","未揭露",IF(I22&gt;=0_條件與假設!$B$5,"✓","✗"))</f>
        <v>✓</v>
      </c>
      <c r="Q22" s="4" t="str">
        <f aca="false">IF(K22="","未提供",IF(K22&lt;=0_條件與假設!$B$6,"≤45萬",IF(K22&lt;=0_條件與假設!$B$7,"45～55萬","超過55萬")))</f>
        <v>超過55萬</v>
      </c>
      <c r="R22" s="4" t="s">
        <v>82</v>
      </c>
      <c r="S22" s="4" t="s">
        <v>83</v>
      </c>
      <c r="T22" s="23" t="n">
        <v>950</v>
      </c>
      <c r="U22" s="13" t="n">
        <v>16</v>
      </c>
      <c r="V22" s="4" t="str">
        <f aca="false">IF(U22="","未確認",IF(U22&lt;=0_條件與假設!$B$8,"✓",IF(U22&lt;=16,"△ 11～16分","✗")))</f>
        <v>△ 11～16分</v>
      </c>
      <c r="W22" s="4" t="s">
        <v>486</v>
      </c>
      <c r="X22" s="28" t="s">
        <v>476</v>
      </c>
      <c r="Y22" s="4" t="s">
        <v>477</v>
      </c>
      <c r="Z22" s="4" t="s">
        <v>487</v>
      </c>
      <c r="AA22" s="4" t="s">
        <v>388</v>
      </c>
      <c r="AB22" s="4" t="s">
        <v>488</v>
      </c>
      <c r="AC22" s="4" t="s">
        <v>480</v>
      </c>
      <c r="AD22" s="20" t="s">
        <v>355</v>
      </c>
      <c r="AE22" s="4" t="s">
        <v>309</v>
      </c>
      <c r="AF22" s="20" t="s">
        <v>91</v>
      </c>
    </row>
    <row r="23" customFormat="false" ht="48" hidden="false" customHeight="true" outlineLevel="0" collapsed="false">
      <c r="A23" s="12" t="s">
        <v>22</v>
      </c>
      <c r="B23" s="13" t="n">
        <v>22</v>
      </c>
      <c r="C23" s="16" t="s">
        <v>489</v>
      </c>
      <c r="D23" s="20" t="s">
        <v>490</v>
      </c>
      <c r="E23" s="4" t="s">
        <v>209</v>
      </c>
      <c r="F23" s="4" t="s">
        <v>491</v>
      </c>
      <c r="G23" s="16" t="s">
        <v>492</v>
      </c>
      <c r="H23" s="21" t="n">
        <v>277.81</v>
      </c>
      <c r="I23" s="21" t="n">
        <v>256.87</v>
      </c>
      <c r="J23" s="4" t="s">
        <v>493</v>
      </c>
      <c r="K23" s="23" t="n">
        <v>300000</v>
      </c>
      <c r="L23" s="16" t="s">
        <v>494</v>
      </c>
      <c r="M23" s="22"/>
      <c r="N23" s="27" t="n">
        <f aca="false">IF(K23="","",K23+N(M23))</f>
        <v>300000</v>
      </c>
      <c r="O23" s="24" t="n">
        <f aca="false">IF(OR(I23="",N23=""),"",N23/I23)</f>
        <v>1167.90594464126</v>
      </c>
      <c r="P23" s="4" t="str">
        <f aca="false">IF(I23="","未揭露",IF(I23&gt;=0_條件與假設!$B$5,"✓","✗"))</f>
        <v>✓</v>
      </c>
      <c r="Q23" s="4" t="str">
        <f aca="false">IF(K23="","未提供",IF(K23&lt;=0_條件與假設!$B$6,"≤45萬",IF(K23&lt;=0_條件與假設!$B$7,"45～55萬","超過55萬")))</f>
        <v>≤45萬</v>
      </c>
      <c r="R23" s="4" t="s">
        <v>113</v>
      </c>
      <c r="S23" s="4" t="s">
        <v>114</v>
      </c>
      <c r="T23" s="23" t="n">
        <v>290</v>
      </c>
      <c r="U23" s="13" t="n">
        <v>5</v>
      </c>
      <c r="V23" s="4" t="str">
        <f aca="false">IF(U23="","未確認",IF(U23&lt;=0_條件與假設!$B$8,"✓",IF(U23&lt;=16,"△ 11～16分","✗")))</f>
        <v>✓</v>
      </c>
      <c r="W23" s="4" t="s">
        <v>495</v>
      </c>
      <c r="X23" s="4"/>
      <c r="Y23" s="28" t="s">
        <v>496</v>
      </c>
      <c r="Z23" s="16" t="s">
        <v>497</v>
      </c>
      <c r="AA23" s="4" t="s">
        <v>388</v>
      </c>
      <c r="AB23" s="4" t="s">
        <v>498</v>
      </c>
      <c r="AC23" s="4" t="s">
        <v>499</v>
      </c>
      <c r="AD23" s="20" t="s">
        <v>500</v>
      </c>
      <c r="AE23" s="4" t="s">
        <v>501</v>
      </c>
      <c r="AF23" s="20" t="s">
        <v>91</v>
      </c>
    </row>
    <row r="24" customFormat="false" ht="48" hidden="false" customHeight="true" outlineLevel="0" collapsed="false">
      <c r="A24" s="12" t="s">
        <v>22</v>
      </c>
      <c r="B24" s="13" t="n">
        <v>23</v>
      </c>
      <c r="C24" s="16" t="s">
        <v>502</v>
      </c>
      <c r="D24" s="20" t="s">
        <v>503</v>
      </c>
      <c r="E24" s="4" t="s">
        <v>95</v>
      </c>
      <c r="F24" s="4" t="s">
        <v>504</v>
      </c>
      <c r="G24" s="16" t="s">
        <v>435</v>
      </c>
      <c r="H24" s="21" t="n">
        <v>353.16</v>
      </c>
      <c r="I24" s="21" t="n">
        <v>234.22</v>
      </c>
      <c r="J24" s="16" t="s">
        <v>505</v>
      </c>
      <c r="K24" s="23" t="n">
        <v>574768</v>
      </c>
      <c r="L24" s="16" t="s">
        <v>506</v>
      </c>
      <c r="M24" s="23" t="n">
        <v>35316</v>
      </c>
      <c r="N24" s="24" t="n">
        <f aca="false">IF(K24="","",K24+N(M24))</f>
        <v>610084</v>
      </c>
      <c r="O24" s="24" t="n">
        <f aca="false">IF(OR(I24="",N24=""),"",N24/I24)</f>
        <v>2604.74767312783</v>
      </c>
      <c r="P24" s="4" t="str">
        <f aca="false">IF(I24="","未揭露",IF(I24&gt;=0_條件與假設!$B$5,"✓","✗"))</f>
        <v>✓</v>
      </c>
      <c r="Q24" s="4" t="str">
        <f aca="false">IF(K24="","未提供",IF(K24&lt;=0_條件與假設!$B$6,"≤45萬",IF(K24&lt;=0_條件與假設!$B$7,"45～55萬","超過55萬")))</f>
        <v>超過55萬</v>
      </c>
      <c r="R24" s="4" t="s">
        <v>198</v>
      </c>
      <c r="S24" s="4" t="s">
        <v>83</v>
      </c>
      <c r="T24" s="23" t="n">
        <v>66</v>
      </c>
      <c r="U24" s="13" t="n">
        <v>2</v>
      </c>
      <c r="V24" s="4" t="str">
        <f aca="false">IF(U24="","未確認",IF(U24&lt;=0_條件與假設!$B$8,"✓",IF(U24&lt;=16,"△ 11～16分","✗")))</f>
        <v>✓</v>
      </c>
      <c r="W24" s="4" t="s">
        <v>507</v>
      </c>
      <c r="X24" s="4"/>
      <c r="Y24" s="28" t="s">
        <v>496</v>
      </c>
      <c r="Z24" s="4" t="s">
        <v>380</v>
      </c>
      <c r="AA24" s="4" t="s">
        <v>508</v>
      </c>
      <c r="AB24" s="16" t="s">
        <v>509</v>
      </c>
      <c r="AC24" s="4" t="s">
        <v>510</v>
      </c>
      <c r="AD24" s="29" t="s">
        <v>341</v>
      </c>
      <c r="AE24" s="28" t="s">
        <v>511</v>
      </c>
      <c r="AF24" s="20" t="s">
        <v>91</v>
      </c>
    </row>
    <row r="25" customFormat="false" ht="48" hidden="false" customHeight="true" outlineLevel="0" collapsed="false">
      <c r="A25" s="12" t="s">
        <v>22</v>
      </c>
      <c r="B25" s="13" t="n">
        <v>24</v>
      </c>
      <c r="C25" s="16" t="s">
        <v>512</v>
      </c>
      <c r="D25" s="20" t="s">
        <v>513</v>
      </c>
      <c r="E25" s="4" t="s">
        <v>78</v>
      </c>
      <c r="F25" s="4" t="s">
        <v>471</v>
      </c>
      <c r="G25" s="16" t="s">
        <v>514</v>
      </c>
      <c r="H25" s="21" t="n">
        <v>243.03</v>
      </c>
      <c r="I25" s="21" t="n">
        <v>221.05</v>
      </c>
      <c r="J25" s="4" t="s">
        <v>515</v>
      </c>
      <c r="K25" s="23" t="n">
        <v>595424</v>
      </c>
      <c r="L25" s="16" t="s">
        <v>516</v>
      </c>
      <c r="M25" s="23" t="n">
        <v>36455</v>
      </c>
      <c r="N25" s="24" t="n">
        <f aca="false">IF(K25="","",K25+N(M25))</f>
        <v>631879</v>
      </c>
      <c r="O25" s="24" t="n">
        <f aca="false">IF(OR(I25="",N25=""),"",N25/I25)</f>
        <v>2858.5342682651</v>
      </c>
      <c r="P25" s="4" t="str">
        <f aca="false">IF(I25="","未揭露",IF(I25&gt;=0_條件與假設!$B$5,"✓","✗"))</f>
        <v>✓</v>
      </c>
      <c r="Q25" s="4" t="str">
        <f aca="false">IF(K25="","未提供",IF(K25&lt;=0_條件與假設!$B$6,"≤45萬",IF(K25&lt;=0_條件與假設!$B$7,"45～55萬","超過55萬")))</f>
        <v>超過55萬</v>
      </c>
      <c r="R25" s="4" t="s">
        <v>82</v>
      </c>
      <c r="S25" s="4" t="s">
        <v>83</v>
      </c>
      <c r="T25" s="23" t="n">
        <v>950</v>
      </c>
      <c r="U25" s="13" t="n">
        <v>16</v>
      </c>
      <c r="V25" s="4" t="str">
        <f aca="false">IF(U25="","未確認",IF(U25&lt;=0_條件與假設!$B$8,"✓",IF(U25&lt;=16,"△ 11～16分","✗")))</f>
        <v>△ 11～16分</v>
      </c>
      <c r="W25" s="4" t="s">
        <v>517</v>
      </c>
      <c r="X25" s="28" t="s">
        <v>476</v>
      </c>
      <c r="Y25" s="4" t="s">
        <v>477</v>
      </c>
      <c r="Z25" s="4" t="s">
        <v>487</v>
      </c>
      <c r="AA25" s="4" t="s">
        <v>388</v>
      </c>
      <c r="AB25" s="4" t="s">
        <v>518</v>
      </c>
      <c r="AC25" s="4" t="s">
        <v>480</v>
      </c>
      <c r="AD25" s="20" t="s">
        <v>355</v>
      </c>
      <c r="AE25" s="4" t="s">
        <v>309</v>
      </c>
      <c r="AF25" s="20" t="s">
        <v>91</v>
      </c>
    </row>
    <row r="26" customFormat="false" ht="48" hidden="false" customHeight="true" outlineLevel="0" collapsed="false">
      <c r="A26" s="12" t="s">
        <v>22</v>
      </c>
      <c r="B26" s="13" t="n">
        <v>25</v>
      </c>
      <c r="C26" s="16" t="s">
        <v>519</v>
      </c>
      <c r="D26" s="20" t="s">
        <v>520</v>
      </c>
      <c r="E26" s="4" t="s">
        <v>122</v>
      </c>
      <c r="F26" s="4" t="s">
        <v>521</v>
      </c>
      <c r="G26" s="16" t="s">
        <v>522</v>
      </c>
      <c r="H26" s="21" t="n">
        <v>211.38</v>
      </c>
      <c r="I26" s="21" t="n">
        <v>211.38</v>
      </c>
      <c r="J26" s="4" t="s">
        <v>523</v>
      </c>
      <c r="K26" s="23" t="n">
        <v>401622</v>
      </c>
      <c r="L26" s="16" t="s">
        <v>524</v>
      </c>
      <c r="M26" s="23" t="n">
        <v>18000</v>
      </c>
      <c r="N26" s="24" t="n">
        <f aca="false">IF(K26="","",K26+N(M26))</f>
        <v>419622</v>
      </c>
      <c r="O26" s="24" t="n">
        <f aca="false">IF(OR(I26="",N26=""),"",N26/I26)</f>
        <v>1985.15469770082</v>
      </c>
      <c r="P26" s="4" t="str">
        <f aca="false">IF(I26="","未揭露",IF(I26&gt;=0_條件與假設!$B$5,"✓","✗"))</f>
        <v>✗</v>
      </c>
      <c r="Q26" s="4" t="str">
        <f aca="false">IF(K26="","未提供",IF(K26&lt;=0_條件與假設!$B$6,"≤45萬",IF(K26&lt;=0_條件與假設!$B$7,"45～55萬","超過55萬")))</f>
        <v>≤45萬</v>
      </c>
      <c r="R26" s="4" t="s">
        <v>251</v>
      </c>
      <c r="S26" s="4" t="s">
        <v>114</v>
      </c>
      <c r="T26" s="23" t="n">
        <v>580</v>
      </c>
      <c r="U26" s="13" t="n">
        <v>10</v>
      </c>
      <c r="V26" s="4" t="str">
        <f aca="false">IF(U26="","未確認",IF(U26&lt;=0_條件與假設!$B$8,"✓",IF(U26&lt;=16,"△ 11～16分","✗")))</f>
        <v>✓</v>
      </c>
      <c r="W26" s="4" t="s">
        <v>525</v>
      </c>
      <c r="X26" s="4"/>
      <c r="Y26" s="28" t="s">
        <v>526</v>
      </c>
      <c r="Z26" s="16" t="s">
        <v>527</v>
      </c>
      <c r="AA26" s="4" t="s">
        <v>528</v>
      </c>
      <c r="AB26" s="4" t="s">
        <v>529</v>
      </c>
      <c r="AC26" s="4" t="s">
        <v>530</v>
      </c>
      <c r="AD26" s="20" t="s">
        <v>531</v>
      </c>
      <c r="AE26" s="4" t="s">
        <v>532</v>
      </c>
      <c r="AF26" s="20" t="s">
        <v>91</v>
      </c>
    </row>
    <row r="27" customFormat="false" ht="48" hidden="false" customHeight="true" outlineLevel="0" collapsed="false">
      <c r="A27" s="12" t="s">
        <v>22</v>
      </c>
      <c r="B27" s="13" t="n">
        <v>26</v>
      </c>
      <c r="C27" s="16" t="s">
        <v>173</v>
      </c>
      <c r="D27" s="20" t="s">
        <v>174</v>
      </c>
      <c r="E27" s="4" t="s">
        <v>122</v>
      </c>
      <c r="F27" s="4" t="s">
        <v>175</v>
      </c>
      <c r="G27" s="16" t="s">
        <v>176</v>
      </c>
      <c r="H27" s="21" t="n">
        <v>220.07</v>
      </c>
      <c r="I27" s="21" t="n">
        <v>207.21</v>
      </c>
      <c r="J27" s="4" t="s">
        <v>533</v>
      </c>
      <c r="K27" s="23" t="n">
        <v>440140</v>
      </c>
      <c r="L27" s="16" t="s">
        <v>177</v>
      </c>
      <c r="M27" s="23" t="n">
        <v>48415</v>
      </c>
      <c r="N27" s="24" t="n">
        <f aca="false">IF(K27="","",K27+N(M27))</f>
        <v>488555</v>
      </c>
      <c r="O27" s="24" t="n">
        <f aca="false">IF(OR(I27="",N27=""),"",N27/I27)</f>
        <v>2357.77713430819</v>
      </c>
      <c r="P27" s="4" t="str">
        <f aca="false">IF(I27="","未揭露",IF(I27&gt;=0_條件與假設!$B$5,"✓","✗"))</f>
        <v>✗</v>
      </c>
      <c r="Q27" s="4" t="str">
        <f aca="false">IF(K27="","未提供",IF(K27&lt;=0_條件與假設!$B$6,"≤45萬",IF(K27&lt;=0_條件與假設!$B$7,"45～55萬","超過55萬")))</f>
        <v>≤45萬</v>
      </c>
      <c r="R27" s="28" t="s">
        <v>178</v>
      </c>
      <c r="S27" s="4"/>
      <c r="T27" s="23"/>
      <c r="U27" s="13"/>
      <c r="V27" s="4" t="str">
        <f aca="false">IF(U27="","未確認",IF(U27&lt;=0_條件與假設!$B$8,"✓",IF(U27&lt;=16,"△ 11～16分","✗")))</f>
        <v>未確認</v>
      </c>
      <c r="W27" s="4" t="s">
        <v>184</v>
      </c>
      <c r="X27" s="25" t="s">
        <v>182</v>
      </c>
      <c r="Y27" s="28" t="s">
        <v>179</v>
      </c>
      <c r="Z27" s="16" t="s">
        <v>534</v>
      </c>
      <c r="AA27" s="4" t="s">
        <v>535</v>
      </c>
      <c r="AB27" s="4" t="s">
        <v>536</v>
      </c>
      <c r="AC27" s="4" t="s">
        <v>183</v>
      </c>
      <c r="AD27" s="29" t="s">
        <v>537</v>
      </c>
      <c r="AE27" s="28" t="s">
        <v>538</v>
      </c>
      <c r="AF27" s="20" t="s">
        <v>91</v>
      </c>
    </row>
    <row r="28" customFormat="false" ht="48" hidden="false" customHeight="true" outlineLevel="0" collapsed="false">
      <c r="A28" s="12" t="s">
        <v>22</v>
      </c>
      <c r="B28" s="13" t="n">
        <v>27</v>
      </c>
      <c r="C28" s="16" t="s">
        <v>539</v>
      </c>
      <c r="D28" s="20" t="s">
        <v>540</v>
      </c>
      <c r="E28" s="4" t="s">
        <v>78</v>
      </c>
      <c r="F28" s="4" t="s">
        <v>541</v>
      </c>
      <c r="G28" s="16" t="s">
        <v>542</v>
      </c>
      <c r="H28" s="21" t="n">
        <v>213.56</v>
      </c>
      <c r="I28" s="21" t="n">
        <v>204.08</v>
      </c>
      <c r="J28" s="4" t="s">
        <v>543</v>
      </c>
      <c r="K28" s="23" t="n">
        <v>218000</v>
      </c>
      <c r="L28" s="16" t="s">
        <v>544</v>
      </c>
      <c r="M28" s="23" t="n">
        <v>18980</v>
      </c>
      <c r="N28" s="24" t="n">
        <f aca="false">IF(K28="","",K28+N(M28))</f>
        <v>236980</v>
      </c>
      <c r="O28" s="24" t="n">
        <f aca="false">IF(OR(I28="",N28=""),"",N28/I28)</f>
        <v>1161.21128969032</v>
      </c>
      <c r="P28" s="4" t="str">
        <f aca="false">IF(I28="","未揭露",IF(I28&gt;=0_條件與假設!$B$5,"✓","✗"))</f>
        <v>✗</v>
      </c>
      <c r="Q28" s="4" t="str">
        <f aca="false">IF(K28="","未提供",IF(K28&lt;=0_條件與假設!$B$6,"≤45萬",IF(K28&lt;=0_條件與假設!$B$7,"45～55萬","超過55萬")))</f>
        <v>≤45萬</v>
      </c>
      <c r="R28" s="4" t="s">
        <v>545</v>
      </c>
      <c r="S28" s="4" t="s">
        <v>114</v>
      </c>
      <c r="T28" s="23" t="n">
        <v>190</v>
      </c>
      <c r="U28" s="13" t="n">
        <v>4</v>
      </c>
      <c r="V28" s="4" t="str">
        <f aca="false">IF(U28="","未確認",IF(U28&lt;=0_條件與假設!$B$8,"✓",IF(U28&lt;=16,"△ 11～16分","✗")))</f>
        <v>✓</v>
      </c>
      <c r="W28" s="4" t="s">
        <v>546</v>
      </c>
      <c r="X28" s="4"/>
      <c r="Y28" s="28" t="s">
        <v>496</v>
      </c>
      <c r="Z28" s="16" t="s">
        <v>547</v>
      </c>
      <c r="AA28" s="16" t="s">
        <v>548</v>
      </c>
      <c r="AB28" s="4" t="s">
        <v>498</v>
      </c>
      <c r="AC28" s="4" t="s">
        <v>549</v>
      </c>
      <c r="AD28" s="20" t="s">
        <v>550</v>
      </c>
      <c r="AE28" s="4" t="s">
        <v>551</v>
      </c>
      <c r="AF28" s="20" t="s">
        <v>91</v>
      </c>
    </row>
    <row r="29" customFormat="false" ht="48" hidden="false" customHeight="true" outlineLevel="0" collapsed="false">
      <c r="A29" s="12" t="s">
        <v>22</v>
      </c>
      <c r="B29" s="13" t="n">
        <v>28</v>
      </c>
      <c r="C29" s="16" t="s">
        <v>552</v>
      </c>
      <c r="D29" s="20" t="s">
        <v>553</v>
      </c>
      <c r="E29" s="4" t="s">
        <v>209</v>
      </c>
      <c r="F29" s="4" t="s">
        <v>554</v>
      </c>
      <c r="G29" s="16" t="s">
        <v>555</v>
      </c>
      <c r="H29" s="21" t="n">
        <v>265.72</v>
      </c>
      <c r="I29" s="21" t="n">
        <v>203.79</v>
      </c>
      <c r="J29" s="4" t="s">
        <v>556</v>
      </c>
      <c r="K29" s="23" t="n">
        <v>502211</v>
      </c>
      <c r="L29" s="16" t="s">
        <v>557</v>
      </c>
      <c r="M29" s="22"/>
      <c r="N29" s="27" t="n">
        <f aca="false">IF(K29="","",K29+N(M29))</f>
        <v>502211</v>
      </c>
      <c r="O29" s="24" t="n">
        <f aca="false">IF(OR(I29="",N29=""),"",N29/I29)</f>
        <v>2464.355463958</v>
      </c>
      <c r="P29" s="4" t="str">
        <f aca="false">IF(I29="","未揭露",IF(I29&gt;=0_條件與假設!$B$5,"✓","✗"))</f>
        <v>✗</v>
      </c>
      <c r="Q29" s="4" t="str">
        <f aca="false">IF(K29="","未提供",IF(K29&lt;=0_條件與假設!$B$6,"≤45萬",IF(K29&lt;=0_條件與假設!$B$7,"45～55萬","超過55萬")))</f>
        <v>45～55萬</v>
      </c>
      <c r="R29" s="4" t="s">
        <v>316</v>
      </c>
      <c r="S29" s="4" t="s">
        <v>114</v>
      </c>
      <c r="T29" s="23" t="n">
        <v>440</v>
      </c>
      <c r="U29" s="13" t="n">
        <v>8</v>
      </c>
      <c r="V29" s="4" t="str">
        <f aca="false">IF(U29="","未確認",IF(U29&lt;=0_條件與假設!$B$8,"✓",IF(U29&lt;=16,"△ 11～16分","✗")))</f>
        <v>✓</v>
      </c>
      <c r="W29" s="4" t="s">
        <v>558</v>
      </c>
      <c r="X29" s="4"/>
      <c r="Y29" s="28" t="s">
        <v>496</v>
      </c>
      <c r="Z29" s="16" t="s">
        <v>559</v>
      </c>
      <c r="AA29" s="4" t="s">
        <v>560</v>
      </c>
      <c r="AB29" s="4" t="s">
        <v>561</v>
      </c>
      <c r="AC29" s="4" t="s">
        <v>562</v>
      </c>
      <c r="AD29" s="29" t="s">
        <v>563</v>
      </c>
      <c r="AE29" s="4" t="s">
        <v>564</v>
      </c>
      <c r="AF29" s="20" t="s">
        <v>91</v>
      </c>
    </row>
    <row r="30" customFormat="false" ht="48" hidden="false" customHeight="true" outlineLevel="0" collapsed="false">
      <c r="A30" s="12" t="s">
        <v>22</v>
      </c>
      <c r="B30" s="13" t="n">
        <v>29</v>
      </c>
      <c r="C30" s="16" t="s">
        <v>565</v>
      </c>
      <c r="D30" s="20" t="s">
        <v>566</v>
      </c>
      <c r="E30" s="4" t="s">
        <v>122</v>
      </c>
      <c r="F30" s="4" t="s">
        <v>567</v>
      </c>
      <c r="G30" s="16" t="s">
        <v>167</v>
      </c>
      <c r="H30" s="21" t="n">
        <v>225.83</v>
      </c>
      <c r="I30" s="21" t="n">
        <v>201.29</v>
      </c>
      <c r="J30" s="4" t="s">
        <v>568</v>
      </c>
      <c r="K30" s="23" t="n">
        <v>474500</v>
      </c>
      <c r="L30" s="4" t="s">
        <v>569</v>
      </c>
      <c r="M30" s="23" t="n">
        <v>27100</v>
      </c>
      <c r="N30" s="24" t="n">
        <f aca="false">IF(K30="","",K30+N(M30))</f>
        <v>501600</v>
      </c>
      <c r="O30" s="24" t="n">
        <f aca="false">IF(OR(I30="",N30=""),"",N30/I30)</f>
        <v>2491.92707039595</v>
      </c>
      <c r="P30" s="4" t="str">
        <f aca="false">IF(I30="","未揭露",IF(I30&gt;=0_條件與假設!$B$5,"✓","✗"))</f>
        <v>✗</v>
      </c>
      <c r="Q30" s="4" t="str">
        <f aca="false">IF(K30="","未提供",IF(K30&lt;=0_條件與假設!$B$6,"≤45萬",IF(K30&lt;=0_條件與假設!$B$7,"45～55萬","超過55萬")))</f>
        <v>45～55萬</v>
      </c>
      <c r="R30" s="4" t="s">
        <v>222</v>
      </c>
      <c r="S30" s="4" t="s">
        <v>100</v>
      </c>
      <c r="T30" s="23" t="n">
        <v>400</v>
      </c>
      <c r="U30" s="13" t="n">
        <v>7</v>
      </c>
      <c r="V30" s="4" t="str">
        <f aca="false">IF(U30="","未確認",IF(U30&lt;=0_條件與假設!$B$8,"✓",IF(U30&lt;=16,"△ 11～16分","✗")))</f>
        <v>✓</v>
      </c>
      <c r="W30" s="4" t="s">
        <v>570</v>
      </c>
      <c r="X30" s="4"/>
      <c r="Y30" s="28" t="s">
        <v>571</v>
      </c>
      <c r="Z30" s="16" t="s">
        <v>572</v>
      </c>
      <c r="AA30" s="4" t="s">
        <v>388</v>
      </c>
      <c r="AB30" s="4" t="s">
        <v>498</v>
      </c>
      <c r="AC30" s="4" t="s">
        <v>573</v>
      </c>
      <c r="AD30" s="20" t="s">
        <v>574</v>
      </c>
      <c r="AE30" s="4" t="s">
        <v>575</v>
      </c>
      <c r="AF30" s="20" t="s">
        <v>91</v>
      </c>
    </row>
    <row r="31" customFormat="false" ht="48" hidden="false" customHeight="true" outlineLevel="0" collapsed="false">
      <c r="A31" s="12" t="s">
        <v>22</v>
      </c>
      <c r="B31" s="13" t="n">
        <v>30</v>
      </c>
      <c r="C31" s="16" t="s">
        <v>185</v>
      </c>
      <c r="D31" s="20" t="s">
        <v>186</v>
      </c>
      <c r="E31" s="4" t="s">
        <v>95</v>
      </c>
      <c r="F31" s="4" t="s">
        <v>187</v>
      </c>
      <c r="G31" s="16" t="s">
        <v>188</v>
      </c>
      <c r="H31" s="21" t="n">
        <v>227.15</v>
      </c>
      <c r="I31" s="21" t="n">
        <v>198.26</v>
      </c>
      <c r="J31" s="4" t="s">
        <v>576</v>
      </c>
      <c r="K31" s="23" t="n">
        <v>500000</v>
      </c>
      <c r="L31" s="16" t="s">
        <v>189</v>
      </c>
      <c r="M31" s="23" t="n">
        <v>40000</v>
      </c>
      <c r="N31" s="24" t="n">
        <f aca="false">IF(K31="","",K31+N(M31))</f>
        <v>540000</v>
      </c>
      <c r="O31" s="24" t="n">
        <f aca="false">IF(OR(I31="",N31=""),"",N31/I31)</f>
        <v>2723.69615656209</v>
      </c>
      <c r="P31" s="4" t="str">
        <f aca="false">IF(I31="","未揭露",IF(I31&gt;=0_條件與假設!$B$5,"✓","✗"))</f>
        <v>✗</v>
      </c>
      <c r="Q31" s="4" t="str">
        <f aca="false">IF(K31="","未提供",IF(K31&lt;=0_條件與假設!$B$6,"≤45萬",IF(K31&lt;=0_條件與假設!$B$7,"45～55萬","超過55萬")))</f>
        <v>45～55萬</v>
      </c>
      <c r="R31" s="28" t="s">
        <v>190</v>
      </c>
      <c r="S31" s="4"/>
      <c r="T31" s="23"/>
      <c r="U31" s="13"/>
      <c r="V31" s="4" t="str">
        <f aca="false">IF(U31="","未確認",IF(U31&lt;=0_條件與假設!$B$8,"✓",IF(U31&lt;=16,"△ 11～16分","✗")))</f>
        <v>未確認</v>
      </c>
      <c r="W31" s="4" t="s">
        <v>194</v>
      </c>
      <c r="X31" s="4"/>
      <c r="Y31" s="28" t="s">
        <v>191</v>
      </c>
      <c r="Z31" s="4" t="s">
        <v>577</v>
      </c>
      <c r="AA31" s="4" t="s">
        <v>578</v>
      </c>
      <c r="AB31" s="4" t="s">
        <v>579</v>
      </c>
      <c r="AC31" s="4" t="s">
        <v>193</v>
      </c>
      <c r="AD31" s="29" t="s">
        <v>341</v>
      </c>
      <c r="AE31" s="28" t="s">
        <v>580</v>
      </c>
      <c r="AF31" s="20" t="s">
        <v>91</v>
      </c>
    </row>
    <row r="32" customFormat="false" ht="48" hidden="false" customHeight="true" outlineLevel="0" collapsed="false">
      <c r="A32" s="12" t="s">
        <v>22</v>
      </c>
      <c r="B32" s="13" t="n">
        <v>31</v>
      </c>
      <c r="C32" s="16" t="s">
        <v>581</v>
      </c>
      <c r="D32" s="20" t="s">
        <v>582</v>
      </c>
      <c r="E32" s="4" t="s">
        <v>209</v>
      </c>
      <c r="F32" s="4" t="s">
        <v>583</v>
      </c>
      <c r="G32" s="16" t="s">
        <v>584</v>
      </c>
      <c r="H32" s="21" t="n">
        <v>224.31</v>
      </c>
      <c r="I32" s="21" t="n">
        <v>192.04</v>
      </c>
      <c r="J32" s="4" t="s">
        <v>585</v>
      </c>
      <c r="K32" s="23" t="n">
        <v>486000</v>
      </c>
      <c r="L32" s="16" t="s">
        <v>586</v>
      </c>
      <c r="M32" s="23" t="n">
        <v>30860</v>
      </c>
      <c r="N32" s="24" t="n">
        <f aca="false">IF(K32="","",K32+N(M32))</f>
        <v>516860</v>
      </c>
      <c r="O32" s="24" t="n">
        <f aca="false">IF(OR(I32="",N32=""),"",N32/I32)</f>
        <v>2691.41845448865</v>
      </c>
      <c r="P32" s="4" t="str">
        <f aca="false">IF(I32="","未揭露",IF(I32&gt;=0_條件與假設!$B$5,"✓","✗"))</f>
        <v>✗</v>
      </c>
      <c r="Q32" s="4" t="str">
        <f aca="false">IF(K32="","未提供",IF(K32&lt;=0_條件與假設!$B$6,"≤45萬",IF(K32&lt;=0_條件與假設!$B$7,"45～55萬","超過55萬")))</f>
        <v>45～55萬</v>
      </c>
      <c r="R32" s="4" t="s">
        <v>316</v>
      </c>
      <c r="S32" s="4" t="s">
        <v>114</v>
      </c>
      <c r="T32" s="23" t="n">
        <v>255</v>
      </c>
      <c r="U32" s="13" t="n">
        <v>5</v>
      </c>
      <c r="V32" s="4" t="str">
        <f aca="false">IF(U32="","未確認",IF(U32&lt;=0_條件與假設!$B$8,"✓",IF(U32&lt;=16,"△ 11～16分","✗")))</f>
        <v>✓</v>
      </c>
      <c r="W32" s="4" t="s">
        <v>587</v>
      </c>
      <c r="X32" s="28" t="s">
        <v>476</v>
      </c>
      <c r="Y32" s="28" t="s">
        <v>496</v>
      </c>
      <c r="Z32" s="4" t="s">
        <v>588</v>
      </c>
      <c r="AA32" s="4" t="s">
        <v>589</v>
      </c>
      <c r="AB32" s="4" t="s">
        <v>590</v>
      </c>
      <c r="AC32" s="4" t="s">
        <v>591</v>
      </c>
      <c r="AD32" s="20" t="s">
        <v>592</v>
      </c>
      <c r="AE32" s="28" t="s">
        <v>431</v>
      </c>
      <c r="AF32" s="16" t="s">
        <v>86</v>
      </c>
    </row>
    <row r="33" customFormat="false" ht="48" hidden="false" customHeight="true" outlineLevel="0" collapsed="false">
      <c r="A33" s="12" t="s">
        <v>22</v>
      </c>
      <c r="B33" s="13" t="n">
        <v>32</v>
      </c>
      <c r="C33" s="16" t="s">
        <v>593</v>
      </c>
      <c r="D33" s="20" t="s">
        <v>594</v>
      </c>
      <c r="E33" s="4" t="s">
        <v>122</v>
      </c>
      <c r="F33" s="4" t="s">
        <v>595</v>
      </c>
      <c r="G33" s="16" t="s">
        <v>596</v>
      </c>
      <c r="H33" s="21" t="n">
        <v>203.26</v>
      </c>
      <c r="I33" s="21" t="n">
        <v>189.91</v>
      </c>
      <c r="J33" s="4" t="s">
        <v>597</v>
      </c>
      <c r="K33" s="23" t="n">
        <v>405504</v>
      </c>
      <c r="L33" s="16" t="s">
        <v>598</v>
      </c>
      <c r="M33" s="22"/>
      <c r="N33" s="27" t="n">
        <f aca="false">IF(K33="","",K33+N(M33))</f>
        <v>405504</v>
      </c>
      <c r="O33" s="24" t="n">
        <f aca="false">IF(OR(I33="",N33=""),"",N33/I33)</f>
        <v>2135.24300984677</v>
      </c>
      <c r="P33" s="4" t="str">
        <f aca="false">IF(I33="","未揭露",IF(I33&gt;=0_條件與假設!$B$5,"✓","✗"))</f>
        <v>✗</v>
      </c>
      <c r="Q33" s="4" t="str">
        <f aca="false">IF(K33="","未提供",IF(K33&lt;=0_條件與假設!$B$6,"≤45萬",IF(K33&lt;=0_條件與假設!$B$7,"45～55萬","超過55萬")))</f>
        <v>≤45萬</v>
      </c>
      <c r="R33" s="4" t="s">
        <v>126</v>
      </c>
      <c r="S33" s="4" t="s">
        <v>100</v>
      </c>
      <c r="T33" s="23" t="n">
        <v>380</v>
      </c>
      <c r="U33" s="13" t="n">
        <v>7</v>
      </c>
      <c r="V33" s="4" t="str">
        <f aca="false">IF(U33="","未確認",IF(U33&lt;=0_條件與假設!$B$8,"✓",IF(U33&lt;=16,"△ 11～16分","✗")))</f>
        <v>✓</v>
      </c>
      <c r="W33" s="4" t="s">
        <v>599</v>
      </c>
      <c r="X33" s="4"/>
      <c r="Y33" s="28" t="s">
        <v>496</v>
      </c>
      <c r="Z33" s="16" t="s">
        <v>547</v>
      </c>
      <c r="AA33" s="4" t="s">
        <v>600</v>
      </c>
      <c r="AB33" s="4" t="s">
        <v>561</v>
      </c>
      <c r="AC33" s="4" t="s">
        <v>601</v>
      </c>
      <c r="AD33" s="20" t="s">
        <v>602</v>
      </c>
      <c r="AE33" s="4" t="s">
        <v>603</v>
      </c>
      <c r="AF33" s="20" t="s">
        <v>91</v>
      </c>
    </row>
    <row r="34" customFormat="false" ht="48" hidden="false" customHeight="true" outlineLevel="0" collapsed="false">
      <c r="A34" s="12" t="s">
        <v>22</v>
      </c>
      <c r="B34" s="13" t="n">
        <v>33</v>
      </c>
      <c r="C34" s="16" t="s">
        <v>604</v>
      </c>
      <c r="D34" s="20" t="s">
        <v>605</v>
      </c>
      <c r="E34" s="4" t="s">
        <v>209</v>
      </c>
      <c r="F34" s="4" t="s">
        <v>606</v>
      </c>
      <c r="G34" s="16" t="s">
        <v>607</v>
      </c>
      <c r="H34" s="21" t="n">
        <v>220.81</v>
      </c>
      <c r="I34" s="21" t="n">
        <v>189.32</v>
      </c>
      <c r="J34" s="4" t="s">
        <v>608</v>
      </c>
      <c r="K34" s="23" t="n">
        <v>420000</v>
      </c>
      <c r="L34" s="16" t="s">
        <v>609</v>
      </c>
      <c r="M34" s="23" t="n">
        <v>30913</v>
      </c>
      <c r="N34" s="24" t="n">
        <f aca="false">IF(K34="","",K34+N(M34))</f>
        <v>450913</v>
      </c>
      <c r="O34" s="24" t="n">
        <f aca="false">IF(OR(I34="",N34=""),"",N34/I34)</f>
        <v>2381.75047538559</v>
      </c>
      <c r="P34" s="4" t="str">
        <f aca="false">IF(I34="","未揭露",IF(I34&gt;=0_條件與假設!$B$5,"✓","✗"))</f>
        <v>✗</v>
      </c>
      <c r="Q34" s="4" t="str">
        <f aca="false">IF(K34="","未提供",IF(K34&lt;=0_條件與假設!$B$6,"≤45萬",IF(K34&lt;=0_條件與假設!$B$7,"45～55萬","超過55萬")))</f>
        <v>≤45萬</v>
      </c>
      <c r="R34" s="4" t="s">
        <v>316</v>
      </c>
      <c r="S34" s="4" t="s">
        <v>114</v>
      </c>
      <c r="T34" s="23" t="n">
        <v>185</v>
      </c>
      <c r="U34" s="13" t="n">
        <v>4</v>
      </c>
      <c r="V34" s="4" t="str">
        <f aca="false">IF(U34="","未確認",IF(U34&lt;=0_條件與假設!$B$8,"✓",IF(U34&lt;=16,"△ 11～16分","✗")))</f>
        <v>✓</v>
      </c>
      <c r="W34" s="4" t="s">
        <v>610</v>
      </c>
      <c r="X34" s="4"/>
      <c r="Y34" s="28" t="s">
        <v>496</v>
      </c>
      <c r="Z34" s="16" t="s">
        <v>611</v>
      </c>
      <c r="AA34" s="4" t="s">
        <v>612</v>
      </c>
      <c r="AB34" s="4" t="s">
        <v>561</v>
      </c>
      <c r="AC34" s="4" t="s">
        <v>601</v>
      </c>
      <c r="AD34" s="29" t="s">
        <v>613</v>
      </c>
      <c r="AE34" s="28" t="s">
        <v>511</v>
      </c>
      <c r="AF34" s="20" t="s">
        <v>91</v>
      </c>
    </row>
    <row r="35" customFormat="false" ht="48" hidden="false" customHeight="true" outlineLevel="0" collapsed="false">
      <c r="A35" s="12" t="s">
        <v>22</v>
      </c>
      <c r="B35" s="13" t="n">
        <v>34</v>
      </c>
      <c r="C35" s="16" t="s">
        <v>614</v>
      </c>
      <c r="D35" s="20" t="s">
        <v>615</v>
      </c>
      <c r="E35" s="4" t="s">
        <v>209</v>
      </c>
      <c r="F35" s="4" t="s">
        <v>616</v>
      </c>
      <c r="G35" s="16" t="s">
        <v>617</v>
      </c>
      <c r="H35" s="21" t="n">
        <v>232.22</v>
      </c>
      <c r="I35" s="21" t="n">
        <v>183.22</v>
      </c>
      <c r="J35" s="4" t="s">
        <v>618</v>
      </c>
      <c r="K35" s="23" t="n">
        <v>451087</v>
      </c>
      <c r="L35" s="16" t="s">
        <v>619</v>
      </c>
      <c r="M35" s="23" t="n">
        <v>32511</v>
      </c>
      <c r="N35" s="24" t="n">
        <f aca="false">IF(K35="","",K35+N(M35))</f>
        <v>483598</v>
      </c>
      <c r="O35" s="24" t="n">
        <f aca="false">IF(OR(I35="",N35=""),"",N35/I35)</f>
        <v>2639.43892588145</v>
      </c>
      <c r="P35" s="4" t="str">
        <f aca="false">IF(I35="","未揭露",IF(I35&gt;=0_條件與假設!$B$5,"✓","✗"))</f>
        <v>✗</v>
      </c>
      <c r="Q35" s="4" t="str">
        <f aca="false">IF(K35="","未提供",IF(K35&lt;=0_條件與假設!$B$6,"≤45萬",IF(K35&lt;=0_條件與假設!$B$7,"45～55萬","超過55萬")))</f>
        <v>45～55萬</v>
      </c>
      <c r="R35" s="4" t="s">
        <v>213</v>
      </c>
      <c r="S35" s="4" t="s">
        <v>83</v>
      </c>
      <c r="T35" s="23" t="n">
        <v>510</v>
      </c>
      <c r="U35" s="13" t="n">
        <v>9</v>
      </c>
      <c r="V35" s="4" t="str">
        <f aca="false">IF(U35="","未確認",IF(U35&lt;=0_條件與假設!$B$8,"✓",IF(U35&lt;=16,"△ 11～16分","✗")))</f>
        <v>✓</v>
      </c>
      <c r="W35" s="4" t="s">
        <v>620</v>
      </c>
      <c r="X35" s="4"/>
      <c r="Y35" s="28" t="s">
        <v>496</v>
      </c>
      <c r="Z35" s="16" t="s">
        <v>621</v>
      </c>
      <c r="AA35" s="4" t="s">
        <v>622</v>
      </c>
      <c r="AB35" s="4" t="s">
        <v>561</v>
      </c>
      <c r="AC35" s="4" t="s">
        <v>623</v>
      </c>
      <c r="AD35" s="20" t="s">
        <v>624</v>
      </c>
      <c r="AE35" s="4" t="s">
        <v>625</v>
      </c>
      <c r="AF35" s="20" t="s">
        <v>91</v>
      </c>
    </row>
    <row r="36" customFormat="false" ht="48" hidden="false" customHeight="true" outlineLevel="0" collapsed="false">
      <c r="A36" s="12" t="s">
        <v>22</v>
      </c>
      <c r="B36" s="13" t="n">
        <v>35</v>
      </c>
      <c r="C36" s="16" t="s">
        <v>626</v>
      </c>
      <c r="D36" s="20" t="s">
        <v>627</v>
      </c>
      <c r="E36" s="4" t="s">
        <v>209</v>
      </c>
      <c r="F36" s="4" t="s">
        <v>628</v>
      </c>
      <c r="G36" s="16" t="s">
        <v>629</v>
      </c>
      <c r="H36" s="21" t="n">
        <v>230</v>
      </c>
      <c r="I36" s="21" t="n">
        <v>179</v>
      </c>
      <c r="J36" s="4" t="s">
        <v>630</v>
      </c>
      <c r="K36" s="23" t="n">
        <v>478170</v>
      </c>
      <c r="L36" s="16" t="s">
        <v>631</v>
      </c>
      <c r="M36" s="23" t="n">
        <v>36800</v>
      </c>
      <c r="N36" s="24" t="n">
        <f aca="false">IF(K36="","",K36+N(M36))</f>
        <v>514970</v>
      </c>
      <c r="O36" s="24" t="n">
        <f aca="false">IF(OR(I36="",N36=""),"",N36/I36)</f>
        <v>2876.92737430168</v>
      </c>
      <c r="P36" s="4" t="str">
        <f aca="false">IF(I36="","未揭露",IF(I36&gt;=0_條件與假設!$B$5,"✓","✗"))</f>
        <v>✗</v>
      </c>
      <c r="Q36" s="4" t="str">
        <f aca="false">IF(K36="","未提供",IF(K36&lt;=0_條件與假設!$B$6,"≤45萬",IF(K36&lt;=0_條件與假設!$B$7,"45～55萬","超過55萬")))</f>
        <v>45～55萬</v>
      </c>
      <c r="R36" s="4" t="s">
        <v>213</v>
      </c>
      <c r="S36" s="4" t="s">
        <v>83</v>
      </c>
      <c r="T36" s="23" t="n">
        <v>510</v>
      </c>
      <c r="U36" s="13" t="n">
        <v>9</v>
      </c>
      <c r="V36" s="4" t="str">
        <f aca="false">IF(U36="","未確認",IF(U36&lt;=0_條件與假設!$B$8,"✓",IF(U36&lt;=16,"△ 11～16分","✗")))</f>
        <v>✓</v>
      </c>
      <c r="W36" s="4" t="s">
        <v>632</v>
      </c>
      <c r="X36" s="4"/>
      <c r="Y36" s="28" t="s">
        <v>496</v>
      </c>
      <c r="Z36" s="16" t="s">
        <v>621</v>
      </c>
      <c r="AA36" s="16" t="s">
        <v>633</v>
      </c>
      <c r="AB36" s="4" t="s">
        <v>634</v>
      </c>
      <c r="AC36" s="4" t="s">
        <v>265</v>
      </c>
      <c r="AD36" s="20" t="s">
        <v>635</v>
      </c>
      <c r="AE36" s="4" t="s">
        <v>636</v>
      </c>
      <c r="AF36" s="20" t="s">
        <v>91</v>
      </c>
    </row>
    <row r="37" customFormat="false" ht="48" hidden="false" customHeight="true" outlineLevel="0" collapsed="false">
      <c r="A37" s="12" t="s">
        <v>22</v>
      </c>
      <c r="B37" s="13" t="n">
        <v>36</v>
      </c>
      <c r="C37" s="16" t="s">
        <v>637</v>
      </c>
      <c r="D37" s="20" t="s">
        <v>638</v>
      </c>
      <c r="E37" s="4" t="s">
        <v>209</v>
      </c>
      <c r="F37" s="4" t="s">
        <v>639</v>
      </c>
      <c r="G37" s="16" t="s">
        <v>640</v>
      </c>
      <c r="H37" s="21" t="n">
        <v>222</v>
      </c>
      <c r="I37" s="21" t="n">
        <v>173</v>
      </c>
      <c r="J37" s="4" t="s">
        <v>641</v>
      </c>
      <c r="K37" s="23" t="n">
        <v>420000</v>
      </c>
      <c r="L37" s="16" t="s">
        <v>642</v>
      </c>
      <c r="M37" s="23" t="n">
        <v>33300</v>
      </c>
      <c r="N37" s="24" t="n">
        <f aca="false">IF(K37="","",K37+N(M37))</f>
        <v>453300</v>
      </c>
      <c r="O37" s="24" t="n">
        <f aca="false">IF(OR(I37="",N37=""),"",N37/I37)</f>
        <v>2620.23121387283</v>
      </c>
      <c r="P37" s="4" t="str">
        <f aca="false">IF(I37="","未揭露",IF(I37&gt;=0_條件與假設!$B$5,"✓","✗"))</f>
        <v>✗</v>
      </c>
      <c r="Q37" s="4" t="str">
        <f aca="false">IF(K37="","未提供",IF(K37&lt;=0_條件與假設!$B$6,"≤45萬",IF(K37&lt;=0_條件與假設!$B$7,"45～55萬","超過55萬")))</f>
        <v>≤45萬</v>
      </c>
      <c r="R37" s="4" t="s">
        <v>213</v>
      </c>
      <c r="S37" s="4" t="s">
        <v>83</v>
      </c>
      <c r="T37" s="23" t="n">
        <v>510</v>
      </c>
      <c r="U37" s="13" t="n">
        <v>9</v>
      </c>
      <c r="V37" s="4" t="str">
        <f aca="false">IF(U37="","未確認",IF(U37&lt;=0_條件與假設!$B$8,"✓",IF(U37&lt;=16,"△ 11～16分","✗")))</f>
        <v>✓</v>
      </c>
      <c r="W37" s="4" t="s">
        <v>643</v>
      </c>
      <c r="X37" s="4"/>
      <c r="Y37" s="28" t="s">
        <v>496</v>
      </c>
      <c r="Z37" s="16" t="s">
        <v>621</v>
      </c>
      <c r="AA37" s="16" t="s">
        <v>644</v>
      </c>
      <c r="AB37" s="4" t="s">
        <v>634</v>
      </c>
      <c r="AC37" s="4" t="s">
        <v>265</v>
      </c>
      <c r="AD37" s="20" t="s">
        <v>645</v>
      </c>
      <c r="AE37" s="4" t="s">
        <v>636</v>
      </c>
      <c r="AF37" s="20" t="s">
        <v>91</v>
      </c>
    </row>
    <row r="38" customFormat="false" ht="48" hidden="false" customHeight="true" outlineLevel="0" collapsed="false">
      <c r="A38" s="12" t="s">
        <v>22</v>
      </c>
      <c r="B38" s="13" t="n">
        <v>37</v>
      </c>
      <c r="C38" s="16" t="s">
        <v>646</v>
      </c>
      <c r="D38" s="20" t="s">
        <v>647</v>
      </c>
      <c r="E38" s="4" t="s">
        <v>95</v>
      </c>
      <c r="F38" s="4" t="s">
        <v>648</v>
      </c>
      <c r="G38" s="16" t="s">
        <v>649</v>
      </c>
      <c r="H38" s="21" t="n">
        <v>253.16</v>
      </c>
      <c r="I38" s="21" t="n">
        <v>166.77</v>
      </c>
      <c r="J38" s="4" t="s">
        <v>650</v>
      </c>
      <c r="K38" s="23" t="n">
        <v>350000</v>
      </c>
      <c r="L38" s="16" t="s">
        <v>651</v>
      </c>
      <c r="M38" s="23" t="n">
        <v>36676</v>
      </c>
      <c r="N38" s="24" t="n">
        <f aca="false">IF(K38="","",K38+N(M38))</f>
        <v>386676</v>
      </c>
      <c r="O38" s="24" t="n">
        <f aca="false">IF(OR(I38="",N38=""),"",N38/I38)</f>
        <v>2318.61845655693</v>
      </c>
      <c r="P38" s="4" t="str">
        <f aca="false">IF(I38="","未揭露",IF(I38&gt;=0_條件與假設!$B$5,"✓","✗"))</f>
        <v>✗</v>
      </c>
      <c r="Q38" s="4" t="str">
        <f aca="false">IF(K38="","未提供",IF(K38&lt;=0_條件與假設!$B$6,"≤45萬",IF(K38&lt;=0_條件與假設!$B$7,"45～55萬","超過55萬")))</f>
        <v>≤45萬</v>
      </c>
      <c r="R38" s="4" t="s">
        <v>222</v>
      </c>
      <c r="S38" s="4" t="s">
        <v>100</v>
      </c>
      <c r="T38" s="23" t="n">
        <v>3310</v>
      </c>
      <c r="U38" s="13" t="n">
        <v>54</v>
      </c>
      <c r="V38" s="4" t="str">
        <f aca="false">IF(U38="","未確認",IF(U38&lt;=0_條件與假設!$B$8,"✓",IF(U38&lt;=16,"△ 11～16分","✗")))</f>
        <v>✗</v>
      </c>
      <c r="W38" s="4" t="s">
        <v>652</v>
      </c>
      <c r="X38" s="4"/>
      <c r="Y38" s="28" t="s">
        <v>496</v>
      </c>
      <c r="Z38" s="16" t="s">
        <v>653</v>
      </c>
      <c r="AA38" s="16" t="s">
        <v>654</v>
      </c>
      <c r="AB38" s="4" t="s">
        <v>498</v>
      </c>
      <c r="AC38" s="4" t="s">
        <v>655</v>
      </c>
      <c r="AD38" s="20" t="s">
        <v>656</v>
      </c>
      <c r="AE38" s="4" t="s">
        <v>657</v>
      </c>
      <c r="AF38" s="20" t="s">
        <v>91</v>
      </c>
    </row>
    <row r="39" customFormat="false" ht="48" hidden="false" customHeight="true" outlineLevel="0" collapsed="false">
      <c r="A39" s="12" t="s">
        <v>22</v>
      </c>
      <c r="B39" s="13" t="n">
        <v>38</v>
      </c>
      <c r="C39" s="16" t="s">
        <v>658</v>
      </c>
      <c r="D39" s="20" t="s">
        <v>659</v>
      </c>
      <c r="E39" s="4" t="s">
        <v>78</v>
      </c>
      <c r="F39" s="4" t="s">
        <v>660</v>
      </c>
      <c r="G39" s="16" t="s">
        <v>661</v>
      </c>
      <c r="H39" s="21" t="n">
        <v>208.96</v>
      </c>
      <c r="I39" s="21" t="n">
        <v>164.05</v>
      </c>
      <c r="J39" s="4" t="s">
        <v>662</v>
      </c>
      <c r="K39" s="23" t="n">
        <v>398000</v>
      </c>
      <c r="L39" s="16" t="s">
        <v>663</v>
      </c>
      <c r="M39" s="23" t="n">
        <v>36435</v>
      </c>
      <c r="N39" s="24" t="n">
        <f aca="false">IF(K39="","",K39+N(M39))</f>
        <v>434435</v>
      </c>
      <c r="O39" s="24" t="n">
        <f aca="false">IF(OR(I39="",N39=""),"",N39/I39)</f>
        <v>2648.18652849741</v>
      </c>
      <c r="P39" s="4" t="str">
        <f aca="false">IF(I39="","未揭露",IF(I39&gt;=0_條件與假設!$B$5,"✓","✗"))</f>
        <v>✗</v>
      </c>
      <c r="Q39" s="4" t="str">
        <f aca="false">IF(K39="","未提供",IF(K39&lt;=0_條件與假設!$B$6,"≤45萬",IF(K39&lt;=0_條件與假設!$B$7,"45～55萬","超過55萬")))</f>
        <v>≤45萬</v>
      </c>
      <c r="R39" s="4" t="s">
        <v>545</v>
      </c>
      <c r="S39" s="4" t="s">
        <v>114</v>
      </c>
      <c r="T39" s="23" t="n">
        <v>200</v>
      </c>
      <c r="U39" s="13" t="n">
        <v>4</v>
      </c>
      <c r="V39" s="4" t="str">
        <f aca="false">IF(U39="","未確認",IF(U39&lt;=0_條件與假設!$B$8,"✓",IF(U39&lt;=16,"△ 11～16分","✗")))</f>
        <v>✓</v>
      </c>
      <c r="W39" s="4" t="s">
        <v>664</v>
      </c>
      <c r="X39" s="4"/>
      <c r="Y39" s="28" t="s">
        <v>496</v>
      </c>
      <c r="Z39" s="16" t="s">
        <v>665</v>
      </c>
      <c r="AA39" s="16" t="s">
        <v>666</v>
      </c>
      <c r="AB39" s="4" t="s">
        <v>667</v>
      </c>
      <c r="AC39" s="4" t="s">
        <v>668</v>
      </c>
      <c r="AD39" s="20" t="s">
        <v>669</v>
      </c>
      <c r="AE39" s="4" t="s">
        <v>670</v>
      </c>
      <c r="AF39" s="20" t="s">
        <v>91</v>
      </c>
    </row>
    <row r="40" customFormat="false" ht="48" hidden="false" customHeight="true" outlineLevel="0" collapsed="false">
      <c r="A40" s="12" t="s">
        <v>22</v>
      </c>
      <c r="B40" s="13" t="n">
        <v>39</v>
      </c>
      <c r="C40" s="16" t="s">
        <v>671</v>
      </c>
      <c r="D40" s="20" t="s">
        <v>672</v>
      </c>
      <c r="E40" s="4" t="s">
        <v>122</v>
      </c>
      <c r="F40" s="4" t="s">
        <v>673</v>
      </c>
      <c r="G40" s="16" t="s">
        <v>674</v>
      </c>
      <c r="H40" s="21" t="n">
        <v>207.04</v>
      </c>
      <c r="I40" s="21" t="n">
        <v>156.93</v>
      </c>
      <c r="J40" s="4" t="s">
        <v>675</v>
      </c>
      <c r="K40" s="23" t="n">
        <v>360150</v>
      </c>
      <c r="L40" s="16" t="s">
        <v>676</v>
      </c>
      <c r="M40" s="23" t="n">
        <v>28984</v>
      </c>
      <c r="N40" s="24" t="n">
        <f aca="false">IF(K40="","",K40+N(M40))</f>
        <v>389134</v>
      </c>
      <c r="O40" s="24" t="n">
        <f aca="false">IF(OR(I40="",N40=""),"",N40/I40)</f>
        <v>2479.66609316256</v>
      </c>
      <c r="P40" s="4" t="str">
        <f aca="false">IF(I40="","未揭露",IF(I40&gt;=0_條件與假設!$B$5,"✓","✗"))</f>
        <v>✗</v>
      </c>
      <c r="Q40" s="4" t="str">
        <f aca="false">IF(K40="","未提供",IF(K40&lt;=0_條件與假設!$B$6,"≤45萬",IF(K40&lt;=0_條件與假設!$B$7,"45～55萬","超過55萬")))</f>
        <v>≤45萬</v>
      </c>
      <c r="R40" s="4" t="s">
        <v>222</v>
      </c>
      <c r="S40" s="4" t="s">
        <v>100</v>
      </c>
      <c r="T40" s="23" t="n">
        <v>390</v>
      </c>
      <c r="U40" s="13" t="n">
        <v>7</v>
      </c>
      <c r="V40" s="4" t="str">
        <f aca="false">IF(U40="","未確認",IF(U40&lt;=0_條件與假設!$B$8,"✓",IF(U40&lt;=16,"△ 11～16分","✗")))</f>
        <v>✓</v>
      </c>
      <c r="W40" s="4" t="s">
        <v>677</v>
      </c>
      <c r="X40" s="4"/>
      <c r="Y40" s="28" t="s">
        <v>496</v>
      </c>
      <c r="Z40" s="16" t="s">
        <v>678</v>
      </c>
      <c r="AA40" s="4" t="s">
        <v>679</v>
      </c>
      <c r="AB40" s="4" t="s">
        <v>561</v>
      </c>
      <c r="AC40" s="4" t="s">
        <v>183</v>
      </c>
      <c r="AD40" s="20" t="s">
        <v>680</v>
      </c>
      <c r="AE40" s="4" t="s">
        <v>681</v>
      </c>
      <c r="AF40" s="20" t="s">
        <v>91</v>
      </c>
    </row>
    <row r="41" customFormat="false" ht="48" hidden="false" customHeight="true" outlineLevel="0" collapsed="false">
      <c r="A41" s="12" t="s">
        <v>22</v>
      </c>
      <c r="B41" s="13" t="n">
        <v>40</v>
      </c>
      <c r="C41" s="16" t="s">
        <v>682</v>
      </c>
      <c r="D41" s="20" t="s">
        <v>683</v>
      </c>
      <c r="E41" s="4" t="s">
        <v>209</v>
      </c>
      <c r="F41" s="4" t="s">
        <v>684</v>
      </c>
      <c r="G41" s="16" t="s">
        <v>685</v>
      </c>
      <c r="H41" s="21" t="n">
        <v>210</v>
      </c>
      <c r="I41" s="21" t="n">
        <v>153</v>
      </c>
      <c r="J41" s="4" t="s">
        <v>686</v>
      </c>
      <c r="K41" s="23" t="n">
        <v>367500</v>
      </c>
      <c r="L41" s="16" t="s">
        <v>687</v>
      </c>
      <c r="M41" s="23" t="n">
        <v>39900</v>
      </c>
      <c r="N41" s="24" t="n">
        <f aca="false">IF(K41="","",K41+N(M41))</f>
        <v>407400</v>
      </c>
      <c r="O41" s="24" t="n">
        <f aca="false">IF(OR(I41="",N41=""),"",N41/I41)</f>
        <v>2662.74509803922</v>
      </c>
      <c r="P41" s="4" t="str">
        <f aca="false">IF(I41="","未揭露",IF(I41&gt;=0_條件與假設!$B$5,"✓","✗"))</f>
        <v>✗</v>
      </c>
      <c r="Q41" s="4" t="str">
        <f aca="false">IF(K41="","未提供",IF(K41&lt;=0_條件與假設!$B$6,"≤45萬",IF(K41&lt;=0_條件與假設!$B$7,"45～55萬","超過55萬")))</f>
        <v>≤45萬</v>
      </c>
      <c r="R41" s="4" t="s">
        <v>113</v>
      </c>
      <c r="S41" s="4" t="s">
        <v>114</v>
      </c>
      <c r="T41" s="23" t="n">
        <v>370</v>
      </c>
      <c r="U41" s="13" t="n">
        <v>6</v>
      </c>
      <c r="V41" s="4" t="str">
        <f aca="false">IF(U41="","未確認",IF(U41&lt;=0_條件與假設!$B$8,"✓",IF(U41&lt;=16,"△ 11～16分","✗")))</f>
        <v>✓</v>
      </c>
      <c r="W41" s="4" t="s">
        <v>688</v>
      </c>
      <c r="X41" s="4"/>
      <c r="Y41" s="28" t="s">
        <v>496</v>
      </c>
      <c r="Z41" s="16" t="s">
        <v>689</v>
      </c>
      <c r="AA41" s="4" t="s">
        <v>690</v>
      </c>
      <c r="AB41" s="4" t="s">
        <v>634</v>
      </c>
      <c r="AC41" s="4" t="s">
        <v>265</v>
      </c>
      <c r="AD41" s="20" t="s">
        <v>691</v>
      </c>
      <c r="AE41" s="4" t="s">
        <v>692</v>
      </c>
      <c r="AF41" s="20" t="s">
        <v>91</v>
      </c>
    </row>
    <row r="42" customFormat="false" ht="48" hidden="false" customHeight="true" outlineLevel="0" collapsed="false">
      <c r="A42" s="12" t="s">
        <v>22</v>
      </c>
      <c r="B42" s="13" t="n">
        <v>41</v>
      </c>
      <c r="C42" s="16" t="s">
        <v>693</v>
      </c>
      <c r="D42" s="20" t="s">
        <v>694</v>
      </c>
      <c r="E42" s="4" t="s">
        <v>95</v>
      </c>
      <c r="F42" s="4" t="s">
        <v>695</v>
      </c>
      <c r="G42" s="16" t="s">
        <v>696</v>
      </c>
      <c r="H42" s="21" t="n">
        <v>200</v>
      </c>
      <c r="I42" s="21" t="n">
        <v>150</v>
      </c>
      <c r="J42" s="4" t="s">
        <v>697</v>
      </c>
      <c r="K42" s="23" t="n">
        <v>308700</v>
      </c>
      <c r="L42" s="16" t="s">
        <v>698</v>
      </c>
      <c r="M42" s="23" t="n">
        <v>30000</v>
      </c>
      <c r="N42" s="24" t="n">
        <f aca="false">IF(K42="","",K42+N(M42))</f>
        <v>338700</v>
      </c>
      <c r="O42" s="24" t="n">
        <f aca="false">IF(OR(I42="",N42=""),"",N42/I42)</f>
        <v>2258</v>
      </c>
      <c r="P42" s="4" t="str">
        <f aca="false">IF(I42="","未揭露",IF(I42&gt;=0_條件與假設!$B$5,"✓","✗"))</f>
        <v>✗</v>
      </c>
      <c r="Q42" s="4" t="str">
        <f aca="false">IF(K42="","未提供",IF(K42&lt;=0_條件與假設!$B$6,"≤45萬",IF(K42&lt;=0_條件與假設!$B$7,"45～55萬","超過55萬")))</f>
        <v>≤45萬</v>
      </c>
      <c r="R42" s="4" t="s">
        <v>113</v>
      </c>
      <c r="S42" s="4" t="s">
        <v>114</v>
      </c>
      <c r="T42" s="23" t="n">
        <v>630</v>
      </c>
      <c r="U42" s="13" t="n">
        <v>11</v>
      </c>
      <c r="V42" s="4" t="str">
        <f aca="false">IF(U42="","未確認",IF(U42&lt;=0_條件與假設!$B$8,"✓",IF(U42&lt;=16,"△ 11～16分","✗")))</f>
        <v>△ 11～16分</v>
      </c>
      <c r="W42" s="4" t="s">
        <v>699</v>
      </c>
      <c r="X42" s="4"/>
      <c r="Y42" s="28" t="s">
        <v>496</v>
      </c>
      <c r="Z42" s="16" t="s">
        <v>700</v>
      </c>
      <c r="AA42" s="16" t="s">
        <v>701</v>
      </c>
      <c r="AB42" s="4" t="s">
        <v>634</v>
      </c>
      <c r="AC42" s="4" t="s">
        <v>265</v>
      </c>
      <c r="AD42" s="20" t="s">
        <v>702</v>
      </c>
      <c r="AE42" s="4" t="s">
        <v>703</v>
      </c>
      <c r="AF42" s="20" t="s">
        <v>91</v>
      </c>
    </row>
    <row r="43" customFormat="false" ht="48" hidden="false" customHeight="true" outlineLevel="0" collapsed="false">
      <c r="A43" s="12" t="s">
        <v>22</v>
      </c>
      <c r="B43" s="13" t="n">
        <v>42</v>
      </c>
      <c r="C43" s="16" t="s">
        <v>704</v>
      </c>
      <c r="D43" s="20" t="s">
        <v>705</v>
      </c>
      <c r="E43" s="4" t="s">
        <v>122</v>
      </c>
      <c r="F43" s="4" t="s">
        <v>706</v>
      </c>
      <c r="G43" s="16" t="s">
        <v>707</v>
      </c>
      <c r="H43" s="21" t="n">
        <v>203.56</v>
      </c>
      <c r="I43" s="21" t="n">
        <v>119.66</v>
      </c>
      <c r="J43" s="4" t="s">
        <v>708</v>
      </c>
      <c r="K43" s="23" t="n">
        <v>305340</v>
      </c>
      <c r="L43" s="16" t="s">
        <v>709</v>
      </c>
      <c r="M43" s="23" t="n">
        <v>32570</v>
      </c>
      <c r="N43" s="24" t="n">
        <f aca="false">IF(K43="","",K43+N(M43))</f>
        <v>337910</v>
      </c>
      <c r="O43" s="24" t="n">
        <f aca="false">IF(OR(I43="",N43=""),"",N43/I43)</f>
        <v>2823.91776700652</v>
      </c>
      <c r="P43" s="4" t="str">
        <f aca="false">IF(I43="","未揭露",IF(I43&gt;=0_條件與假設!$B$5,"✓","✗"))</f>
        <v>✗</v>
      </c>
      <c r="Q43" s="4" t="str">
        <f aca="false">IF(K43="","未提供",IF(K43&lt;=0_條件與假設!$B$6,"≤45萬",IF(K43&lt;=0_條件與假設!$B$7,"45～55萬","超過55萬")))</f>
        <v>≤45萬</v>
      </c>
      <c r="R43" s="4" t="s">
        <v>126</v>
      </c>
      <c r="S43" s="4" t="s">
        <v>100</v>
      </c>
      <c r="T43" s="23" t="n">
        <v>450</v>
      </c>
      <c r="U43" s="13" t="n">
        <v>8</v>
      </c>
      <c r="V43" s="4" t="str">
        <f aca="false">IF(U43="","未確認",IF(U43&lt;=0_條件與假設!$B$8,"✓",IF(U43&lt;=16,"△ 11～16分","✗")))</f>
        <v>✓</v>
      </c>
      <c r="W43" s="4" t="s">
        <v>710</v>
      </c>
      <c r="X43" s="4"/>
      <c r="Y43" s="28" t="s">
        <v>496</v>
      </c>
      <c r="Z43" s="16" t="s">
        <v>711</v>
      </c>
      <c r="AA43" s="4" t="s">
        <v>712</v>
      </c>
      <c r="AB43" s="4" t="s">
        <v>498</v>
      </c>
      <c r="AC43" s="4" t="s">
        <v>713</v>
      </c>
      <c r="AD43" s="20" t="s">
        <v>714</v>
      </c>
      <c r="AE43" s="28" t="s">
        <v>715</v>
      </c>
      <c r="AF43" s="20" t="s">
        <v>91</v>
      </c>
    </row>
    <row r="44" customFormat="false" ht="48" hidden="false" customHeight="true" outlineLevel="0" collapsed="false">
      <c r="A44" s="12" t="s">
        <v>22</v>
      </c>
      <c r="B44" s="13" t="n">
        <v>43</v>
      </c>
      <c r="C44" s="16" t="s">
        <v>716</v>
      </c>
      <c r="D44" s="20" t="s">
        <v>717</v>
      </c>
      <c r="E44" s="4" t="s">
        <v>95</v>
      </c>
      <c r="F44" s="4" t="s">
        <v>718</v>
      </c>
      <c r="G44" s="16" t="s">
        <v>719</v>
      </c>
      <c r="H44" s="21" t="n">
        <v>213.3</v>
      </c>
      <c r="I44" s="21" t="n">
        <v>87.55</v>
      </c>
      <c r="J44" s="4" t="s">
        <v>720</v>
      </c>
      <c r="K44" s="23" t="n">
        <v>467500</v>
      </c>
      <c r="L44" s="16" t="s">
        <v>721</v>
      </c>
      <c r="M44" s="23" t="n">
        <v>33600</v>
      </c>
      <c r="N44" s="24" t="n">
        <f aca="false">IF(K44="","",K44+N(M44))</f>
        <v>501100</v>
      </c>
      <c r="O44" s="24" t="n">
        <f aca="false">IF(OR(I44="",N44=""),"",N44/I44)</f>
        <v>5723.58652198744</v>
      </c>
      <c r="P44" s="4" t="str">
        <f aca="false">IF(I44="","未揭露",IF(I44&gt;=0_條件與假設!$B$5,"✓","✗"))</f>
        <v>✗</v>
      </c>
      <c r="Q44" s="4" t="str">
        <f aca="false">IF(K44="","未提供",IF(K44&lt;=0_條件與假設!$B$6,"≤45萬",IF(K44&lt;=0_條件與假設!$B$7,"45～55萬","超過55萬")))</f>
        <v>45～55萬</v>
      </c>
      <c r="R44" s="4" t="s">
        <v>222</v>
      </c>
      <c r="S44" s="4" t="s">
        <v>100</v>
      </c>
      <c r="T44" s="23" t="n">
        <v>3440</v>
      </c>
      <c r="U44" s="13" t="n">
        <v>56</v>
      </c>
      <c r="V44" s="4" t="str">
        <f aca="false">IF(U44="","未確認",IF(U44&lt;=0_條件與假設!$B$8,"✓",IF(U44&lt;=16,"△ 11～16分","✗")))</f>
        <v>✗</v>
      </c>
      <c r="W44" s="4" t="s">
        <v>722</v>
      </c>
      <c r="X44" s="4"/>
      <c r="Y44" s="28" t="s">
        <v>496</v>
      </c>
      <c r="Z44" s="16" t="s">
        <v>723</v>
      </c>
      <c r="AA44" s="16" t="s">
        <v>724</v>
      </c>
      <c r="AB44" s="4" t="s">
        <v>498</v>
      </c>
      <c r="AC44" s="4" t="s">
        <v>725</v>
      </c>
      <c r="AD44" s="20" t="s">
        <v>726</v>
      </c>
      <c r="AE44" s="4" t="s">
        <v>727</v>
      </c>
      <c r="AF44" s="20" t="s">
        <v>91</v>
      </c>
    </row>
    <row r="45" customFormat="false" ht="48" hidden="false" customHeight="true" outlineLevel="0" collapsed="false">
      <c r="A45" s="12" t="s">
        <v>22</v>
      </c>
      <c r="B45" s="13" t="n">
        <v>44</v>
      </c>
      <c r="C45" s="16" t="s">
        <v>728</v>
      </c>
      <c r="D45" s="20" t="s">
        <v>729</v>
      </c>
      <c r="E45" s="4" t="s">
        <v>78</v>
      </c>
      <c r="F45" s="4" t="s">
        <v>730</v>
      </c>
      <c r="G45" s="16" t="s">
        <v>731</v>
      </c>
      <c r="H45" s="21" t="n">
        <v>205</v>
      </c>
      <c r="I45" s="26"/>
      <c r="J45" s="4" t="s">
        <v>732</v>
      </c>
      <c r="K45" s="23" t="n">
        <v>300000</v>
      </c>
      <c r="L45" s="16" t="s">
        <v>733</v>
      </c>
      <c r="M45" s="22"/>
      <c r="N45" s="27" t="n">
        <f aca="false">IF(K45="","",K45+N(M45))</f>
        <v>300000</v>
      </c>
      <c r="O45" s="24" t="str">
        <f aca="false">IF(OR(I45="",N45=""),"",N45/I45)</f>
        <v/>
      </c>
      <c r="P45" s="4" t="str">
        <f aca="false">IF(I45="","未揭露",IF(I45&gt;=0_條件與假設!$B$5,"✓","✗"))</f>
        <v>未揭露</v>
      </c>
      <c r="Q45" s="4" t="str">
        <f aca="false">IF(K45="","未提供",IF(K45&lt;=0_條件與假設!$B$6,"≤45萬",IF(K45&lt;=0_條件與假設!$B$7,"45～55萬","超過55萬")))</f>
        <v>≤45萬</v>
      </c>
      <c r="R45" s="28" t="s">
        <v>734</v>
      </c>
      <c r="S45" s="4"/>
      <c r="T45" s="23"/>
      <c r="U45" s="13"/>
      <c r="V45" s="4" t="str">
        <f aca="false">IF(U45="","未確認",IF(U45&lt;=0_條件與假設!$B$8,"✓",IF(U45&lt;=16,"△ 11～16分","✗")))</f>
        <v>未確認</v>
      </c>
      <c r="W45" s="4" t="s">
        <v>735</v>
      </c>
      <c r="X45" s="4"/>
      <c r="Y45" s="28" t="s">
        <v>496</v>
      </c>
      <c r="Z45" s="4" t="s">
        <v>736</v>
      </c>
      <c r="AA45" s="4" t="s">
        <v>454</v>
      </c>
      <c r="AB45" s="16" t="s">
        <v>737</v>
      </c>
      <c r="AC45" s="4" t="s">
        <v>738</v>
      </c>
      <c r="AD45" s="29" t="s">
        <v>739</v>
      </c>
      <c r="AE45" s="28" t="s">
        <v>431</v>
      </c>
      <c r="AF45" s="16" t="s">
        <v>86</v>
      </c>
    </row>
    <row r="46" customFormat="false" ht="48" hidden="false" customHeight="true" outlineLevel="0" collapsed="false">
      <c r="A46" s="12" t="s">
        <v>22</v>
      </c>
      <c r="B46" s="13" t="n">
        <v>45</v>
      </c>
      <c r="C46" s="16" t="s">
        <v>740</v>
      </c>
      <c r="D46" s="20" t="s">
        <v>741</v>
      </c>
      <c r="E46" s="4" t="s">
        <v>95</v>
      </c>
      <c r="F46" s="4" t="s">
        <v>742</v>
      </c>
      <c r="G46" s="16" t="s">
        <v>743</v>
      </c>
      <c r="H46" s="21" t="n">
        <v>200.79</v>
      </c>
      <c r="I46" s="26"/>
      <c r="J46" s="4" t="s">
        <v>732</v>
      </c>
      <c r="K46" s="23" t="n">
        <v>320000</v>
      </c>
      <c r="L46" s="16" t="s">
        <v>744</v>
      </c>
      <c r="M46" s="22"/>
      <c r="N46" s="27" t="n">
        <f aca="false">IF(K46="","",K46+N(M46))</f>
        <v>320000</v>
      </c>
      <c r="O46" s="24" t="str">
        <f aca="false">IF(OR(I46="",N46=""),"",N46/I46)</f>
        <v/>
      </c>
      <c r="P46" s="4" t="str">
        <f aca="false">IF(I46="","未揭露",IF(I46&gt;=0_條件與假設!$B$5,"✓","✗"))</f>
        <v>未揭露</v>
      </c>
      <c r="Q46" s="4" t="str">
        <f aca="false">IF(K46="","未提供",IF(K46&lt;=0_條件與假設!$B$6,"≤45萬",IF(K46&lt;=0_條件與假設!$B$7,"45～55萬","超過55萬")))</f>
        <v>≤45萬</v>
      </c>
      <c r="R46" s="28" t="s">
        <v>734</v>
      </c>
      <c r="S46" s="4"/>
      <c r="T46" s="23"/>
      <c r="U46" s="13"/>
      <c r="V46" s="4" t="str">
        <f aca="false">IF(U46="","未確認",IF(U46&lt;=0_條件與假設!$B$8,"✓",IF(U46&lt;=16,"△ 11～16分","✗")))</f>
        <v>未確認</v>
      </c>
      <c r="W46" s="4" t="s">
        <v>745</v>
      </c>
      <c r="X46" s="4"/>
      <c r="Y46" s="28" t="s">
        <v>496</v>
      </c>
      <c r="Z46" s="4" t="s">
        <v>736</v>
      </c>
      <c r="AA46" s="4" t="s">
        <v>679</v>
      </c>
      <c r="AB46" s="16" t="s">
        <v>737</v>
      </c>
      <c r="AC46" s="4" t="s">
        <v>746</v>
      </c>
      <c r="AD46" s="29" t="s">
        <v>747</v>
      </c>
      <c r="AE46" s="28" t="s">
        <v>431</v>
      </c>
      <c r="AF46" s="16" t="s">
        <v>86</v>
      </c>
    </row>
    <row r="47" customFormat="false" ht="48" hidden="false" customHeight="true" outlineLevel="0" collapsed="false">
      <c r="A47" s="12" t="s">
        <v>22</v>
      </c>
      <c r="B47" s="13" t="n">
        <v>46</v>
      </c>
      <c r="C47" s="16" t="s">
        <v>748</v>
      </c>
      <c r="D47" s="20" t="s">
        <v>749</v>
      </c>
      <c r="E47" s="4" t="s">
        <v>95</v>
      </c>
      <c r="F47" s="4" t="s">
        <v>750</v>
      </c>
      <c r="G47" s="16" t="s">
        <v>649</v>
      </c>
      <c r="H47" s="21" t="n">
        <v>308.7</v>
      </c>
      <c r="I47" s="26"/>
      <c r="J47" s="16" t="s">
        <v>751</v>
      </c>
      <c r="K47" s="23" t="n">
        <v>350000</v>
      </c>
      <c r="L47" s="16" t="s">
        <v>752</v>
      </c>
      <c r="M47" s="22"/>
      <c r="N47" s="27" t="n">
        <f aca="false">IF(K47="","",K47+N(M47))</f>
        <v>350000</v>
      </c>
      <c r="O47" s="24" t="str">
        <f aca="false">IF(OR(I47="",N47=""),"",N47/I47)</f>
        <v/>
      </c>
      <c r="P47" s="4" t="str">
        <f aca="false">IF(I47="","未揭露",IF(I47&gt;=0_條件與假設!$B$5,"✓","✗"))</f>
        <v>未揭露</v>
      </c>
      <c r="Q47" s="4" t="str">
        <f aca="false">IF(K47="","未提供",IF(K47&lt;=0_條件與假設!$B$6,"≤45萬",IF(K47&lt;=0_條件與假設!$B$7,"45～55萬","超過55萬")))</f>
        <v>≤45萬</v>
      </c>
      <c r="R47" s="28" t="s">
        <v>753</v>
      </c>
      <c r="S47" s="4"/>
      <c r="T47" s="23"/>
      <c r="U47" s="13"/>
      <c r="V47" s="4" t="str">
        <f aca="false">IF(U47="","未確認",IF(U47&lt;=0_條件與假設!$B$8,"✓",IF(U47&lt;=16,"△ 11～16分","✗")))</f>
        <v>未確認</v>
      </c>
      <c r="W47" s="4" t="s">
        <v>754</v>
      </c>
      <c r="X47" s="28" t="s">
        <v>755</v>
      </c>
      <c r="Y47" s="28" t="s">
        <v>496</v>
      </c>
      <c r="Z47" s="4" t="s">
        <v>380</v>
      </c>
      <c r="AA47" s="4" t="s">
        <v>441</v>
      </c>
      <c r="AB47" s="16" t="s">
        <v>756</v>
      </c>
      <c r="AC47" s="16" t="s">
        <v>757</v>
      </c>
      <c r="AD47" s="29" t="s">
        <v>341</v>
      </c>
      <c r="AE47" s="28" t="s">
        <v>431</v>
      </c>
      <c r="AF47" s="16" t="s">
        <v>86</v>
      </c>
    </row>
    <row r="48" customFormat="false" ht="48" hidden="false" customHeight="true" outlineLevel="0" collapsed="false">
      <c r="A48" s="12" t="s">
        <v>22</v>
      </c>
      <c r="B48" s="13" t="n">
        <v>47</v>
      </c>
      <c r="C48" s="16" t="s">
        <v>758</v>
      </c>
      <c r="D48" s="20" t="s">
        <v>759</v>
      </c>
      <c r="E48" s="4" t="s">
        <v>95</v>
      </c>
      <c r="F48" s="4" t="s">
        <v>648</v>
      </c>
      <c r="G48" s="16" t="s">
        <v>649</v>
      </c>
      <c r="H48" s="21" t="n">
        <v>253</v>
      </c>
      <c r="I48" s="26"/>
      <c r="J48" s="4" t="s">
        <v>732</v>
      </c>
      <c r="K48" s="23" t="n">
        <v>350000</v>
      </c>
      <c r="L48" s="16" t="s">
        <v>760</v>
      </c>
      <c r="M48" s="22"/>
      <c r="N48" s="27" t="n">
        <f aca="false">IF(K48="","",K48+N(M48))</f>
        <v>350000</v>
      </c>
      <c r="O48" s="24" t="str">
        <f aca="false">IF(OR(I48="",N48=""),"",N48/I48)</f>
        <v/>
      </c>
      <c r="P48" s="4" t="str">
        <f aca="false">IF(I48="","未揭露",IF(I48&gt;=0_條件與假設!$B$5,"✓","✗"))</f>
        <v>未揭露</v>
      </c>
      <c r="Q48" s="4" t="str">
        <f aca="false">IF(K48="","未提供",IF(K48&lt;=0_條件與假設!$B$6,"≤45萬",IF(K48&lt;=0_條件與假設!$B$7,"45～55萬","超過55萬")))</f>
        <v>≤45萬</v>
      </c>
      <c r="R48" s="4" t="s">
        <v>222</v>
      </c>
      <c r="S48" s="4" t="s">
        <v>100</v>
      </c>
      <c r="T48" s="23" t="n">
        <v>3310</v>
      </c>
      <c r="U48" s="13" t="n">
        <v>54</v>
      </c>
      <c r="V48" s="4" t="str">
        <f aca="false">IF(U48="","未確認",IF(U48&lt;=0_條件與假設!$B$8,"✓",IF(U48&lt;=16,"△ 11～16分","✗")))</f>
        <v>✗</v>
      </c>
      <c r="W48" s="4" t="s">
        <v>761</v>
      </c>
      <c r="X48" s="4"/>
      <c r="Y48" s="28" t="s">
        <v>496</v>
      </c>
      <c r="Z48" s="4" t="s">
        <v>736</v>
      </c>
      <c r="AA48" s="4" t="s">
        <v>732</v>
      </c>
      <c r="AB48" s="16" t="s">
        <v>737</v>
      </c>
      <c r="AC48" s="4" t="s">
        <v>738</v>
      </c>
      <c r="AD48" s="29" t="s">
        <v>747</v>
      </c>
      <c r="AE48" s="4" t="s">
        <v>762</v>
      </c>
      <c r="AF48" s="20" t="s">
        <v>91</v>
      </c>
    </row>
    <row r="49" customFormat="false" ht="48" hidden="false" customHeight="true" outlineLevel="0" collapsed="false">
      <c r="A49" s="12" t="s">
        <v>22</v>
      </c>
      <c r="B49" s="13" t="n">
        <v>48</v>
      </c>
      <c r="C49" s="16" t="s">
        <v>763</v>
      </c>
      <c r="D49" s="20" t="s">
        <v>764</v>
      </c>
      <c r="E49" s="4" t="s">
        <v>122</v>
      </c>
      <c r="F49" s="4" t="s">
        <v>765</v>
      </c>
      <c r="G49" s="16" t="s">
        <v>766</v>
      </c>
      <c r="H49" s="21" t="n">
        <v>206</v>
      </c>
      <c r="I49" s="26"/>
      <c r="J49" s="4" t="s">
        <v>732</v>
      </c>
      <c r="K49" s="23" t="n">
        <v>350900</v>
      </c>
      <c r="L49" s="16" t="s">
        <v>767</v>
      </c>
      <c r="M49" s="22"/>
      <c r="N49" s="27" t="n">
        <f aca="false">IF(K49="","",K49+N(M49))</f>
        <v>350900</v>
      </c>
      <c r="O49" s="24" t="str">
        <f aca="false">IF(OR(I49="",N49=""),"",N49/I49)</f>
        <v/>
      </c>
      <c r="P49" s="4" t="str">
        <f aca="false">IF(I49="","未揭露",IF(I49&gt;=0_條件與假設!$B$5,"✓","✗"))</f>
        <v>未揭露</v>
      </c>
      <c r="Q49" s="4" t="str">
        <f aca="false">IF(K49="","未提供",IF(K49&lt;=0_條件與假設!$B$6,"≤45萬",IF(K49&lt;=0_條件與假設!$B$7,"45～55萬","超過55萬")))</f>
        <v>≤45萬</v>
      </c>
      <c r="R49" s="28" t="s">
        <v>734</v>
      </c>
      <c r="S49" s="4"/>
      <c r="T49" s="23"/>
      <c r="U49" s="13"/>
      <c r="V49" s="4" t="str">
        <f aca="false">IF(U49="","未確認",IF(U49&lt;=0_條件與假設!$B$8,"✓",IF(U49&lt;=16,"△ 11～16分","✗")))</f>
        <v>未確認</v>
      </c>
      <c r="W49" s="4" t="s">
        <v>768</v>
      </c>
      <c r="X49" s="4"/>
      <c r="Y49" s="28" t="s">
        <v>496</v>
      </c>
      <c r="Z49" s="4" t="s">
        <v>736</v>
      </c>
      <c r="AA49" s="4" t="s">
        <v>454</v>
      </c>
      <c r="AB49" s="16" t="s">
        <v>737</v>
      </c>
      <c r="AC49" s="4" t="s">
        <v>769</v>
      </c>
      <c r="AD49" s="29" t="s">
        <v>770</v>
      </c>
      <c r="AE49" s="28" t="s">
        <v>431</v>
      </c>
      <c r="AF49" s="16" t="s">
        <v>86</v>
      </c>
    </row>
    <row r="50" customFormat="false" ht="48" hidden="false" customHeight="true" outlineLevel="0" collapsed="false">
      <c r="A50" s="12" t="s">
        <v>22</v>
      </c>
      <c r="B50" s="13" t="n">
        <v>49</v>
      </c>
      <c r="C50" s="16" t="s">
        <v>771</v>
      </c>
      <c r="D50" s="20" t="s">
        <v>772</v>
      </c>
      <c r="E50" s="4" t="s">
        <v>122</v>
      </c>
      <c r="F50" s="4" t="s">
        <v>773</v>
      </c>
      <c r="G50" s="16" t="s">
        <v>640</v>
      </c>
      <c r="H50" s="21" t="n">
        <v>220</v>
      </c>
      <c r="I50" s="26"/>
      <c r="J50" s="4" t="s">
        <v>732</v>
      </c>
      <c r="K50" s="23" t="n">
        <v>369600</v>
      </c>
      <c r="L50" s="16" t="s">
        <v>774</v>
      </c>
      <c r="M50" s="22"/>
      <c r="N50" s="27" t="n">
        <f aca="false">IF(K50="","",K50+N(M50))</f>
        <v>369600</v>
      </c>
      <c r="O50" s="24" t="str">
        <f aca="false">IF(OR(I50="",N50=""),"",N50/I50)</f>
        <v/>
      </c>
      <c r="P50" s="4" t="str">
        <f aca="false">IF(I50="","未揭露",IF(I50&gt;=0_條件與假設!$B$5,"✓","✗"))</f>
        <v>未揭露</v>
      </c>
      <c r="Q50" s="4" t="str">
        <f aca="false">IF(K50="","未提供",IF(K50&lt;=0_條件與假設!$B$6,"≤45萬",IF(K50&lt;=0_條件與假設!$B$7,"45～55萬","超過55萬")))</f>
        <v>≤45萬</v>
      </c>
      <c r="R50" s="4" t="s">
        <v>113</v>
      </c>
      <c r="S50" s="4" t="s">
        <v>114</v>
      </c>
      <c r="T50" s="23" t="n">
        <v>660</v>
      </c>
      <c r="U50" s="13" t="n">
        <v>11</v>
      </c>
      <c r="V50" s="4" t="str">
        <f aca="false">IF(U50="","未確認",IF(U50&lt;=0_條件與假設!$B$8,"✓",IF(U50&lt;=16,"△ 11～16分","✗")))</f>
        <v>△ 11～16分</v>
      </c>
      <c r="W50" s="4" t="s">
        <v>775</v>
      </c>
      <c r="X50" s="4"/>
      <c r="Y50" s="28" t="s">
        <v>496</v>
      </c>
      <c r="Z50" s="4" t="s">
        <v>736</v>
      </c>
      <c r="AA50" s="4" t="s">
        <v>736</v>
      </c>
      <c r="AB50" s="4" t="s">
        <v>634</v>
      </c>
      <c r="AC50" s="4" t="s">
        <v>265</v>
      </c>
      <c r="AD50" s="20" t="s">
        <v>776</v>
      </c>
      <c r="AE50" s="28" t="s">
        <v>777</v>
      </c>
      <c r="AF50" s="20" t="s">
        <v>91</v>
      </c>
    </row>
    <row r="51" customFormat="false" ht="48" hidden="false" customHeight="true" outlineLevel="0" collapsed="false">
      <c r="A51" s="12" t="s">
        <v>22</v>
      </c>
      <c r="B51" s="13" t="n">
        <v>50</v>
      </c>
      <c r="C51" s="16" t="s">
        <v>778</v>
      </c>
      <c r="D51" s="20" t="s">
        <v>759</v>
      </c>
      <c r="E51" s="4" t="s">
        <v>95</v>
      </c>
      <c r="F51" s="4" t="s">
        <v>648</v>
      </c>
      <c r="G51" s="16" t="s">
        <v>649</v>
      </c>
      <c r="H51" s="21" t="n">
        <v>252</v>
      </c>
      <c r="I51" s="26"/>
      <c r="J51" s="4" t="s">
        <v>732</v>
      </c>
      <c r="K51" s="23" t="n">
        <v>380000</v>
      </c>
      <c r="L51" s="16" t="s">
        <v>779</v>
      </c>
      <c r="M51" s="22"/>
      <c r="N51" s="27" t="n">
        <f aca="false">IF(K51="","",K51+N(M51))</f>
        <v>380000</v>
      </c>
      <c r="O51" s="24" t="str">
        <f aca="false">IF(OR(I51="",N51=""),"",N51/I51)</f>
        <v/>
      </c>
      <c r="P51" s="4" t="str">
        <f aca="false">IF(I51="","未揭露",IF(I51&gt;=0_條件與假設!$B$5,"✓","✗"))</f>
        <v>未揭露</v>
      </c>
      <c r="Q51" s="4" t="str">
        <f aca="false">IF(K51="","未提供",IF(K51&lt;=0_條件與假設!$B$6,"≤45萬",IF(K51&lt;=0_條件與假設!$B$7,"45～55萬","超過55萬")))</f>
        <v>≤45萬</v>
      </c>
      <c r="R51" s="4" t="s">
        <v>222</v>
      </c>
      <c r="S51" s="4" t="s">
        <v>100</v>
      </c>
      <c r="T51" s="23" t="n">
        <v>3310</v>
      </c>
      <c r="U51" s="13" t="n">
        <v>54</v>
      </c>
      <c r="V51" s="4" t="str">
        <f aca="false">IF(U51="","未確認",IF(U51&lt;=0_條件與假設!$B$8,"✓",IF(U51&lt;=16,"△ 11～16分","✗")))</f>
        <v>✗</v>
      </c>
      <c r="W51" s="4" t="s">
        <v>761</v>
      </c>
      <c r="X51" s="4"/>
      <c r="Y51" s="28" t="s">
        <v>496</v>
      </c>
      <c r="Z51" s="4" t="s">
        <v>736</v>
      </c>
      <c r="AA51" s="4" t="s">
        <v>454</v>
      </c>
      <c r="AB51" s="16" t="s">
        <v>737</v>
      </c>
      <c r="AC51" s="4" t="s">
        <v>738</v>
      </c>
      <c r="AD51" s="29" t="s">
        <v>780</v>
      </c>
      <c r="AE51" s="28" t="s">
        <v>781</v>
      </c>
      <c r="AF51" s="20" t="s">
        <v>91</v>
      </c>
    </row>
    <row r="52" customFormat="false" ht="48" hidden="false" customHeight="true" outlineLevel="0" collapsed="false">
      <c r="A52" s="12" t="s">
        <v>22</v>
      </c>
      <c r="B52" s="13" t="n">
        <v>51</v>
      </c>
      <c r="C52" s="16" t="s">
        <v>782</v>
      </c>
      <c r="D52" s="20" t="s">
        <v>783</v>
      </c>
      <c r="E52" s="4" t="s">
        <v>122</v>
      </c>
      <c r="F52" s="4" t="s">
        <v>521</v>
      </c>
      <c r="G52" s="16" t="s">
        <v>784</v>
      </c>
      <c r="H52" s="21" t="n">
        <v>211</v>
      </c>
      <c r="I52" s="26"/>
      <c r="J52" s="4" t="s">
        <v>732</v>
      </c>
      <c r="K52" s="23" t="n">
        <v>400000</v>
      </c>
      <c r="L52" s="16" t="s">
        <v>785</v>
      </c>
      <c r="M52" s="22"/>
      <c r="N52" s="27" t="n">
        <f aca="false">IF(K52="","",K52+N(M52))</f>
        <v>400000</v>
      </c>
      <c r="O52" s="24" t="str">
        <f aca="false">IF(OR(I52="",N52=""),"",N52/I52)</f>
        <v/>
      </c>
      <c r="P52" s="4" t="str">
        <f aca="false">IF(I52="","未揭露",IF(I52&gt;=0_條件與假設!$B$5,"✓","✗"))</f>
        <v>未揭露</v>
      </c>
      <c r="Q52" s="4" t="str">
        <f aca="false">IF(K52="","未提供",IF(K52&lt;=0_條件與假設!$B$6,"≤45萬",IF(K52&lt;=0_條件與假設!$B$7,"45～55萬","超過55萬")))</f>
        <v>≤45萬</v>
      </c>
      <c r="R52" s="4" t="s">
        <v>126</v>
      </c>
      <c r="S52" s="4" t="s">
        <v>100</v>
      </c>
      <c r="T52" s="23" t="n">
        <v>659</v>
      </c>
      <c r="U52" s="13" t="n">
        <v>11</v>
      </c>
      <c r="V52" s="4" t="str">
        <f aca="false">IF(U52="","未確認",IF(U52&lt;=0_條件與假設!$B$8,"✓",IF(U52&lt;=16,"△ 11～16分","✗")))</f>
        <v>△ 11～16分</v>
      </c>
      <c r="W52" s="4" t="s">
        <v>786</v>
      </c>
      <c r="X52" s="4"/>
      <c r="Y52" s="28" t="s">
        <v>496</v>
      </c>
      <c r="Z52" s="4" t="s">
        <v>736</v>
      </c>
      <c r="AA52" s="4" t="s">
        <v>787</v>
      </c>
      <c r="AB52" s="16" t="s">
        <v>737</v>
      </c>
      <c r="AC52" s="4" t="s">
        <v>788</v>
      </c>
      <c r="AD52" s="29" t="s">
        <v>789</v>
      </c>
      <c r="AE52" s="28" t="s">
        <v>431</v>
      </c>
      <c r="AF52" s="16" t="s">
        <v>86</v>
      </c>
    </row>
    <row r="53" customFormat="false" ht="48" hidden="false" customHeight="true" outlineLevel="0" collapsed="false">
      <c r="A53" s="12" t="s">
        <v>22</v>
      </c>
      <c r="B53" s="13" t="n">
        <v>52</v>
      </c>
      <c r="C53" s="16" t="s">
        <v>790</v>
      </c>
      <c r="D53" s="20" t="s">
        <v>783</v>
      </c>
      <c r="E53" s="4" t="s">
        <v>122</v>
      </c>
      <c r="F53" s="4" t="s">
        <v>791</v>
      </c>
      <c r="G53" s="16" t="s">
        <v>792</v>
      </c>
      <c r="H53" s="21" t="n">
        <v>211</v>
      </c>
      <c r="I53" s="26"/>
      <c r="J53" s="4" t="s">
        <v>732</v>
      </c>
      <c r="K53" s="23" t="n">
        <v>400000</v>
      </c>
      <c r="L53" s="16" t="s">
        <v>793</v>
      </c>
      <c r="M53" s="23" t="n">
        <v>17935</v>
      </c>
      <c r="N53" s="24" t="n">
        <f aca="false">IF(K53="","",K53+N(M53))</f>
        <v>417935</v>
      </c>
      <c r="O53" s="24" t="str">
        <f aca="false">IF(OR(I53="",N53=""),"",N53/I53)</f>
        <v/>
      </c>
      <c r="P53" s="4" t="str">
        <f aca="false">IF(I53="","未揭露",IF(I53&gt;=0_條件與假設!$B$5,"✓","✗"))</f>
        <v>未揭露</v>
      </c>
      <c r="Q53" s="4" t="str">
        <f aca="false">IF(K53="","未提供",IF(K53&lt;=0_條件與假設!$B$6,"≤45萬",IF(K53&lt;=0_條件與假設!$B$7,"45～55萬","超過55萬")))</f>
        <v>≤45萬</v>
      </c>
      <c r="R53" s="4" t="s">
        <v>126</v>
      </c>
      <c r="S53" s="4" t="s">
        <v>100</v>
      </c>
      <c r="T53" s="23" t="n">
        <v>659</v>
      </c>
      <c r="U53" s="13" t="n">
        <v>11</v>
      </c>
      <c r="V53" s="4" t="str">
        <f aca="false">IF(U53="","未確認",IF(U53&lt;=0_條件與假設!$B$8,"✓",IF(U53&lt;=16,"△ 11～16分","✗")))</f>
        <v>△ 11～16分</v>
      </c>
      <c r="W53" s="4" t="s">
        <v>786</v>
      </c>
      <c r="X53" s="4"/>
      <c r="Y53" s="28" t="s">
        <v>496</v>
      </c>
      <c r="Z53" s="4" t="s">
        <v>736</v>
      </c>
      <c r="AA53" s="4" t="s">
        <v>732</v>
      </c>
      <c r="AB53" s="16" t="s">
        <v>794</v>
      </c>
      <c r="AC53" s="4" t="s">
        <v>795</v>
      </c>
      <c r="AD53" s="29" t="s">
        <v>796</v>
      </c>
      <c r="AE53" s="28" t="s">
        <v>431</v>
      </c>
      <c r="AF53" s="16" t="s">
        <v>86</v>
      </c>
    </row>
    <row r="54" customFormat="false" ht="48" hidden="false" customHeight="true" outlineLevel="0" collapsed="false">
      <c r="A54" s="12" t="s">
        <v>22</v>
      </c>
      <c r="B54" s="13" t="n">
        <v>53</v>
      </c>
      <c r="C54" s="16" t="s">
        <v>797</v>
      </c>
      <c r="D54" s="20" t="s">
        <v>798</v>
      </c>
      <c r="E54" s="4" t="s">
        <v>78</v>
      </c>
      <c r="F54" s="4" t="s">
        <v>799</v>
      </c>
      <c r="G54" s="16" t="s">
        <v>800</v>
      </c>
      <c r="H54" s="21" t="n">
        <v>201</v>
      </c>
      <c r="I54" s="26"/>
      <c r="J54" s="4" t="s">
        <v>732</v>
      </c>
      <c r="K54" s="23" t="n">
        <v>401100</v>
      </c>
      <c r="L54" s="16" t="s">
        <v>801</v>
      </c>
      <c r="M54" s="22"/>
      <c r="N54" s="27" t="n">
        <f aca="false">IF(K54="","",K54+N(M54))</f>
        <v>401100</v>
      </c>
      <c r="O54" s="24" t="str">
        <f aca="false">IF(OR(I54="",N54=""),"",N54/I54)</f>
        <v/>
      </c>
      <c r="P54" s="4" t="str">
        <f aca="false">IF(I54="","未揭露",IF(I54&gt;=0_條件與假設!$B$5,"✓","✗"))</f>
        <v>未揭露</v>
      </c>
      <c r="Q54" s="4" t="str">
        <f aca="false">IF(K54="","未提供",IF(K54&lt;=0_條件與假設!$B$6,"≤45萬",IF(K54&lt;=0_條件與假設!$B$7,"45～55萬","超過55萬")))</f>
        <v>≤45萬</v>
      </c>
      <c r="R54" s="4" t="s">
        <v>82</v>
      </c>
      <c r="S54" s="4" t="s">
        <v>83</v>
      </c>
      <c r="T54" s="23" t="n">
        <v>510</v>
      </c>
      <c r="U54" s="13" t="n">
        <v>9</v>
      </c>
      <c r="V54" s="4" t="str">
        <f aca="false">IF(U54="","未確認",IF(U54&lt;=0_條件與假設!$B$8,"✓",IF(U54&lt;=16,"△ 11～16分","✗")))</f>
        <v>✓</v>
      </c>
      <c r="W54" s="4" t="s">
        <v>802</v>
      </c>
      <c r="X54" s="4"/>
      <c r="Y54" s="28" t="s">
        <v>496</v>
      </c>
      <c r="Z54" s="4" t="s">
        <v>736</v>
      </c>
      <c r="AA54" s="4" t="s">
        <v>736</v>
      </c>
      <c r="AB54" s="4" t="s">
        <v>634</v>
      </c>
      <c r="AC54" s="4" t="s">
        <v>265</v>
      </c>
      <c r="AD54" s="20" t="s">
        <v>803</v>
      </c>
      <c r="AE54" s="28" t="s">
        <v>804</v>
      </c>
      <c r="AF54" s="20" t="s">
        <v>91</v>
      </c>
    </row>
    <row r="55" customFormat="false" ht="48" hidden="false" customHeight="true" outlineLevel="0" collapsed="false">
      <c r="A55" s="12" t="s">
        <v>22</v>
      </c>
      <c r="B55" s="13" t="n">
        <v>54</v>
      </c>
      <c r="C55" s="16" t="s">
        <v>805</v>
      </c>
      <c r="D55" s="20" t="s">
        <v>806</v>
      </c>
      <c r="E55" s="4" t="s">
        <v>122</v>
      </c>
      <c r="F55" s="4" t="s">
        <v>807</v>
      </c>
      <c r="G55" s="16" t="s">
        <v>808</v>
      </c>
      <c r="H55" s="21" t="n">
        <v>204</v>
      </c>
      <c r="I55" s="26"/>
      <c r="J55" s="4" t="s">
        <v>732</v>
      </c>
      <c r="K55" s="23" t="n">
        <v>404985</v>
      </c>
      <c r="L55" s="16" t="s">
        <v>809</v>
      </c>
      <c r="M55" s="22"/>
      <c r="N55" s="27" t="n">
        <f aca="false">IF(K55="","",K55+N(M55))</f>
        <v>404985</v>
      </c>
      <c r="O55" s="24" t="str">
        <f aca="false">IF(OR(I55="",N55=""),"",N55/I55)</f>
        <v/>
      </c>
      <c r="P55" s="4" t="str">
        <f aca="false">IF(I55="","未揭露",IF(I55&gt;=0_條件與假設!$B$5,"✓","✗"))</f>
        <v>未揭露</v>
      </c>
      <c r="Q55" s="4" t="str">
        <f aca="false">IF(K55="","未提供",IF(K55&lt;=0_條件與假設!$B$6,"≤45萬",IF(K55&lt;=0_條件與假設!$B$7,"45～55萬","超過55萬")))</f>
        <v>≤45萬</v>
      </c>
      <c r="R55" s="28" t="s">
        <v>734</v>
      </c>
      <c r="S55" s="4"/>
      <c r="T55" s="23"/>
      <c r="U55" s="13"/>
      <c r="V55" s="4" t="str">
        <f aca="false">IF(U55="","未確認",IF(U55&lt;=0_條件與假設!$B$8,"✓",IF(U55&lt;=16,"△ 11～16分","✗")))</f>
        <v>未確認</v>
      </c>
      <c r="W55" s="4" t="s">
        <v>217</v>
      </c>
      <c r="X55" s="4"/>
      <c r="Y55" s="28" t="s">
        <v>496</v>
      </c>
      <c r="Z55" s="4" t="s">
        <v>736</v>
      </c>
      <c r="AA55" s="4" t="s">
        <v>736</v>
      </c>
      <c r="AB55" s="4" t="s">
        <v>634</v>
      </c>
      <c r="AC55" s="4" t="s">
        <v>265</v>
      </c>
      <c r="AD55" s="20" t="s">
        <v>803</v>
      </c>
      <c r="AE55" s="28" t="s">
        <v>431</v>
      </c>
      <c r="AF55" s="16" t="s">
        <v>86</v>
      </c>
    </row>
    <row r="56" customFormat="false" ht="48" hidden="false" customHeight="true" outlineLevel="0" collapsed="false">
      <c r="A56" s="12" t="s">
        <v>22</v>
      </c>
      <c r="B56" s="13" t="n">
        <v>55</v>
      </c>
      <c r="C56" s="16" t="s">
        <v>810</v>
      </c>
      <c r="D56" s="20" t="s">
        <v>811</v>
      </c>
      <c r="E56" s="4" t="s">
        <v>95</v>
      </c>
      <c r="F56" s="4" t="s">
        <v>648</v>
      </c>
      <c r="G56" s="16" t="s">
        <v>812</v>
      </c>
      <c r="H56" s="21" t="n">
        <v>276</v>
      </c>
      <c r="I56" s="26"/>
      <c r="J56" s="4" t="s">
        <v>732</v>
      </c>
      <c r="K56" s="23" t="n">
        <v>413800</v>
      </c>
      <c r="L56" s="16" t="s">
        <v>813</v>
      </c>
      <c r="M56" s="22"/>
      <c r="N56" s="27" t="n">
        <f aca="false">IF(K56="","",K56+N(M56))</f>
        <v>413800</v>
      </c>
      <c r="O56" s="24" t="str">
        <f aca="false">IF(OR(I56="",N56=""),"",N56/I56)</f>
        <v/>
      </c>
      <c r="P56" s="4" t="str">
        <f aca="false">IF(I56="","未揭露",IF(I56&gt;=0_條件與假設!$B$5,"✓","✗"))</f>
        <v>未揭露</v>
      </c>
      <c r="Q56" s="4" t="str">
        <f aca="false">IF(K56="","未提供",IF(K56&lt;=0_條件與假設!$B$6,"≤45萬",IF(K56&lt;=0_條件與假設!$B$7,"45～55萬","超過55萬")))</f>
        <v>≤45萬</v>
      </c>
      <c r="R56" s="4" t="s">
        <v>222</v>
      </c>
      <c r="S56" s="4" t="s">
        <v>100</v>
      </c>
      <c r="T56" s="23" t="n">
        <v>3310</v>
      </c>
      <c r="U56" s="13" t="n">
        <v>54</v>
      </c>
      <c r="V56" s="4" t="str">
        <f aca="false">IF(U56="","未確認",IF(U56&lt;=0_條件與假設!$B$8,"✓",IF(U56&lt;=16,"△ 11～16分","✗")))</f>
        <v>✗</v>
      </c>
      <c r="W56" s="4" t="s">
        <v>761</v>
      </c>
      <c r="X56" s="4"/>
      <c r="Y56" s="28" t="s">
        <v>496</v>
      </c>
      <c r="Z56" s="4" t="s">
        <v>736</v>
      </c>
      <c r="AA56" s="4" t="s">
        <v>814</v>
      </c>
      <c r="AB56" s="16" t="s">
        <v>737</v>
      </c>
      <c r="AC56" s="4" t="s">
        <v>738</v>
      </c>
      <c r="AD56" s="29" t="s">
        <v>747</v>
      </c>
      <c r="AE56" s="28" t="s">
        <v>781</v>
      </c>
      <c r="AF56" s="20" t="s">
        <v>91</v>
      </c>
    </row>
    <row r="57" customFormat="false" ht="48" hidden="false" customHeight="true" outlineLevel="0" collapsed="false">
      <c r="A57" s="12" t="s">
        <v>22</v>
      </c>
      <c r="B57" s="13" t="n">
        <v>56</v>
      </c>
      <c r="C57" s="16" t="s">
        <v>815</v>
      </c>
      <c r="D57" s="20" t="s">
        <v>816</v>
      </c>
      <c r="E57" s="4" t="s">
        <v>95</v>
      </c>
      <c r="F57" s="4" t="s">
        <v>817</v>
      </c>
      <c r="G57" s="16" t="s">
        <v>818</v>
      </c>
      <c r="H57" s="21" t="n">
        <v>306.62</v>
      </c>
      <c r="I57" s="26"/>
      <c r="J57" s="16" t="s">
        <v>819</v>
      </c>
      <c r="K57" s="23" t="n">
        <v>417900</v>
      </c>
      <c r="L57" s="16" t="s">
        <v>820</v>
      </c>
      <c r="M57" s="22"/>
      <c r="N57" s="27" t="n">
        <f aca="false">IF(K57="","",K57+N(M57))</f>
        <v>417900</v>
      </c>
      <c r="O57" s="24" t="str">
        <f aca="false">IF(OR(I57="",N57=""),"",N57/I57)</f>
        <v/>
      </c>
      <c r="P57" s="4" t="str">
        <f aca="false">IF(I57="","未揭露",IF(I57&gt;=0_條件與假設!$B$5,"✓","✗"))</f>
        <v>未揭露</v>
      </c>
      <c r="Q57" s="4" t="str">
        <f aca="false">IF(K57="","未提供",IF(K57&lt;=0_條件與假設!$B$6,"≤45萬",IF(K57&lt;=0_條件與假設!$B$7,"45～55萬","超過55萬")))</f>
        <v>≤45萬</v>
      </c>
      <c r="R57" s="28" t="s">
        <v>821</v>
      </c>
      <c r="S57" s="4"/>
      <c r="T57" s="23"/>
      <c r="U57" s="13"/>
      <c r="V57" s="4" t="str">
        <f aca="false">IF(U57="","未確認",IF(U57&lt;=0_條件與假設!$B$8,"✓",IF(U57&lt;=16,"△ 11～16分","✗")))</f>
        <v>未確認</v>
      </c>
      <c r="W57" s="4" t="s">
        <v>822</v>
      </c>
      <c r="X57" s="28" t="s">
        <v>755</v>
      </c>
      <c r="Y57" s="28" t="s">
        <v>496</v>
      </c>
      <c r="Z57" s="4" t="s">
        <v>380</v>
      </c>
      <c r="AA57" s="4" t="s">
        <v>380</v>
      </c>
      <c r="AB57" s="16" t="s">
        <v>823</v>
      </c>
      <c r="AC57" s="4" t="s">
        <v>226</v>
      </c>
      <c r="AD57" s="29" t="s">
        <v>341</v>
      </c>
      <c r="AE57" s="28" t="s">
        <v>431</v>
      </c>
      <c r="AF57" s="16" t="s">
        <v>86</v>
      </c>
    </row>
    <row r="58" customFormat="false" ht="48" hidden="false" customHeight="true" outlineLevel="0" collapsed="false">
      <c r="A58" s="12" t="s">
        <v>22</v>
      </c>
      <c r="B58" s="13" t="n">
        <v>57</v>
      </c>
      <c r="C58" s="16" t="s">
        <v>824</v>
      </c>
      <c r="D58" s="20" t="s">
        <v>825</v>
      </c>
      <c r="E58" s="4" t="s">
        <v>122</v>
      </c>
      <c r="F58" s="4" t="s">
        <v>826</v>
      </c>
      <c r="G58" s="16" t="s">
        <v>640</v>
      </c>
      <c r="H58" s="21" t="n">
        <v>211</v>
      </c>
      <c r="I58" s="26"/>
      <c r="J58" s="4" t="s">
        <v>732</v>
      </c>
      <c r="K58" s="23" t="n">
        <v>436800</v>
      </c>
      <c r="L58" s="16" t="s">
        <v>827</v>
      </c>
      <c r="M58" s="22"/>
      <c r="N58" s="27" t="n">
        <f aca="false">IF(K58="","",K58+N(M58))</f>
        <v>436800</v>
      </c>
      <c r="O58" s="24" t="str">
        <f aca="false">IF(OR(I58="",N58=""),"",N58/I58)</f>
        <v/>
      </c>
      <c r="P58" s="4" t="str">
        <f aca="false">IF(I58="","未揭露",IF(I58&gt;=0_條件與假設!$B$5,"✓","✗"))</f>
        <v>未揭露</v>
      </c>
      <c r="Q58" s="4" t="str">
        <f aca="false">IF(K58="","未提供",IF(K58&lt;=0_條件與假設!$B$6,"≤45萬",IF(K58&lt;=0_條件與假設!$B$7,"45～55萬","超過55萬")))</f>
        <v>≤45萬</v>
      </c>
      <c r="R58" s="4" t="s">
        <v>222</v>
      </c>
      <c r="S58" s="4" t="s">
        <v>100</v>
      </c>
      <c r="T58" s="23" t="n">
        <v>760</v>
      </c>
      <c r="U58" s="13" t="n">
        <v>13</v>
      </c>
      <c r="V58" s="4" t="str">
        <f aca="false">IF(U58="","未確認",IF(U58&lt;=0_條件與假設!$B$8,"✓",IF(U58&lt;=16,"△ 11～16分","✗")))</f>
        <v>△ 11～16分</v>
      </c>
      <c r="W58" s="4" t="s">
        <v>786</v>
      </c>
      <c r="X58" s="4"/>
      <c r="Y58" s="28" t="s">
        <v>496</v>
      </c>
      <c r="Z58" s="4" t="s">
        <v>736</v>
      </c>
      <c r="AA58" s="4" t="s">
        <v>736</v>
      </c>
      <c r="AB58" s="4" t="s">
        <v>634</v>
      </c>
      <c r="AC58" s="4" t="s">
        <v>265</v>
      </c>
      <c r="AD58" s="20" t="s">
        <v>828</v>
      </c>
      <c r="AE58" s="28" t="s">
        <v>829</v>
      </c>
      <c r="AF58" s="20" t="s">
        <v>91</v>
      </c>
    </row>
    <row r="59" customFormat="false" ht="48" hidden="false" customHeight="true" outlineLevel="0" collapsed="false">
      <c r="A59" s="12" t="s">
        <v>22</v>
      </c>
      <c r="B59" s="13" t="n">
        <v>58</v>
      </c>
      <c r="C59" s="16" t="s">
        <v>830</v>
      </c>
      <c r="D59" s="20" t="s">
        <v>831</v>
      </c>
      <c r="E59" s="4" t="s">
        <v>95</v>
      </c>
      <c r="F59" s="4" t="s">
        <v>832</v>
      </c>
      <c r="G59" s="16" t="s">
        <v>833</v>
      </c>
      <c r="H59" s="21" t="n">
        <v>209</v>
      </c>
      <c r="I59" s="26"/>
      <c r="J59" s="4" t="s">
        <v>732</v>
      </c>
      <c r="K59" s="23" t="n">
        <v>438900</v>
      </c>
      <c r="L59" s="16" t="s">
        <v>834</v>
      </c>
      <c r="M59" s="22"/>
      <c r="N59" s="27" t="n">
        <f aca="false">IF(K59="","",K59+N(M59))</f>
        <v>438900</v>
      </c>
      <c r="O59" s="24" t="str">
        <f aca="false">IF(OR(I59="",N59=""),"",N59/I59)</f>
        <v/>
      </c>
      <c r="P59" s="4" t="str">
        <f aca="false">IF(I59="","未揭露",IF(I59&gt;=0_條件與假設!$B$5,"✓","✗"))</f>
        <v>未揭露</v>
      </c>
      <c r="Q59" s="4" t="str">
        <f aca="false">IF(K59="","未提供",IF(K59&lt;=0_條件與假設!$B$6,"≤45萬",IF(K59&lt;=0_條件與假設!$B$7,"45～55萬","超過55萬")))</f>
        <v>≤45萬</v>
      </c>
      <c r="R59" s="4" t="s">
        <v>425</v>
      </c>
      <c r="S59" s="4" t="s">
        <v>426</v>
      </c>
      <c r="T59" s="23" t="n">
        <v>390</v>
      </c>
      <c r="U59" s="13" t="n">
        <v>7</v>
      </c>
      <c r="V59" s="4" t="str">
        <f aca="false">IF(U59="","未確認",IF(U59&lt;=0_條件與假設!$B$8,"✓",IF(U59&lt;=16,"△ 11～16分","✗")))</f>
        <v>✓</v>
      </c>
      <c r="W59" s="4" t="s">
        <v>835</v>
      </c>
      <c r="X59" s="4"/>
      <c r="Y59" s="28" t="s">
        <v>496</v>
      </c>
      <c r="Z59" s="4" t="s">
        <v>736</v>
      </c>
      <c r="AA59" s="4" t="s">
        <v>736</v>
      </c>
      <c r="AB59" s="4" t="s">
        <v>634</v>
      </c>
      <c r="AC59" s="4" t="s">
        <v>265</v>
      </c>
      <c r="AD59" s="20" t="s">
        <v>836</v>
      </c>
      <c r="AE59" s="28" t="s">
        <v>837</v>
      </c>
      <c r="AF59" s="20" t="s">
        <v>91</v>
      </c>
    </row>
    <row r="60" customFormat="false" ht="48" hidden="false" customHeight="true" outlineLevel="0" collapsed="false">
      <c r="A60" s="12" t="s">
        <v>22</v>
      </c>
      <c r="B60" s="13" t="n">
        <v>59</v>
      </c>
      <c r="C60" s="16" t="s">
        <v>838</v>
      </c>
      <c r="D60" s="20" t="s">
        <v>839</v>
      </c>
      <c r="E60" s="4" t="s">
        <v>95</v>
      </c>
      <c r="F60" s="4" t="s">
        <v>840</v>
      </c>
      <c r="G60" s="16" t="s">
        <v>841</v>
      </c>
      <c r="H60" s="21" t="n">
        <v>203</v>
      </c>
      <c r="I60" s="26"/>
      <c r="J60" s="4" t="s">
        <v>732</v>
      </c>
      <c r="K60" s="23" t="n">
        <v>446800</v>
      </c>
      <c r="L60" s="16" t="s">
        <v>842</v>
      </c>
      <c r="M60" s="22"/>
      <c r="N60" s="27" t="n">
        <f aca="false">IF(K60="","",K60+N(M60))</f>
        <v>446800</v>
      </c>
      <c r="O60" s="24" t="str">
        <f aca="false">IF(OR(I60="",N60=""),"",N60/I60)</f>
        <v/>
      </c>
      <c r="P60" s="4" t="str">
        <f aca="false">IF(I60="","未揭露",IF(I60&gt;=0_條件與假設!$B$5,"✓","✗"))</f>
        <v>未揭露</v>
      </c>
      <c r="Q60" s="4" t="str">
        <f aca="false">IF(K60="","未提供",IF(K60&lt;=0_條件與假設!$B$6,"≤45萬",IF(K60&lt;=0_條件與假設!$B$7,"45～55萬","超過55萬")))</f>
        <v>≤45萬</v>
      </c>
      <c r="R60" s="28" t="s">
        <v>734</v>
      </c>
      <c r="S60" s="4"/>
      <c r="T60" s="23"/>
      <c r="U60" s="13"/>
      <c r="V60" s="4" t="str">
        <f aca="false">IF(U60="","未確認",IF(U60&lt;=0_條件與假設!$B$8,"✓",IF(U60&lt;=16,"△ 11～16分","✗")))</f>
        <v>未確認</v>
      </c>
      <c r="W60" s="4" t="s">
        <v>843</v>
      </c>
      <c r="X60" s="4"/>
      <c r="Y60" s="28" t="s">
        <v>496</v>
      </c>
      <c r="Z60" s="4" t="s">
        <v>736</v>
      </c>
      <c r="AA60" s="4" t="s">
        <v>454</v>
      </c>
      <c r="AB60" s="16" t="s">
        <v>737</v>
      </c>
      <c r="AC60" s="4" t="s">
        <v>738</v>
      </c>
      <c r="AD60" s="29" t="s">
        <v>844</v>
      </c>
      <c r="AE60" s="28" t="s">
        <v>431</v>
      </c>
      <c r="AF60" s="16" t="s">
        <v>86</v>
      </c>
    </row>
    <row r="61" customFormat="false" ht="48" hidden="false" customHeight="true" outlineLevel="0" collapsed="false">
      <c r="A61" s="12" t="s">
        <v>22</v>
      </c>
      <c r="B61" s="13" t="n">
        <v>60</v>
      </c>
      <c r="C61" s="16" t="s">
        <v>845</v>
      </c>
      <c r="D61" s="20" t="s">
        <v>846</v>
      </c>
      <c r="E61" s="4" t="s">
        <v>209</v>
      </c>
      <c r="F61" s="4" t="s">
        <v>847</v>
      </c>
      <c r="G61" s="16" t="s">
        <v>848</v>
      </c>
      <c r="H61" s="21" t="n">
        <v>224.18</v>
      </c>
      <c r="I61" s="26"/>
      <c r="J61" s="4" t="s">
        <v>732</v>
      </c>
      <c r="K61" s="23" t="n">
        <v>448000</v>
      </c>
      <c r="L61" s="16" t="s">
        <v>849</v>
      </c>
      <c r="M61" s="23" t="n">
        <v>32000</v>
      </c>
      <c r="N61" s="24" t="n">
        <f aca="false">IF(K61="","",K61+N(M61))</f>
        <v>480000</v>
      </c>
      <c r="O61" s="24" t="str">
        <f aca="false">IF(OR(I61="",N61=""),"",N61/I61)</f>
        <v/>
      </c>
      <c r="P61" s="4" t="str">
        <f aca="false">IF(I61="","未揭露",IF(I61&gt;=0_條件與假設!$B$5,"✓","✗"))</f>
        <v>未揭露</v>
      </c>
      <c r="Q61" s="4" t="str">
        <f aca="false">IF(K61="","未提供",IF(K61&lt;=0_條件與假設!$B$6,"≤45萬",IF(K61&lt;=0_條件與假設!$B$7,"45～55萬","超過55萬")))</f>
        <v>≤45萬</v>
      </c>
      <c r="R61" s="4" t="s">
        <v>316</v>
      </c>
      <c r="S61" s="4" t="s">
        <v>114</v>
      </c>
      <c r="T61" s="23" t="n">
        <v>260</v>
      </c>
      <c r="U61" s="13" t="n">
        <v>5</v>
      </c>
      <c r="V61" s="4" t="str">
        <f aca="false">IF(U61="","未確認",IF(U61&lt;=0_條件與假設!$B$8,"✓",IF(U61&lt;=16,"△ 11～16分","✗")))</f>
        <v>✓</v>
      </c>
      <c r="W61" s="4" t="s">
        <v>850</v>
      </c>
      <c r="X61" s="4"/>
      <c r="Y61" s="28" t="s">
        <v>496</v>
      </c>
      <c r="Z61" s="16" t="s">
        <v>851</v>
      </c>
      <c r="AA61" s="4" t="s">
        <v>852</v>
      </c>
      <c r="AB61" s="4" t="s">
        <v>667</v>
      </c>
      <c r="AC61" s="4" t="s">
        <v>853</v>
      </c>
      <c r="AD61" s="20" t="s">
        <v>854</v>
      </c>
      <c r="AE61" s="4" t="s">
        <v>855</v>
      </c>
      <c r="AF61" s="20" t="s">
        <v>91</v>
      </c>
    </row>
    <row r="62" customFormat="false" ht="48" hidden="false" customHeight="true" outlineLevel="0" collapsed="false">
      <c r="A62" s="12" t="s">
        <v>22</v>
      </c>
      <c r="B62" s="13" t="n">
        <v>61</v>
      </c>
      <c r="C62" s="16" t="s">
        <v>195</v>
      </c>
      <c r="D62" s="20" t="s">
        <v>196</v>
      </c>
      <c r="E62" s="4" t="s">
        <v>197</v>
      </c>
      <c r="F62" s="4" t="s">
        <v>198</v>
      </c>
      <c r="G62" s="16" t="s">
        <v>199</v>
      </c>
      <c r="H62" s="21" t="n">
        <v>303</v>
      </c>
      <c r="I62" s="26"/>
      <c r="J62" s="16" t="s">
        <v>856</v>
      </c>
      <c r="K62" s="23" t="n">
        <v>450000</v>
      </c>
      <c r="L62" s="16" t="s">
        <v>200</v>
      </c>
      <c r="M62" s="22"/>
      <c r="N62" s="27" t="n">
        <f aca="false">IF(K62="","",K62+N(M62))</f>
        <v>450000</v>
      </c>
      <c r="O62" s="24" t="str">
        <f aca="false">IF(OR(I62="",N62=""),"",N62/I62)</f>
        <v/>
      </c>
      <c r="P62" s="4" t="str">
        <f aca="false">IF(I62="","未揭露",IF(I62&gt;=0_條件與假設!$B$5,"✓","✗"))</f>
        <v>未揭露</v>
      </c>
      <c r="Q62" s="4" t="str">
        <f aca="false">IF(K62="","未提供",IF(K62&lt;=0_條件與假設!$B$6,"≤45萬",IF(K62&lt;=0_條件與假設!$B$7,"45～55萬","超過55萬")))</f>
        <v>≤45萬</v>
      </c>
      <c r="R62" s="4" t="s">
        <v>198</v>
      </c>
      <c r="S62" s="4" t="s">
        <v>83</v>
      </c>
      <c r="T62" s="23" t="n">
        <v>164</v>
      </c>
      <c r="U62" s="13" t="n">
        <v>3</v>
      </c>
      <c r="V62" s="4" t="str">
        <f aca="false">IF(U62="","未確認",IF(U62&lt;=0_條件與假設!$B$8,"✓",IF(U62&lt;=16,"△ 11～16分","✗")))</f>
        <v>✓</v>
      </c>
      <c r="W62" s="4" t="s">
        <v>206</v>
      </c>
      <c r="X62" s="28" t="s">
        <v>204</v>
      </c>
      <c r="Y62" s="28" t="s">
        <v>201</v>
      </c>
      <c r="Z62" s="4" t="s">
        <v>380</v>
      </c>
      <c r="AA62" s="4" t="s">
        <v>380</v>
      </c>
      <c r="AB62" s="16" t="s">
        <v>857</v>
      </c>
      <c r="AC62" s="4" t="s">
        <v>205</v>
      </c>
      <c r="AD62" s="29" t="s">
        <v>341</v>
      </c>
      <c r="AE62" s="28" t="s">
        <v>858</v>
      </c>
      <c r="AF62" s="20" t="s">
        <v>91</v>
      </c>
    </row>
    <row r="63" customFormat="false" ht="48" hidden="false" customHeight="true" outlineLevel="0" collapsed="false">
      <c r="A63" s="12" t="s">
        <v>22</v>
      </c>
      <c r="B63" s="13" t="n">
        <v>62</v>
      </c>
      <c r="C63" s="16" t="s">
        <v>859</v>
      </c>
      <c r="D63" s="20" t="s">
        <v>860</v>
      </c>
      <c r="E63" s="4" t="s">
        <v>209</v>
      </c>
      <c r="F63" s="4" t="s">
        <v>861</v>
      </c>
      <c r="G63" s="16" t="s">
        <v>862</v>
      </c>
      <c r="H63" s="21" t="n">
        <v>204</v>
      </c>
      <c r="I63" s="26"/>
      <c r="J63" s="4" t="s">
        <v>732</v>
      </c>
      <c r="K63" s="23" t="n">
        <v>469000</v>
      </c>
      <c r="L63" s="16" t="s">
        <v>863</v>
      </c>
      <c r="M63" s="22"/>
      <c r="N63" s="27" t="n">
        <f aca="false">IF(K63="","",K63+N(M63))</f>
        <v>469000</v>
      </c>
      <c r="O63" s="24" t="str">
        <f aca="false">IF(OR(I63="",N63=""),"",N63/I63)</f>
        <v/>
      </c>
      <c r="P63" s="4" t="str">
        <f aca="false">IF(I63="","未揭露",IF(I63&gt;=0_條件與假設!$B$5,"✓","✗"))</f>
        <v>未揭露</v>
      </c>
      <c r="Q63" s="4" t="str">
        <f aca="false">IF(K63="","未提供",IF(K63&lt;=0_條件與假設!$B$6,"≤45萬",IF(K63&lt;=0_條件與假設!$B$7,"45～55萬","超過55萬")))</f>
        <v>45～55萬</v>
      </c>
      <c r="R63" s="28" t="s">
        <v>734</v>
      </c>
      <c r="S63" s="4"/>
      <c r="T63" s="23"/>
      <c r="U63" s="13"/>
      <c r="V63" s="4" t="str">
        <f aca="false">IF(U63="","未確認",IF(U63&lt;=0_條件與假設!$B$8,"✓",IF(U63&lt;=16,"△ 11～16分","✗")))</f>
        <v>未確認</v>
      </c>
      <c r="W63" s="4" t="s">
        <v>217</v>
      </c>
      <c r="X63" s="4"/>
      <c r="Y63" s="28" t="s">
        <v>496</v>
      </c>
      <c r="Z63" s="16" t="s">
        <v>665</v>
      </c>
      <c r="AA63" s="4" t="s">
        <v>787</v>
      </c>
      <c r="AB63" s="16" t="s">
        <v>737</v>
      </c>
      <c r="AC63" s="4" t="s">
        <v>864</v>
      </c>
      <c r="AD63" s="29" t="s">
        <v>865</v>
      </c>
      <c r="AE63" s="28" t="s">
        <v>431</v>
      </c>
      <c r="AF63" s="16" t="s">
        <v>86</v>
      </c>
    </row>
    <row r="64" customFormat="false" ht="48" hidden="false" customHeight="true" outlineLevel="0" collapsed="false">
      <c r="A64" s="12" t="s">
        <v>22</v>
      </c>
      <c r="B64" s="13" t="n">
        <v>63</v>
      </c>
      <c r="C64" s="16" t="s">
        <v>207</v>
      </c>
      <c r="D64" s="20" t="s">
        <v>208</v>
      </c>
      <c r="E64" s="4" t="s">
        <v>209</v>
      </c>
      <c r="F64" s="4" t="s">
        <v>210</v>
      </c>
      <c r="G64" s="16" t="s">
        <v>211</v>
      </c>
      <c r="H64" s="21" t="n">
        <v>204</v>
      </c>
      <c r="I64" s="26"/>
      <c r="J64" s="16" t="s">
        <v>866</v>
      </c>
      <c r="K64" s="23" t="n">
        <v>469200</v>
      </c>
      <c r="L64" s="16" t="s">
        <v>212</v>
      </c>
      <c r="M64" s="22"/>
      <c r="N64" s="27" t="n">
        <f aca="false">IF(K64="","",K64+N(M64))</f>
        <v>469200</v>
      </c>
      <c r="O64" s="24" t="str">
        <f aca="false">IF(OR(I64="",N64=""),"",N64/I64)</f>
        <v/>
      </c>
      <c r="P64" s="4" t="str">
        <f aca="false">IF(I64="","未揭露",IF(I64&gt;=0_條件與假設!$B$5,"✓","✗"))</f>
        <v>未揭露</v>
      </c>
      <c r="Q64" s="4" t="str">
        <f aca="false">IF(K64="","未提供",IF(K64&lt;=0_條件與假設!$B$6,"≤45萬",IF(K64&lt;=0_條件與假設!$B$7,"45～55萬","超過55萬")))</f>
        <v>45～55萬</v>
      </c>
      <c r="R64" s="4" t="s">
        <v>213</v>
      </c>
      <c r="S64" s="4" t="s">
        <v>83</v>
      </c>
      <c r="T64" s="23" t="n">
        <v>760</v>
      </c>
      <c r="U64" s="13" t="n">
        <v>13</v>
      </c>
      <c r="V64" s="4" t="str">
        <f aca="false">IF(U64="","未確認",IF(U64&lt;=0_條件與假設!$B$8,"✓",IF(U64&lt;=16,"△ 11～16分","✗")))</f>
        <v>△ 11～16分</v>
      </c>
      <c r="W64" s="4" t="s">
        <v>217</v>
      </c>
      <c r="X64" s="28" t="s">
        <v>216</v>
      </c>
      <c r="Y64" s="28" t="s">
        <v>214</v>
      </c>
      <c r="Z64" s="4" t="s">
        <v>380</v>
      </c>
      <c r="AA64" s="4" t="s">
        <v>380</v>
      </c>
      <c r="AB64" s="16" t="s">
        <v>867</v>
      </c>
      <c r="AC64" s="4" t="s">
        <v>162</v>
      </c>
      <c r="AD64" s="29" t="s">
        <v>341</v>
      </c>
      <c r="AE64" s="28" t="s">
        <v>868</v>
      </c>
      <c r="AF64" s="20" t="s">
        <v>91</v>
      </c>
    </row>
    <row r="65" customFormat="false" ht="48" hidden="false" customHeight="true" outlineLevel="0" collapsed="false">
      <c r="A65" s="12" t="s">
        <v>22</v>
      </c>
      <c r="B65" s="13" t="n">
        <v>64</v>
      </c>
      <c r="C65" s="16" t="s">
        <v>218</v>
      </c>
      <c r="D65" s="20" t="s">
        <v>219</v>
      </c>
      <c r="E65" s="4" t="s">
        <v>122</v>
      </c>
      <c r="F65" s="4" t="s">
        <v>220</v>
      </c>
      <c r="G65" s="16" t="s">
        <v>156</v>
      </c>
      <c r="H65" s="21" t="n">
        <v>195</v>
      </c>
      <c r="I65" s="26"/>
      <c r="J65" s="16" t="s">
        <v>869</v>
      </c>
      <c r="K65" s="23" t="n">
        <v>470925</v>
      </c>
      <c r="L65" s="16" t="s">
        <v>221</v>
      </c>
      <c r="M65" s="22"/>
      <c r="N65" s="27" t="n">
        <f aca="false">IF(K65="","",K65+N(M65))</f>
        <v>470925</v>
      </c>
      <c r="O65" s="24" t="str">
        <f aca="false">IF(OR(I65="",N65=""),"",N65/I65)</f>
        <v/>
      </c>
      <c r="P65" s="4" t="str">
        <f aca="false">IF(I65="","未揭露",IF(I65&gt;=0_條件與假設!$B$5,"✓","✗"))</f>
        <v>未揭露</v>
      </c>
      <c r="Q65" s="4" t="str">
        <f aca="false">IF(K65="","未提供",IF(K65&lt;=0_條件與假設!$B$6,"≤45萬",IF(K65&lt;=0_條件與假設!$B$7,"45～55萬","超過55萬")))</f>
        <v>45～55萬</v>
      </c>
      <c r="R65" s="4" t="s">
        <v>222</v>
      </c>
      <c r="S65" s="4" t="s">
        <v>100</v>
      </c>
      <c r="T65" s="23" t="n">
        <v>180</v>
      </c>
      <c r="U65" s="13" t="n">
        <v>3</v>
      </c>
      <c r="V65" s="4" t="str">
        <f aca="false">IF(U65="","未確認",IF(U65&lt;=0_條件與假設!$B$8,"✓",IF(U65&lt;=16,"△ 11～16分","✗")))</f>
        <v>✓</v>
      </c>
      <c r="W65" s="4" t="s">
        <v>227</v>
      </c>
      <c r="X65" s="28" t="s">
        <v>225</v>
      </c>
      <c r="Y65" s="28" t="s">
        <v>223</v>
      </c>
      <c r="Z65" s="4" t="s">
        <v>380</v>
      </c>
      <c r="AA65" s="4" t="s">
        <v>454</v>
      </c>
      <c r="AB65" s="16" t="s">
        <v>870</v>
      </c>
      <c r="AC65" s="4" t="s">
        <v>226</v>
      </c>
      <c r="AD65" s="29" t="s">
        <v>341</v>
      </c>
      <c r="AE65" s="28" t="s">
        <v>871</v>
      </c>
      <c r="AF65" s="20" t="s">
        <v>91</v>
      </c>
    </row>
    <row r="66" customFormat="false" ht="48" hidden="false" customHeight="true" outlineLevel="0" collapsed="false">
      <c r="A66" s="12" t="s">
        <v>22</v>
      </c>
      <c r="B66" s="13" t="n">
        <v>65</v>
      </c>
      <c r="C66" s="16" t="s">
        <v>872</v>
      </c>
      <c r="D66" s="20" t="s">
        <v>873</v>
      </c>
      <c r="E66" s="4" t="s">
        <v>95</v>
      </c>
      <c r="F66" s="4" t="s">
        <v>874</v>
      </c>
      <c r="G66" s="16" t="s">
        <v>875</v>
      </c>
      <c r="H66" s="21" t="n">
        <v>225</v>
      </c>
      <c r="I66" s="26"/>
      <c r="J66" s="4" t="s">
        <v>732</v>
      </c>
      <c r="K66" s="23" t="n">
        <v>472500</v>
      </c>
      <c r="L66" s="16" t="s">
        <v>876</v>
      </c>
      <c r="M66" s="22"/>
      <c r="N66" s="27" t="n">
        <f aca="false">IF(K66="","",K66+N(M66))</f>
        <v>472500</v>
      </c>
      <c r="O66" s="24" t="str">
        <f aca="false">IF(OR(I66="",N66=""),"",N66/I66)</f>
        <v/>
      </c>
      <c r="P66" s="4" t="str">
        <f aca="false">IF(I66="","未揭露",IF(I66&gt;=0_條件與假設!$B$5,"✓","✗"))</f>
        <v>未揭露</v>
      </c>
      <c r="Q66" s="4" t="str">
        <f aca="false">IF(K66="","未提供",IF(K66&lt;=0_條件與假設!$B$6,"≤45萬",IF(K66&lt;=0_條件與假設!$B$7,"45～55萬","超過55萬")))</f>
        <v>45～55萬</v>
      </c>
      <c r="R66" s="4" t="s">
        <v>99</v>
      </c>
      <c r="S66" s="4" t="s">
        <v>100</v>
      </c>
      <c r="T66" s="23" t="n">
        <v>780</v>
      </c>
      <c r="U66" s="13" t="n">
        <v>13</v>
      </c>
      <c r="V66" s="4" t="str">
        <f aca="false">IF(U66="","未確認",IF(U66&lt;=0_條件與假設!$B$8,"✓",IF(U66&lt;=16,"△ 11～16分","✗")))</f>
        <v>△ 11～16分</v>
      </c>
      <c r="W66" s="4" t="s">
        <v>877</v>
      </c>
      <c r="X66" s="4"/>
      <c r="Y66" s="28" t="s">
        <v>496</v>
      </c>
      <c r="Z66" s="4" t="s">
        <v>736</v>
      </c>
      <c r="AA66" s="4" t="s">
        <v>736</v>
      </c>
      <c r="AB66" s="4" t="s">
        <v>634</v>
      </c>
      <c r="AC66" s="4" t="s">
        <v>265</v>
      </c>
      <c r="AD66" s="20" t="s">
        <v>878</v>
      </c>
      <c r="AE66" s="28" t="s">
        <v>879</v>
      </c>
      <c r="AF66" s="20" t="s">
        <v>91</v>
      </c>
    </row>
    <row r="67" customFormat="false" ht="48" hidden="false" customHeight="true" outlineLevel="0" collapsed="false">
      <c r="A67" s="12" t="s">
        <v>22</v>
      </c>
      <c r="B67" s="13" t="n">
        <v>66</v>
      </c>
      <c r="C67" s="16" t="s">
        <v>880</v>
      </c>
      <c r="D67" s="20" t="s">
        <v>881</v>
      </c>
      <c r="E67" s="4" t="s">
        <v>122</v>
      </c>
      <c r="F67" s="4" t="s">
        <v>882</v>
      </c>
      <c r="G67" s="16" t="s">
        <v>883</v>
      </c>
      <c r="H67" s="21" t="n">
        <v>205</v>
      </c>
      <c r="I67" s="26"/>
      <c r="J67" s="4" t="s">
        <v>732</v>
      </c>
      <c r="K67" s="23" t="n">
        <v>486465</v>
      </c>
      <c r="L67" s="16" t="s">
        <v>884</v>
      </c>
      <c r="M67" s="22"/>
      <c r="N67" s="27" t="n">
        <f aca="false">IF(K67="","",K67+N(M67))</f>
        <v>486465</v>
      </c>
      <c r="O67" s="24" t="str">
        <f aca="false">IF(OR(I67="",N67=""),"",N67/I67)</f>
        <v/>
      </c>
      <c r="P67" s="4" t="str">
        <f aca="false">IF(I67="","未揭露",IF(I67&gt;=0_條件與假設!$B$5,"✓","✗"))</f>
        <v>未揭露</v>
      </c>
      <c r="Q67" s="4" t="str">
        <f aca="false">IF(K67="","未提供",IF(K67&lt;=0_條件與假設!$B$6,"≤45萬",IF(K67&lt;=0_條件與假設!$B$7,"45～55萬","超過55萬")))</f>
        <v>45～55萬</v>
      </c>
      <c r="R67" s="4" t="s">
        <v>233</v>
      </c>
      <c r="S67" s="4" t="s">
        <v>100</v>
      </c>
      <c r="T67" s="23" t="n">
        <v>620</v>
      </c>
      <c r="U67" s="13" t="n">
        <v>11</v>
      </c>
      <c r="V67" s="4" t="str">
        <f aca="false">IF(U67="","未確認",IF(U67&lt;=0_條件與假設!$B$8,"✓",IF(U67&lt;=16,"△ 11～16分","✗")))</f>
        <v>△ 11～16分</v>
      </c>
      <c r="W67" s="4" t="s">
        <v>735</v>
      </c>
      <c r="X67" s="4"/>
      <c r="Y67" s="28" t="s">
        <v>496</v>
      </c>
      <c r="Z67" s="4" t="s">
        <v>736</v>
      </c>
      <c r="AA67" s="4" t="s">
        <v>736</v>
      </c>
      <c r="AB67" s="4" t="s">
        <v>634</v>
      </c>
      <c r="AC67" s="4" t="s">
        <v>265</v>
      </c>
      <c r="AD67" s="20" t="s">
        <v>836</v>
      </c>
      <c r="AE67" s="28" t="s">
        <v>885</v>
      </c>
      <c r="AF67" s="20" t="s">
        <v>91</v>
      </c>
    </row>
    <row r="68" customFormat="false" ht="48" hidden="false" customHeight="true" outlineLevel="0" collapsed="false">
      <c r="A68" s="12" t="s">
        <v>22</v>
      </c>
      <c r="B68" s="13" t="n">
        <v>67</v>
      </c>
      <c r="C68" s="16" t="s">
        <v>886</v>
      </c>
      <c r="D68" s="20" t="s">
        <v>887</v>
      </c>
      <c r="E68" s="4" t="s">
        <v>122</v>
      </c>
      <c r="F68" s="4" t="s">
        <v>882</v>
      </c>
      <c r="G68" s="16" t="s">
        <v>888</v>
      </c>
      <c r="H68" s="21" t="n">
        <v>205</v>
      </c>
      <c r="I68" s="26"/>
      <c r="J68" s="4" t="s">
        <v>732</v>
      </c>
      <c r="K68" s="23" t="n">
        <v>486465</v>
      </c>
      <c r="L68" s="16" t="s">
        <v>884</v>
      </c>
      <c r="M68" s="22"/>
      <c r="N68" s="27" t="n">
        <f aca="false">IF(K68="","",K68+N(M68))</f>
        <v>486465</v>
      </c>
      <c r="O68" s="24" t="str">
        <f aca="false">IF(OR(I68="",N68=""),"",N68/I68)</f>
        <v/>
      </c>
      <c r="P68" s="4" t="str">
        <f aca="false">IF(I68="","未揭露",IF(I68&gt;=0_條件與假設!$B$5,"✓","✗"))</f>
        <v>未揭露</v>
      </c>
      <c r="Q68" s="4" t="str">
        <f aca="false">IF(K68="","未提供",IF(K68&lt;=0_條件與假設!$B$6,"≤45萬",IF(K68&lt;=0_條件與假設!$B$7,"45～55萬","超過55萬")))</f>
        <v>45～55萬</v>
      </c>
      <c r="R68" s="4" t="s">
        <v>233</v>
      </c>
      <c r="S68" s="4" t="s">
        <v>100</v>
      </c>
      <c r="T68" s="23" t="n">
        <v>620</v>
      </c>
      <c r="U68" s="13" t="n">
        <v>11</v>
      </c>
      <c r="V68" s="4" t="str">
        <f aca="false">IF(U68="","未確認",IF(U68&lt;=0_條件與假設!$B$8,"✓",IF(U68&lt;=16,"△ 11～16分","✗")))</f>
        <v>△ 11～16分</v>
      </c>
      <c r="W68" s="4" t="s">
        <v>735</v>
      </c>
      <c r="X68" s="4"/>
      <c r="Y68" s="28" t="s">
        <v>496</v>
      </c>
      <c r="Z68" s="4" t="s">
        <v>736</v>
      </c>
      <c r="AA68" s="4" t="s">
        <v>736</v>
      </c>
      <c r="AB68" s="4" t="s">
        <v>634</v>
      </c>
      <c r="AC68" s="4" t="s">
        <v>265</v>
      </c>
      <c r="AD68" s="20" t="s">
        <v>836</v>
      </c>
      <c r="AE68" s="28" t="s">
        <v>885</v>
      </c>
      <c r="AF68" s="20" t="s">
        <v>91</v>
      </c>
    </row>
    <row r="69" customFormat="false" ht="48" hidden="false" customHeight="true" outlineLevel="0" collapsed="false">
      <c r="A69" s="12" t="s">
        <v>22</v>
      </c>
      <c r="B69" s="13" t="n">
        <v>68</v>
      </c>
      <c r="C69" s="16" t="s">
        <v>889</v>
      </c>
      <c r="D69" s="20" t="s">
        <v>890</v>
      </c>
      <c r="E69" s="4" t="s">
        <v>95</v>
      </c>
      <c r="F69" s="4" t="s">
        <v>891</v>
      </c>
      <c r="G69" s="16" t="s">
        <v>892</v>
      </c>
      <c r="H69" s="21" t="n">
        <v>204</v>
      </c>
      <c r="I69" s="26"/>
      <c r="J69" s="4" t="s">
        <v>732</v>
      </c>
      <c r="K69" s="23" t="n">
        <v>490245</v>
      </c>
      <c r="L69" s="16" t="s">
        <v>893</v>
      </c>
      <c r="M69" s="23" t="n">
        <v>22330</v>
      </c>
      <c r="N69" s="24" t="n">
        <f aca="false">IF(K69="","",K69+N(M69))</f>
        <v>512575</v>
      </c>
      <c r="O69" s="24" t="str">
        <f aca="false">IF(OR(I69="",N69=""),"",N69/I69)</f>
        <v/>
      </c>
      <c r="P69" s="4" t="str">
        <f aca="false">IF(I69="","未揭露",IF(I69&gt;=0_條件與假設!$B$5,"✓","✗"))</f>
        <v>未揭露</v>
      </c>
      <c r="Q69" s="4" t="str">
        <f aca="false">IF(K69="","未提供",IF(K69&lt;=0_條件與假設!$B$6,"≤45萬",IF(K69&lt;=0_條件與假設!$B$7,"45～55萬","超過55萬")))</f>
        <v>45～55萬</v>
      </c>
      <c r="R69" s="4" t="s">
        <v>425</v>
      </c>
      <c r="S69" s="4" t="s">
        <v>426</v>
      </c>
      <c r="T69" s="23" t="n">
        <v>390</v>
      </c>
      <c r="U69" s="13" t="n">
        <v>7</v>
      </c>
      <c r="V69" s="4" t="str">
        <f aca="false">IF(U69="","未確認",IF(U69&lt;=0_條件與假設!$B$8,"✓",IF(U69&lt;=16,"△ 11～16分","✗")))</f>
        <v>✓</v>
      </c>
      <c r="W69" s="4" t="s">
        <v>217</v>
      </c>
      <c r="X69" s="4"/>
      <c r="Y69" s="28" t="s">
        <v>496</v>
      </c>
      <c r="Z69" s="16" t="s">
        <v>894</v>
      </c>
      <c r="AA69" s="4" t="s">
        <v>736</v>
      </c>
      <c r="AB69" s="4" t="s">
        <v>634</v>
      </c>
      <c r="AC69" s="4" t="s">
        <v>265</v>
      </c>
      <c r="AD69" s="20" t="s">
        <v>895</v>
      </c>
      <c r="AE69" s="28" t="s">
        <v>837</v>
      </c>
      <c r="AF69" s="20" t="s">
        <v>91</v>
      </c>
    </row>
    <row r="70" customFormat="false" ht="48" hidden="false" customHeight="true" outlineLevel="0" collapsed="false">
      <c r="A70" s="12" t="s">
        <v>22</v>
      </c>
      <c r="B70" s="13" t="n">
        <v>69</v>
      </c>
      <c r="C70" s="16" t="s">
        <v>896</v>
      </c>
      <c r="D70" s="20" t="s">
        <v>897</v>
      </c>
      <c r="E70" s="4" t="s">
        <v>95</v>
      </c>
      <c r="F70" s="4" t="s">
        <v>898</v>
      </c>
      <c r="G70" s="16" t="s">
        <v>899</v>
      </c>
      <c r="H70" s="21" t="n">
        <v>203</v>
      </c>
      <c r="I70" s="26"/>
      <c r="J70" s="4" t="s">
        <v>732</v>
      </c>
      <c r="K70" s="23" t="n">
        <v>490245</v>
      </c>
      <c r="L70" s="16" t="s">
        <v>893</v>
      </c>
      <c r="M70" s="23" t="n">
        <v>22330</v>
      </c>
      <c r="N70" s="24" t="n">
        <f aca="false">IF(K70="","",K70+N(M70))</f>
        <v>512575</v>
      </c>
      <c r="O70" s="24" t="str">
        <f aca="false">IF(OR(I70="",N70=""),"",N70/I70)</f>
        <v/>
      </c>
      <c r="P70" s="4" t="str">
        <f aca="false">IF(I70="","未揭露",IF(I70&gt;=0_條件與假設!$B$5,"✓","✗"))</f>
        <v>未揭露</v>
      </c>
      <c r="Q70" s="4" t="str">
        <f aca="false">IF(K70="","未提供",IF(K70&lt;=0_條件與假設!$B$6,"≤45萬",IF(K70&lt;=0_條件與假設!$B$7,"45～55萬","超過55萬")))</f>
        <v>45～55萬</v>
      </c>
      <c r="R70" s="4" t="s">
        <v>425</v>
      </c>
      <c r="S70" s="4" t="s">
        <v>426</v>
      </c>
      <c r="T70" s="23" t="n">
        <v>390</v>
      </c>
      <c r="U70" s="13" t="n">
        <v>7</v>
      </c>
      <c r="V70" s="4" t="str">
        <f aca="false">IF(U70="","未確認",IF(U70&lt;=0_條件與假設!$B$8,"✓",IF(U70&lt;=16,"△ 11～16分","✗")))</f>
        <v>✓</v>
      </c>
      <c r="W70" s="4" t="s">
        <v>900</v>
      </c>
      <c r="X70" s="4"/>
      <c r="Y70" s="28" t="s">
        <v>496</v>
      </c>
      <c r="Z70" s="16" t="s">
        <v>894</v>
      </c>
      <c r="AA70" s="4" t="s">
        <v>679</v>
      </c>
      <c r="AB70" s="16" t="s">
        <v>737</v>
      </c>
      <c r="AC70" s="4" t="s">
        <v>901</v>
      </c>
      <c r="AD70" s="29" t="s">
        <v>902</v>
      </c>
      <c r="AE70" s="28" t="s">
        <v>903</v>
      </c>
      <c r="AF70" s="20" t="s">
        <v>91</v>
      </c>
    </row>
    <row r="71" customFormat="false" ht="48" hidden="false" customHeight="true" outlineLevel="0" collapsed="false">
      <c r="A71" s="12" t="s">
        <v>22</v>
      </c>
      <c r="B71" s="13" t="n">
        <v>70</v>
      </c>
      <c r="C71" s="16" t="s">
        <v>904</v>
      </c>
      <c r="D71" s="20" t="s">
        <v>905</v>
      </c>
      <c r="E71" s="4" t="s">
        <v>209</v>
      </c>
      <c r="F71" s="4" t="s">
        <v>906</v>
      </c>
      <c r="G71" s="16" t="s">
        <v>892</v>
      </c>
      <c r="H71" s="21" t="n">
        <v>214</v>
      </c>
      <c r="I71" s="26"/>
      <c r="J71" s="4" t="s">
        <v>732</v>
      </c>
      <c r="K71" s="23" t="n">
        <v>494340</v>
      </c>
      <c r="L71" s="16" t="s">
        <v>907</v>
      </c>
      <c r="M71" s="22"/>
      <c r="N71" s="27" t="n">
        <f aca="false">IF(K71="","",K71+N(M71))</f>
        <v>494340</v>
      </c>
      <c r="O71" s="24" t="str">
        <f aca="false">IF(OR(I71="",N71=""),"",N71/I71)</f>
        <v/>
      </c>
      <c r="P71" s="4" t="str">
        <f aca="false">IF(I71="","未揭露",IF(I71&gt;=0_條件與假設!$B$5,"✓","✗"))</f>
        <v>未揭露</v>
      </c>
      <c r="Q71" s="4" t="str">
        <f aca="false">IF(K71="","未提供",IF(K71&lt;=0_條件與假設!$B$6,"≤45萬",IF(K71&lt;=0_條件與假設!$B$7,"45～55萬","超過55萬")))</f>
        <v>45～55萬</v>
      </c>
      <c r="R71" s="4" t="s">
        <v>316</v>
      </c>
      <c r="S71" s="4" t="s">
        <v>114</v>
      </c>
      <c r="T71" s="23" t="n">
        <v>260</v>
      </c>
      <c r="U71" s="13" t="n">
        <v>5</v>
      </c>
      <c r="V71" s="4" t="str">
        <f aca="false">IF(U71="","未確認",IF(U71&lt;=0_條件與假設!$B$8,"✓",IF(U71&lt;=16,"△ 11～16分","✗")))</f>
        <v>✓</v>
      </c>
      <c r="W71" s="4" t="s">
        <v>908</v>
      </c>
      <c r="X71" s="4"/>
      <c r="Y71" s="28" t="s">
        <v>496</v>
      </c>
      <c r="Z71" s="16" t="s">
        <v>611</v>
      </c>
      <c r="AA71" s="4" t="s">
        <v>736</v>
      </c>
      <c r="AB71" s="4" t="s">
        <v>634</v>
      </c>
      <c r="AC71" s="4" t="s">
        <v>265</v>
      </c>
      <c r="AD71" s="20" t="s">
        <v>909</v>
      </c>
      <c r="AE71" s="4" t="s">
        <v>855</v>
      </c>
      <c r="AF71" s="20" t="s">
        <v>91</v>
      </c>
    </row>
    <row r="72" customFormat="false" ht="48" hidden="false" customHeight="true" outlineLevel="0" collapsed="false">
      <c r="A72" s="12" t="s">
        <v>22</v>
      </c>
      <c r="B72" s="13" t="n">
        <v>71</v>
      </c>
      <c r="C72" s="16" t="s">
        <v>228</v>
      </c>
      <c r="D72" s="20" t="s">
        <v>229</v>
      </c>
      <c r="E72" s="4" t="s">
        <v>95</v>
      </c>
      <c r="F72" s="4" t="s">
        <v>230</v>
      </c>
      <c r="G72" s="16" t="s">
        <v>231</v>
      </c>
      <c r="H72" s="21" t="n">
        <v>209.16</v>
      </c>
      <c r="I72" s="26"/>
      <c r="J72" s="16" t="s">
        <v>910</v>
      </c>
      <c r="K72" s="23" t="n">
        <v>501984</v>
      </c>
      <c r="L72" s="16" t="s">
        <v>232</v>
      </c>
      <c r="M72" s="22"/>
      <c r="N72" s="27" t="n">
        <f aca="false">IF(K72="","",K72+N(M72))</f>
        <v>501984</v>
      </c>
      <c r="O72" s="24" t="str">
        <f aca="false">IF(OR(I72="",N72=""),"",N72/I72)</f>
        <v/>
      </c>
      <c r="P72" s="4" t="str">
        <f aca="false">IF(I72="","未揭露",IF(I72&gt;=0_條件與假設!$B$5,"✓","✗"))</f>
        <v>未揭露</v>
      </c>
      <c r="Q72" s="4" t="str">
        <f aca="false">IF(K72="","未提供",IF(K72&lt;=0_條件與假設!$B$6,"≤45萬",IF(K72&lt;=0_條件與假設!$B$7,"45～55萬","超過55萬")))</f>
        <v>45～55萬</v>
      </c>
      <c r="R72" s="4" t="s">
        <v>233</v>
      </c>
      <c r="S72" s="4" t="s">
        <v>100</v>
      </c>
      <c r="T72" s="23" t="n">
        <v>175</v>
      </c>
      <c r="U72" s="13" t="n">
        <v>3</v>
      </c>
      <c r="V72" s="4" t="str">
        <f aca="false">IF(U72="","未確認",IF(U72&lt;=0_條件與假設!$B$8,"✓",IF(U72&lt;=16,"△ 11～16分","✗")))</f>
        <v>✓</v>
      </c>
      <c r="W72" s="4" t="s">
        <v>237</v>
      </c>
      <c r="X72" s="28" t="s">
        <v>236</v>
      </c>
      <c r="Y72" s="28" t="s">
        <v>234</v>
      </c>
      <c r="Z72" s="4" t="s">
        <v>380</v>
      </c>
      <c r="AA72" s="4" t="s">
        <v>380</v>
      </c>
      <c r="AB72" s="16" t="s">
        <v>911</v>
      </c>
      <c r="AC72" s="4" t="s">
        <v>226</v>
      </c>
      <c r="AD72" s="29" t="s">
        <v>341</v>
      </c>
      <c r="AE72" s="28" t="s">
        <v>912</v>
      </c>
      <c r="AF72" s="20" t="s">
        <v>91</v>
      </c>
    </row>
    <row r="73" customFormat="false" ht="48" hidden="false" customHeight="true" outlineLevel="0" collapsed="false">
      <c r="A73" s="12" t="s">
        <v>22</v>
      </c>
      <c r="B73" s="13" t="n">
        <v>72</v>
      </c>
      <c r="C73" s="16" t="s">
        <v>913</v>
      </c>
      <c r="D73" s="20" t="s">
        <v>914</v>
      </c>
      <c r="E73" s="4" t="s">
        <v>95</v>
      </c>
      <c r="F73" s="4" t="s">
        <v>915</v>
      </c>
      <c r="G73" s="16" t="s">
        <v>260</v>
      </c>
      <c r="H73" s="21" t="n">
        <v>210</v>
      </c>
      <c r="I73" s="26"/>
      <c r="J73" s="4" t="s">
        <v>732</v>
      </c>
      <c r="K73" s="23" t="n">
        <v>507150</v>
      </c>
      <c r="L73" s="16" t="s">
        <v>916</v>
      </c>
      <c r="M73" s="22"/>
      <c r="N73" s="27" t="n">
        <f aca="false">IF(K73="","",K73+N(M73))</f>
        <v>507150</v>
      </c>
      <c r="O73" s="24" t="str">
        <f aca="false">IF(OR(I73="",N73=""),"",N73/I73)</f>
        <v/>
      </c>
      <c r="P73" s="4" t="str">
        <f aca="false">IF(I73="","未揭露",IF(I73&gt;=0_條件與假設!$B$5,"✓","✗"))</f>
        <v>未揭露</v>
      </c>
      <c r="Q73" s="4" t="str">
        <f aca="false">IF(K73="","未提供",IF(K73&lt;=0_條件與假設!$B$6,"≤45萬",IF(K73&lt;=0_條件與假設!$B$7,"45～55萬","超過55萬")))</f>
        <v>45～55萬</v>
      </c>
      <c r="R73" s="4" t="s">
        <v>233</v>
      </c>
      <c r="S73" s="4" t="s">
        <v>100</v>
      </c>
      <c r="T73" s="23" t="n">
        <v>320</v>
      </c>
      <c r="U73" s="13" t="n">
        <v>6</v>
      </c>
      <c r="V73" s="4" t="str">
        <f aca="false">IF(U73="","未確認",IF(U73&lt;=0_條件與假設!$B$8,"✓",IF(U73&lt;=16,"△ 11～16分","✗")))</f>
        <v>✓</v>
      </c>
      <c r="W73" s="4" t="s">
        <v>917</v>
      </c>
      <c r="X73" s="4"/>
      <c r="Y73" s="28" t="s">
        <v>496</v>
      </c>
      <c r="Z73" s="4" t="s">
        <v>736</v>
      </c>
      <c r="AA73" s="4" t="s">
        <v>736</v>
      </c>
      <c r="AB73" s="4" t="s">
        <v>634</v>
      </c>
      <c r="AC73" s="4" t="s">
        <v>265</v>
      </c>
      <c r="AD73" s="20" t="s">
        <v>828</v>
      </c>
      <c r="AE73" s="28" t="s">
        <v>918</v>
      </c>
      <c r="AF73" s="20" t="s">
        <v>91</v>
      </c>
    </row>
    <row r="74" customFormat="false" ht="48" hidden="false" customHeight="true" outlineLevel="0" collapsed="false">
      <c r="A74" s="12" t="s">
        <v>22</v>
      </c>
      <c r="B74" s="13" t="n">
        <v>73</v>
      </c>
      <c r="C74" s="16" t="s">
        <v>238</v>
      </c>
      <c r="D74" s="20" t="s">
        <v>239</v>
      </c>
      <c r="E74" s="4" t="s">
        <v>122</v>
      </c>
      <c r="F74" s="4" t="s">
        <v>220</v>
      </c>
      <c r="G74" s="16" t="s">
        <v>97</v>
      </c>
      <c r="H74" s="21" t="n">
        <v>221</v>
      </c>
      <c r="I74" s="26"/>
      <c r="J74" s="16" t="s">
        <v>919</v>
      </c>
      <c r="K74" s="23" t="n">
        <v>508300</v>
      </c>
      <c r="L74" s="16" t="s">
        <v>240</v>
      </c>
      <c r="M74" s="22"/>
      <c r="N74" s="27" t="n">
        <f aca="false">IF(K74="","",K74+N(M74))</f>
        <v>508300</v>
      </c>
      <c r="O74" s="24" t="str">
        <f aca="false">IF(OR(I74="",N74=""),"",N74/I74)</f>
        <v/>
      </c>
      <c r="P74" s="4" t="str">
        <f aca="false">IF(I74="","未揭露",IF(I74&gt;=0_條件與假設!$B$5,"✓","✗"))</f>
        <v>未揭露</v>
      </c>
      <c r="Q74" s="4" t="str">
        <f aca="false">IF(K74="","未提供",IF(K74&lt;=0_條件與假設!$B$6,"≤45萬",IF(K74&lt;=0_條件與假設!$B$7,"45～55萬","超過55萬")))</f>
        <v>45～55萬</v>
      </c>
      <c r="R74" s="4" t="s">
        <v>222</v>
      </c>
      <c r="S74" s="4" t="s">
        <v>100</v>
      </c>
      <c r="T74" s="23" t="n">
        <v>94</v>
      </c>
      <c r="U74" s="13" t="n">
        <v>2</v>
      </c>
      <c r="V74" s="4" t="str">
        <f aca="false">IF(U74="","未確認",IF(U74&lt;=0_條件與假設!$B$8,"✓",IF(U74&lt;=16,"△ 11～16分","✗")))</f>
        <v>✓</v>
      </c>
      <c r="W74" s="4" t="s">
        <v>245</v>
      </c>
      <c r="X74" s="28" t="s">
        <v>243</v>
      </c>
      <c r="Y74" s="28" t="s">
        <v>241</v>
      </c>
      <c r="Z74" s="4" t="s">
        <v>380</v>
      </c>
      <c r="AA74" s="4" t="s">
        <v>454</v>
      </c>
      <c r="AB74" s="16" t="s">
        <v>920</v>
      </c>
      <c r="AC74" s="16" t="s">
        <v>244</v>
      </c>
      <c r="AD74" s="29" t="s">
        <v>341</v>
      </c>
      <c r="AE74" s="28" t="s">
        <v>921</v>
      </c>
      <c r="AF74" s="20" t="s">
        <v>91</v>
      </c>
    </row>
    <row r="75" customFormat="false" ht="48" hidden="false" customHeight="true" outlineLevel="0" collapsed="false">
      <c r="A75" s="12" t="s">
        <v>22</v>
      </c>
      <c r="B75" s="13" t="n">
        <v>74</v>
      </c>
      <c r="C75" s="16" t="s">
        <v>922</v>
      </c>
      <c r="D75" s="20" t="s">
        <v>923</v>
      </c>
      <c r="E75" s="4" t="s">
        <v>95</v>
      </c>
      <c r="F75" s="4" t="s">
        <v>924</v>
      </c>
      <c r="G75" s="16" t="s">
        <v>766</v>
      </c>
      <c r="H75" s="21" t="n">
        <v>306.48</v>
      </c>
      <c r="I75" s="26"/>
      <c r="J75" s="16" t="s">
        <v>925</v>
      </c>
      <c r="K75" s="23" t="n">
        <v>509100</v>
      </c>
      <c r="L75" s="16" t="s">
        <v>926</v>
      </c>
      <c r="M75" s="22"/>
      <c r="N75" s="27" t="n">
        <f aca="false">IF(K75="","",K75+N(M75))</f>
        <v>509100</v>
      </c>
      <c r="O75" s="24" t="str">
        <f aca="false">IF(OR(I75="",N75=""),"",N75/I75)</f>
        <v/>
      </c>
      <c r="P75" s="4" t="str">
        <f aca="false">IF(I75="","未揭露",IF(I75&gt;=0_條件與假設!$B$5,"✓","✗"))</f>
        <v>未揭露</v>
      </c>
      <c r="Q75" s="4" t="str">
        <f aca="false">IF(K75="","未提供",IF(K75&lt;=0_條件與假設!$B$6,"≤45萬",IF(K75&lt;=0_條件與假設!$B$7,"45～55萬","超過55萬")))</f>
        <v>45～55萬</v>
      </c>
      <c r="R75" s="28" t="s">
        <v>927</v>
      </c>
      <c r="S75" s="4"/>
      <c r="T75" s="23"/>
      <c r="U75" s="13"/>
      <c r="V75" s="4" t="str">
        <f aca="false">IF(U75="","未確認",IF(U75&lt;=0_條件與假設!$B$8,"✓",IF(U75&lt;=16,"△ 11～16分","✗")))</f>
        <v>未確認</v>
      </c>
      <c r="W75" s="4" t="s">
        <v>928</v>
      </c>
      <c r="X75" s="28" t="s">
        <v>755</v>
      </c>
      <c r="Y75" s="28" t="s">
        <v>496</v>
      </c>
      <c r="Z75" s="4" t="s">
        <v>380</v>
      </c>
      <c r="AA75" s="4" t="s">
        <v>380</v>
      </c>
      <c r="AB75" s="16" t="s">
        <v>929</v>
      </c>
      <c r="AC75" s="4" t="s">
        <v>930</v>
      </c>
      <c r="AD75" s="29" t="s">
        <v>341</v>
      </c>
      <c r="AE75" s="28" t="s">
        <v>431</v>
      </c>
      <c r="AF75" s="16" t="s">
        <v>86</v>
      </c>
    </row>
    <row r="76" customFormat="false" ht="48" hidden="false" customHeight="true" outlineLevel="0" collapsed="false">
      <c r="A76" s="12" t="s">
        <v>22</v>
      </c>
      <c r="B76" s="13" t="n">
        <v>75</v>
      </c>
      <c r="C76" s="16" t="s">
        <v>931</v>
      </c>
      <c r="D76" s="20" t="s">
        <v>932</v>
      </c>
      <c r="E76" s="4" t="s">
        <v>122</v>
      </c>
      <c r="F76" s="4" t="s">
        <v>933</v>
      </c>
      <c r="G76" s="16" t="s">
        <v>260</v>
      </c>
      <c r="H76" s="21" t="n">
        <v>226</v>
      </c>
      <c r="I76" s="26"/>
      <c r="J76" s="4" t="s">
        <v>732</v>
      </c>
      <c r="K76" s="23" t="n">
        <v>522375</v>
      </c>
      <c r="L76" s="16" t="s">
        <v>934</v>
      </c>
      <c r="M76" s="22"/>
      <c r="N76" s="27" t="n">
        <f aca="false">IF(K76="","",K76+N(M76))</f>
        <v>522375</v>
      </c>
      <c r="O76" s="24" t="str">
        <f aca="false">IF(OR(I76="",N76=""),"",N76/I76)</f>
        <v/>
      </c>
      <c r="P76" s="4" t="str">
        <f aca="false">IF(I76="","未揭露",IF(I76&gt;=0_條件與假設!$B$5,"✓","✗"))</f>
        <v>未揭露</v>
      </c>
      <c r="Q76" s="4" t="str">
        <f aca="false">IF(K76="","未提供",IF(K76&lt;=0_條件與假設!$B$6,"≤45萬",IF(K76&lt;=0_條件與假設!$B$7,"45～55萬","超過55萬")))</f>
        <v>45～55萬</v>
      </c>
      <c r="R76" s="4" t="s">
        <v>222</v>
      </c>
      <c r="S76" s="4" t="s">
        <v>100</v>
      </c>
      <c r="T76" s="23" t="n">
        <v>760</v>
      </c>
      <c r="U76" s="13" t="n">
        <v>13</v>
      </c>
      <c r="V76" s="4" t="str">
        <f aca="false">IF(U76="","未確認",IF(U76&lt;=0_條件與假設!$B$8,"✓",IF(U76&lt;=16,"△ 11～16分","✗")))</f>
        <v>△ 11～16分</v>
      </c>
      <c r="W76" s="4" t="s">
        <v>935</v>
      </c>
      <c r="X76" s="4"/>
      <c r="Y76" s="28" t="s">
        <v>496</v>
      </c>
      <c r="Z76" s="4" t="s">
        <v>736</v>
      </c>
      <c r="AA76" s="4" t="s">
        <v>736</v>
      </c>
      <c r="AB76" s="4" t="s">
        <v>634</v>
      </c>
      <c r="AC76" s="4" t="s">
        <v>265</v>
      </c>
      <c r="AD76" s="20" t="s">
        <v>878</v>
      </c>
      <c r="AE76" s="28" t="s">
        <v>936</v>
      </c>
      <c r="AF76" s="20" t="s">
        <v>91</v>
      </c>
    </row>
    <row r="77" customFormat="false" ht="48" hidden="false" customHeight="true" outlineLevel="0" collapsed="false">
      <c r="A77" s="12" t="s">
        <v>22</v>
      </c>
      <c r="B77" s="13" t="n">
        <v>76</v>
      </c>
      <c r="C77" s="16" t="s">
        <v>937</v>
      </c>
      <c r="D77" s="20" t="s">
        <v>938</v>
      </c>
      <c r="E77" s="4" t="s">
        <v>122</v>
      </c>
      <c r="F77" s="4" t="s">
        <v>939</v>
      </c>
      <c r="G77" s="16" t="s">
        <v>883</v>
      </c>
      <c r="H77" s="21" t="n">
        <v>262</v>
      </c>
      <c r="I77" s="26"/>
      <c r="J77" s="4" t="s">
        <v>940</v>
      </c>
      <c r="K77" s="23" t="n">
        <v>550200</v>
      </c>
      <c r="L77" s="16" t="s">
        <v>941</v>
      </c>
      <c r="M77" s="22"/>
      <c r="N77" s="27" t="n">
        <f aca="false">IF(K77="","",K77+N(M77))</f>
        <v>550200</v>
      </c>
      <c r="O77" s="24" t="str">
        <f aca="false">IF(OR(I77="",N77=""),"",N77/I77)</f>
        <v/>
      </c>
      <c r="P77" s="4" t="str">
        <f aca="false">IF(I77="","未揭露",IF(I77&gt;=0_條件與假設!$B$5,"✓","✗"))</f>
        <v>未揭露</v>
      </c>
      <c r="Q77" s="4" t="str">
        <f aca="false">IF(K77="","未提供",IF(K77&lt;=0_條件與假設!$B$6,"≤45萬",IF(K77&lt;=0_條件與假設!$B$7,"45～55萬","超過55萬")))</f>
        <v>超過55萬</v>
      </c>
      <c r="R77" s="4" t="s">
        <v>222</v>
      </c>
      <c r="S77" s="4" t="s">
        <v>100</v>
      </c>
      <c r="T77" s="23"/>
      <c r="U77" s="13"/>
      <c r="V77" s="4" t="str">
        <f aca="false">IF(U77="","未確認",IF(U77&lt;=0_條件與假設!$B$8,"✓",IF(U77&lt;=16,"△ 11～16分","✗")))</f>
        <v>未確認</v>
      </c>
      <c r="W77" s="4" t="s">
        <v>942</v>
      </c>
      <c r="X77" s="28" t="s">
        <v>943</v>
      </c>
      <c r="Y77" s="28" t="s">
        <v>944</v>
      </c>
      <c r="Z77" s="4" t="s">
        <v>945</v>
      </c>
      <c r="AA77" s="4" t="s">
        <v>380</v>
      </c>
      <c r="AB77" s="4" t="s">
        <v>946</v>
      </c>
      <c r="AC77" s="4" t="s">
        <v>265</v>
      </c>
      <c r="AD77" s="20" t="s">
        <v>417</v>
      </c>
      <c r="AE77" s="28" t="s">
        <v>431</v>
      </c>
      <c r="AF77" s="16" t="s">
        <v>86</v>
      </c>
    </row>
    <row r="78" customFormat="false" ht="48" hidden="false" customHeight="true" outlineLevel="0" collapsed="false">
      <c r="A78" s="12" t="s">
        <v>22</v>
      </c>
      <c r="B78" s="13" t="n">
        <v>77</v>
      </c>
      <c r="C78" s="16" t="s">
        <v>947</v>
      </c>
      <c r="D78" s="20" t="s">
        <v>948</v>
      </c>
      <c r="E78" s="4" t="s">
        <v>78</v>
      </c>
      <c r="F78" s="4" t="s">
        <v>949</v>
      </c>
      <c r="G78" s="16" t="s">
        <v>950</v>
      </c>
      <c r="H78" s="21" t="n">
        <v>266.36</v>
      </c>
      <c r="I78" s="26"/>
      <c r="J78" s="4" t="s">
        <v>732</v>
      </c>
      <c r="K78" s="23" t="n">
        <v>560000</v>
      </c>
      <c r="L78" s="16" t="s">
        <v>951</v>
      </c>
      <c r="M78" s="22"/>
      <c r="N78" s="27" t="n">
        <f aca="false">IF(K78="","",K78+N(M78))</f>
        <v>560000</v>
      </c>
      <c r="O78" s="24" t="str">
        <f aca="false">IF(OR(I78="",N78=""),"",N78/I78)</f>
        <v/>
      </c>
      <c r="P78" s="4" t="str">
        <f aca="false">IF(I78="","未揭露",IF(I78&gt;=0_條件與假設!$B$5,"✓","✗"))</f>
        <v>未揭露</v>
      </c>
      <c r="Q78" s="4" t="str">
        <f aca="false">IF(K78="","未提供",IF(K78&lt;=0_條件與假設!$B$6,"≤45萬",IF(K78&lt;=0_條件與假設!$B$7,"45～55萬","超過55萬")))</f>
        <v>超過55萬</v>
      </c>
      <c r="R78" s="4" t="s">
        <v>82</v>
      </c>
      <c r="S78" s="4" t="s">
        <v>83</v>
      </c>
      <c r="T78" s="23" t="n">
        <v>510</v>
      </c>
      <c r="U78" s="13" t="n">
        <v>9</v>
      </c>
      <c r="V78" s="4" t="str">
        <f aca="false">IF(U78="","未確認",IF(U78&lt;=0_條件與假設!$B$8,"✓",IF(U78&lt;=16,"△ 11～16分","✗")))</f>
        <v>✓</v>
      </c>
      <c r="W78" s="4" t="s">
        <v>952</v>
      </c>
      <c r="X78" s="4"/>
      <c r="Y78" s="28" t="s">
        <v>496</v>
      </c>
      <c r="Z78" s="4" t="s">
        <v>736</v>
      </c>
      <c r="AA78" s="4" t="s">
        <v>953</v>
      </c>
      <c r="AB78" s="4" t="s">
        <v>498</v>
      </c>
      <c r="AC78" s="4" t="s">
        <v>954</v>
      </c>
      <c r="AD78" s="20" t="s">
        <v>955</v>
      </c>
      <c r="AE78" s="4" t="s">
        <v>956</v>
      </c>
      <c r="AF78" s="20" t="s">
        <v>91</v>
      </c>
    </row>
    <row r="79" customFormat="false" ht="48" hidden="false" customHeight="true" outlineLevel="0" collapsed="false">
      <c r="A79" s="12" t="s">
        <v>22</v>
      </c>
      <c r="B79" s="13" t="n">
        <v>78</v>
      </c>
      <c r="C79" s="16" t="s">
        <v>246</v>
      </c>
      <c r="D79" s="20" t="s">
        <v>247</v>
      </c>
      <c r="E79" s="4" t="s">
        <v>78</v>
      </c>
      <c r="F79" s="4" t="s">
        <v>248</v>
      </c>
      <c r="G79" s="16" t="s">
        <v>249</v>
      </c>
      <c r="H79" s="21" t="n">
        <v>196</v>
      </c>
      <c r="I79" s="26"/>
      <c r="J79" s="16" t="s">
        <v>957</v>
      </c>
      <c r="K79" s="23" t="n">
        <v>578621</v>
      </c>
      <c r="L79" s="16" t="s">
        <v>250</v>
      </c>
      <c r="M79" s="22"/>
      <c r="N79" s="27" t="n">
        <f aca="false">IF(K79="","",K79+N(M79))</f>
        <v>578621</v>
      </c>
      <c r="O79" s="24" t="str">
        <f aca="false">IF(OR(I79="",N79=""),"",N79/I79)</f>
        <v/>
      </c>
      <c r="P79" s="4" t="str">
        <f aca="false">IF(I79="","未揭露",IF(I79&gt;=0_條件與假設!$B$5,"✓","✗"))</f>
        <v>未揭露</v>
      </c>
      <c r="Q79" s="4" t="str">
        <f aca="false">IF(K79="","未提供",IF(K79&lt;=0_條件與假設!$B$6,"≤45萬",IF(K79&lt;=0_條件與假設!$B$7,"45～55萬","超過55萬")))</f>
        <v>超過55萬</v>
      </c>
      <c r="R79" s="4" t="s">
        <v>251</v>
      </c>
      <c r="S79" s="4" t="s">
        <v>114</v>
      </c>
      <c r="T79" s="23" t="n">
        <v>274</v>
      </c>
      <c r="U79" s="13" t="n">
        <v>5</v>
      </c>
      <c r="V79" s="4" t="str">
        <f aca="false">IF(U79="","未確認",IF(U79&lt;=0_條件與假設!$B$8,"✓",IF(U79&lt;=16,"△ 11～16分","✗")))</f>
        <v>✓</v>
      </c>
      <c r="W79" s="4" t="s">
        <v>256</v>
      </c>
      <c r="X79" s="28" t="s">
        <v>254</v>
      </c>
      <c r="Y79" s="28" t="s">
        <v>252</v>
      </c>
      <c r="Z79" s="4" t="s">
        <v>380</v>
      </c>
      <c r="AA79" s="4" t="s">
        <v>380</v>
      </c>
      <c r="AB79" s="16" t="s">
        <v>958</v>
      </c>
      <c r="AC79" s="4" t="s">
        <v>255</v>
      </c>
      <c r="AD79" s="29" t="s">
        <v>341</v>
      </c>
      <c r="AE79" s="28" t="s">
        <v>959</v>
      </c>
      <c r="AF79" s="20" t="s">
        <v>91</v>
      </c>
    </row>
    <row r="80" customFormat="false" ht="48" hidden="false" customHeight="true" outlineLevel="0" collapsed="false">
      <c r="A80" s="12" t="s">
        <v>22</v>
      </c>
      <c r="B80" s="13" t="n">
        <v>79</v>
      </c>
      <c r="C80" s="16" t="s">
        <v>257</v>
      </c>
      <c r="D80" s="20" t="s">
        <v>258</v>
      </c>
      <c r="E80" s="4" t="s">
        <v>209</v>
      </c>
      <c r="F80" s="4" t="s">
        <v>259</v>
      </c>
      <c r="G80" s="16" t="s">
        <v>260</v>
      </c>
      <c r="H80" s="21" t="n">
        <v>257</v>
      </c>
      <c r="I80" s="26"/>
      <c r="J80" s="16" t="s">
        <v>960</v>
      </c>
      <c r="K80" s="23" t="n">
        <v>588000</v>
      </c>
      <c r="L80" s="16" t="s">
        <v>261</v>
      </c>
      <c r="M80" s="22"/>
      <c r="N80" s="27" t="n">
        <f aca="false">IF(K80="","",K80+N(M80))</f>
        <v>588000</v>
      </c>
      <c r="O80" s="24" t="str">
        <f aca="false">IF(OR(I80="",N80=""),"",N80/I80)</f>
        <v/>
      </c>
      <c r="P80" s="4" t="str">
        <f aca="false">IF(I80="","未揭露",IF(I80&gt;=0_條件與假設!$B$5,"✓","✗"))</f>
        <v>未揭露</v>
      </c>
      <c r="Q80" s="4" t="str">
        <f aca="false">IF(K80="","未提供",IF(K80&lt;=0_條件與假設!$B$6,"≤45萬",IF(K80&lt;=0_條件與假設!$B$7,"45～55萬","超過55萬")))</f>
        <v>超過55萬</v>
      </c>
      <c r="R80" s="4" t="s">
        <v>113</v>
      </c>
      <c r="S80" s="4" t="s">
        <v>114</v>
      </c>
      <c r="T80" s="23" t="n">
        <v>370</v>
      </c>
      <c r="U80" s="13" t="n">
        <v>7</v>
      </c>
      <c r="V80" s="4" t="str">
        <f aca="false">IF(U80="","未確認",IF(U80&lt;=0_條件與假設!$B$8,"✓",IF(U80&lt;=16,"△ 11～16分","✗")))</f>
        <v>✓</v>
      </c>
      <c r="W80" s="4" t="s">
        <v>266</v>
      </c>
      <c r="X80" s="25" t="s">
        <v>264</v>
      </c>
      <c r="Y80" s="28" t="s">
        <v>262</v>
      </c>
      <c r="Z80" s="4" t="s">
        <v>736</v>
      </c>
      <c r="AA80" s="4" t="s">
        <v>736</v>
      </c>
      <c r="AB80" s="4" t="s">
        <v>961</v>
      </c>
      <c r="AC80" s="4" t="s">
        <v>265</v>
      </c>
      <c r="AD80" s="20" t="s">
        <v>962</v>
      </c>
      <c r="AE80" s="28" t="s">
        <v>963</v>
      </c>
      <c r="AF80" s="20" t="s">
        <v>91</v>
      </c>
    </row>
    <row r="81" customFormat="false" ht="48" hidden="false" customHeight="true" outlineLevel="0" collapsed="false">
      <c r="A81" s="12" t="s">
        <v>22</v>
      </c>
      <c r="B81" s="13" t="n">
        <v>80</v>
      </c>
      <c r="C81" s="16" t="s">
        <v>267</v>
      </c>
      <c r="D81" s="20" t="s">
        <v>268</v>
      </c>
      <c r="E81" s="4" t="s">
        <v>95</v>
      </c>
      <c r="F81" s="4" t="s">
        <v>269</v>
      </c>
      <c r="G81" s="16" t="s">
        <v>270</v>
      </c>
      <c r="H81" s="21" t="n">
        <v>254.53</v>
      </c>
      <c r="I81" s="26"/>
      <c r="J81" s="16" t="s">
        <v>964</v>
      </c>
      <c r="K81" s="23" t="n">
        <v>614678</v>
      </c>
      <c r="L81" s="16" t="s">
        <v>271</v>
      </c>
      <c r="M81" s="22"/>
      <c r="N81" s="27" t="n">
        <f aca="false">IF(K81="","",K81+N(M81))</f>
        <v>614678</v>
      </c>
      <c r="O81" s="24" t="str">
        <f aca="false">IF(OR(I81="",N81=""),"",N81/I81)</f>
        <v/>
      </c>
      <c r="P81" s="4" t="str">
        <f aca="false">IF(I81="","未揭露",IF(I81&gt;=0_條件與假設!$B$5,"✓","✗"))</f>
        <v>未揭露</v>
      </c>
      <c r="Q81" s="4" t="str">
        <f aca="false">IF(K81="","未提供",IF(K81&lt;=0_條件與假設!$B$6,"≤45萬",IF(K81&lt;=0_條件與假設!$B$7,"45～55萬","超過55萬")))</f>
        <v>超過55萬</v>
      </c>
      <c r="R81" s="4" t="s">
        <v>233</v>
      </c>
      <c r="S81" s="4" t="s">
        <v>100</v>
      </c>
      <c r="T81" s="23" t="n">
        <v>1070</v>
      </c>
      <c r="U81" s="13" t="n">
        <v>18</v>
      </c>
      <c r="V81" s="4" t="str">
        <f aca="false">IF(U81="","未確認",IF(U81&lt;=0_條件與假設!$B$8,"✓",IF(U81&lt;=16,"△ 11～16分","✗")))</f>
        <v>✗</v>
      </c>
      <c r="W81" s="4" t="s">
        <v>276</v>
      </c>
      <c r="X81" s="28" t="s">
        <v>274</v>
      </c>
      <c r="Y81" s="28" t="s">
        <v>272</v>
      </c>
      <c r="Z81" s="4" t="s">
        <v>380</v>
      </c>
      <c r="AA81" s="4" t="s">
        <v>454</v>
      </c>
      <c r="AB81" s="16" t="s">
        <v>965</v>
      </c>
      <c r="AC81" s="4" t="s">
        <v>275</v>
      </c>
      <c r="AD81" s="29" t="s">
        <v>341</v>
      </c>
      <c r="AE81" s="28" t="s">
        <v>966</v>
      </c>
      <c r="AF81" s="20" t="s">
        <v>91</v>
      </c>
    </row>
  </sheetData>
  <autoFilter ref="A1:AF81"/>
  <hyperlinks>
    <hyperlink ref="D2" r:id="rId1" display="建國北路二段 10F（大辦公室＋大倉儲）"/>
    <hyperlink ref="AD2" r:id="rId2" display="信義全球物件頁（16張照片）"/>
    <hyperlink ref="AF2" r:id="rId3" display="開啟地圖"/>
    <hyperlink ref="D3" r:id="rId4" display="信義大樓 10F"/>
    <hyperlink ref="AD3" r:id="rId5" display="信義全球 10F（面積分項）"/>
    <hyperlink ref="AF3" r:id="rId6" display="開啟地圖"/>
    <hyperlink ref="D4" r:id="rId7" display="旭寶大樓 5F"/>
    <hyperlink ref="AD4" r:id="rId8" display="大樓照片（好房網19張）"/>
    <hyperlink ref="AF4" r:id="rId9" display="開啟地圖"/>
    <hyperlink ref="D5" r:id="rId10" display="廣成大廈 4F"/>
    <hyperlink ref="AD5" r:id="rId11" display="591 物件頁"/>
    <hyperlink ref="AF5" r:id="rId12" display="開啟地圖"/>
    <hyperlink ref="D6" r:id="rId13" display="全球人壽信義大樓 21F"/>
    <hyperlink ref="AD6" r:id="rId14" display="信義全球物件頁"/>
    <hyperlink ref="AF6" r:id="rId15" display="開啟地圖"/>
    <hyperlink ref="D7" r:id="rId16" display="南海開發大樓 5F"/>
    <hyperlink ref="AD7" r:id="rId17" display="591 物件頁"/>
    <hyperlink ref="AF7" r:id="rId18" display="開啟地圖"/>
    <hyperlink ref="D8" r:id="rId19" location="page=3" display="信義大樓 8F"/>
    <hyperlink ref="AD8" r:id="rId20" location="page=3" display="傑森愛華清單 第3頁"/>
    <hyperlink ref="AF8" r:id="rId21" display="開啟地圖"/>
    <hyperlink ref="D9" r:id="rId22" display="松江路 3F（松江南京站）"/>
    <hyperlink ref="AD9" r:id="rId23" display="591 物件頁"/>
    <hyperlink ref="AF9" r:id="rId24" display="開啟地圖"/>
    <hyperlink ref="D10" r:id="rId25" display="八德大樓 5F（出租285.67坪）"/>
    <hyperlink ref="AD10" r:id="rId26" display="信義全球物件頁"/>
    <hyperlink ref="AF10" r:id="rId27" display="開啟地圖"/>
    <hyperlink ref="D11" r:id="rId28" display="光復北路11巷 2F（南京三民站）"/>
    <hyperlink ref="AD11" r:id="rId29" display="591 物件頁"/>
    <hyperlink ref="AF11" r:id="rId30" display="開啟地圖"/>
    <hyperlink ref="D12" r:id="rId31" display="旭寶大樓 4F"/>
    <hyperlink ref="AD12" r:id="rId32" display="591 物件頁"/>
    <hyperlink ref="AF12" r:id="rId33" display="開啟地圖"/>
    <hyperlink ref="D13" r:id="rId34" location="page=1" display="忠孝東路四段×延吉街 4F"/>
    <hyperlink ref="AD13" r:id="rId35" location="page=1" display="傑森愛華清單 第1頁"/>
    <hyperlink ref="AF13" r:id="rId36" display="開啟地圖"/>
    <hyperlink ref="D14" r:id="rId37" display="忠孝東路一段 11F（台北車站）"/>
    <hyperlink ref="AD14" r:id="rId38" display="591 物件頁"/>
    <hyperlink ref="D15" r:id="rId39" display="中山北路三段 6F（民權西路站）"/>
    <hyperlink ref="AD15" r:id="rId40" display="591 物件頁"/>
    <hyperlink ref="AF15" r:id="rId41" display="開啟地圖"/>
    <hyperlink ref="D16" r:id="rId42" display="忠孝東路一段 2F（善導寺站）"/>
    <hyperlink ref="AD16" r:id="rId43" display="591 物件頁"/>
    <hyperlink ref="AF16" r:id="rId44" display="開啟地圖"/>
    <hyperlink ref="D17" r:id="rId45" display="民生東路二段 6F（仲介稱使用約226坪）"/>
    <hyperlink ref="AD17" r:id="rId46" display="591 物件頁"/>
    <hyperlink ref="AF17" r:id="rId47" display="開啟地圖"/>
    <hyperlink ref="D18" r:id="rId48" display="八德大樓 7F（出租254.06坪）"/>
    <hyperlink ref="AD18" r:id="rId49" display="信義全球物件頁"/>
    <hyperlink ref="AF18" r:id="rId50" display="開啟地圖"/>
    <hyperlink ref="D19" r:id="rId51" display="長春路 8F（松江南京站）"/>
    <hyperlink ref="AD19" r:id="rId52" display="591 物件頁"/>
    <hyperlink ref="AF19" r:id="rId53" display="開啟地圖"/>
    <hyperlink ref="D20" r:id="rId54" display="南京東路五段 3F（南京三民站）"/>
    <hyperlink ref="AD20" r:id="rId55" display="591 物件頁"/>
    <hyperlink ref="AF20" r:id="rId56" display="開啟地圖"/>
    <hyperlink ref="D21" r:id="rId57" display="信義大樓 5F"/>
    <hyperlink ref="AD21" r:id="rId58" display="信義全球物件頁"/>
    <hyperlink ref="AF21" r:id="rId59" display="開啟地圖"/>
    <hyperlink ref="D22" r:id="rId60" display="信義大樓 9F"/>
    <hyperlink ref="AD22" r:id="rId61" display="信義全球物件頁"/>
    <hyperlink ref="AF22" r:id="rId62" display="開啟地圖"/>
    <hyperlink ref="D23" r:id="rId63" display="復興南路稀有大空間地下室 B1"/>
    <hyperlink ref="AD23" r:id="rId64" display="信義 本戶·5張照片（C348029）"/>
    <hyperlink ref="AF23" r:id="rId65" display="開啟地圖"/>
    <hyperlink ref="D24" r:id="rId66" display="新設工大樓 6C（中山北路三段）"/>
    <hyperlink ref="AD24" r:id="rId67" display="591 物件頁"/>
    <hyperlink ref="AF24" r:id="rId68" display="開啟地圖"/>
    <hyperlink ref="D25" r:id="rId69" display="信義大樓 22F"/>
    <hyperlink ref="AD25" r:id="rId70" display="信義全球物件頁"/>
    <hyperlink ref="AF25" r:id="rId71" display="開啟地圖"/>
    <hyperlink ref="D26" r:id="rId72" display="光復南路大坪數辦公 6F"/>
    <hyperlink ref="AD26" r:id="rId73" display="信義 本戶·19張照片（C328671）"/>
    <hyperlink ref="AF26" r:id="rId74" display="開啟地圖"/>
    <hyperlink ref="D27" r:id="rId75" display="敦化財經大樓 4F之1"/>
    <hyperlink ref="AD27" r:id="rId76" display="591 疑同戶4F 220坪·星辰地產"/>
    <hyperlink ref="AF27" r:id="rId77" display="開啟地圖"/>
    <hyperlink ref="D28" r:id="rId78" display="永春地下大空間店商辦 B1"/>
    <hyperlink ref="AD28" r:id="rId79" display="信義 本戶·18張照片（C360351）"/>
    <hyperlink ref="AF28" r:id="rId80" display="開啟地圖"/>
    <hyperlink ref="D29" r:id="rId81" display="國泰世華銀行大樓 6F"/>
    <hyperlink ref="AD29" r:id="rId82" display="591 物件頁（同戶）"/>
    <hyperlink ref="AF29" r:id="rId83" display="開啟地圖"/>
    <hyperlink ref="D30" r:id="rId84" display="敦北長城大樓 3F"/>
    <hyperlink ref="AD30" r:id="rId85" display="信義 本戶·21張照片（CZ05326）"/>
    <hyperlink ref="AF30" r:id="rId86" display="開啟地圖"/>
    <hyperlink ref="D31" r:id="rId87" display="松哖大樓 2F"/>
    <hyperlink ref="AD31" r:id="rId88" display="591 物件頁"/>
    <hyperlink ref="AF31" r:id="rId89" display="開啟地圖"/>
    <hyperlink ref="D32" r:id="rId90" display="安和路一段 11F"/>
    <hyperlink ref="AD32" r:id="rId91" display="住商物件頁"/>
    <hyperlink ref="D33" r:id="rId92" display="友聯大樓 5F"/>
    <hyperlink ref="AD33" r:id="rId93" display="大樓頁（好房網）"/>
    <hyperlink ref="AF33" r:id="rId94" display="開啟地圖"/>
    <hyperlink ref="D34" r:id="rId95" display="安敦國際大樓 7F"/>
    <hyperlink ref="AD34" r:id="rId96" display="591 本戶7F·14張照片"/>
    <hyperlink ref="AF34" r:id="rId97" display="開啟地圖"/>
    <hyperlink ref="D35" r:id="rId98" display="中鼎大樓 15F之1"/>
    <hyperlink ref="AD35" r:id="rId99" display="信義 本戶15F·15張照片（CZ05572）"/>
    <hyperlink ref="AF35" r:id="rId100" display="開啟地圖"/>
    <hyperlink ref="D36" r:id="rId101" display="敦化南路2段(中鼎大樓 77號22樓) 22F 230坪"/>
    <hyperlink ref="AD36" r:id="rId102" display="傑森愛華單筆報表PDF（中鼎22F·3頁，含照片）"/>
    <hyperlink ref="AF36" r:id="rId103" display="開啟地圖"/>
    <hyperlink ref="D37" r:id="rId104" display="敦化南路2段 (中鼎大樓 77號2樓) 2F 222坪"/>
    <hyperlink ref="AD37" r:id="rId105" display="傑森愛華單筆報表PDF（中鼎2F·2頁，含照片）"/>
    <hyperlink ref="AF37" r:id="rId106" display="開啟地圖"/>
    <hyperlink ref="D38" r:id="rId107" display="明水路營業用商辦 4F"/>
    <hyperlink ref="AD38" r:id="rId108" display="信義 本戶·12張照片（CZ03701）"/>
    <hyperlink ref="AF38" r:id="rId109" display="開啟地圖"/>
    <hyperlink ref="D39" r:id="rId110" display="家美金融大樓 15F"/>
    <hyperlink ref="AD39" r:id="rId111" display="永慶 本戶15F·14張照片"/>
    <hyperlink ref="AF39" r:id="rId112" display="開啟地圖"/>
    <hyperlink ref="D40" r:id="rId113" display="白宮企業大樓 5F"/>
    <hyperlink ref="AD40" r:id="rId114" display="好房網大樓頁·10張照片（本戶207坪整層無公開頁）"/>
    <hyperlink ref="AF40" r:id="rId115" display="開啟地圖"/>
    <hyperlink ref="D41" r:id="rId116" display="仁愛路4段近復興南路 (鴻霖大樓 25號10樓之2) 10F 210坪"/>
    <hyperlink ref="AD41" r:id="rId117" display="傑森愛華單筆報表PDF（鴻霖10F之2·3頁，含照片）"/>
    <hyperlink ref="AF41" r:id="rId118" display="開啟地圖"/>
    <hyperlink ref="D42" r:id="rId119" display="八德路近復興北路 (中影八德大樓 八德路二段260號2樓全層) 2F 200坪"/>
    <hyperlink ref="AD42" r:id="rId120" display="傑森愛華單筆報表PDF（中影八德2F·11頁，含照片/使照）"/>
    <hyperlink ref="AF42" r:id="rId121" display="開啟地圖"/>
    <hyperlink ref="D43" r:id="rId122" display="光復北路新大樓 5F"/>
    <hyperlink ref="AD43" r:id="rId123" display="信義全球 本戶·14張照片（C355686）"/>
    <hyperlink ref="AF43" r:id="rId124" display="開啟地圖"/>
    <hyperlink ref="D44" r:id="rId125" display="國票大樓 15F C"/>
    <hyperlink ref="AD44" r:id="rId126" display="信義 本戶·12張照片（C346398）"/>
    <hyperlink ref="AF44" r:id="rId127" display="開啟地圖"/>
    <hyperlink ref="D45" r:id="rId128" display="松山路 7F"/>
    <hyperlink ref="AD45" r:id="rId129" display="HouseWeb·20張"/>
    <hyperlink ref="D46" r:id="rId130" display="林森北路 6F"/>
    <hyperlink ref="AD46" r:id="rId131" display="HouseWeb·27張"/>
    <hyperlink ref="D47" r:id="rId132" display="星勢力大樓 4F（大直）"/>
    <hyperlink ref="AD47" r:id="rId133" display="591 物件頁"/>
    <hyperlink ref="D48" r:id="rId134" display="明水路（大直） 4F"/>
    <hyperlink ref="AD48" r:id="rId135" display="HouseWeb·27張"/>
    <hyperlink ref="AF48" r:id="rId136" display="開啟地圖"/>
    <hyperlink ref="D49" r:id="rId137" display="八德路四段 9F"/>
    <hyperlink ref="AD49" r:id="rId138" display="HouseWeb·38張"/>
    <hyperlink ref="D50" r:id="rId139" location="page=3" display="八德路vs龍江路 2F 220坪"/>
    <hyperlink ref="AD50" r:id="rId140" location="page=3" display="傑森愛華原始PDF 第3頁（此列無照片）"/>
    <hyperlink ref="AF50" r:id="rId141" display="開啟地圖"/>
    <hyperlink ref="D51" r:id="rId142" display="明水路（大直） 4F"/>
    <hyperlink ref="AD51" r:id="rId143" display="HouseWeb·37張"/>
    <hyperlink ref="AF51" r:id="rId144" display="開啟地圖"/>
    <hyperlink ref="D52" r:id="rId145" display="光復南路 7F"/>
    <hyperlink ref="AD52" r:id="rId146" display="HouseWeb·40張"/>
    <hyperlink ref="D53" r:id="rId147" display="光復南路 7F"/>
    <hyperlink ref="AD53" r:id="rId148" display="HouseWeb 本戶·40張照片"/>
    <hyperlink ref="D54" r:id="rId149" location="page=1" display="信義路5段(環球) 18F 201坪"/>
    <hyperlink ref="AD54" r:id="rId150" location="page=1" display="傑森愛華原始PDF 第1頁（含照片）"/>
    <hyperlink ref="AF54" r:id="rId151" display="開啟地圖"/>
    <hyperlink ref="D55" r:id="rId152" location="page=1" display="南京東路5段近三民站 5F 204坪"/>
    <hyperlink ref="AD55" r:id="rId153" location="page=1" display="傑森愛華原始PDF 第1頁（含照片）"/>
    <hyperlink ref="D56" r:id="rId154" display="明水路（大直） 3F"/>
    <hyperlink ref="AD56" r:id="rId155" display="HouseWeb·27張"/>
    <hyperlink ref="AF56" r:id="rId156" display="開啟地圖"/>
    <hyperlink ref="D57" r:id="rId157" display="建國北路三段 2F（合併物件）"/>
    <hyperlink ref="AD57" r:id="rId158" display="591 物件頁"/>
    <hyperlink ref="D58" r:id="rId159" location="page=3" display="敦化北路VS民生東路 2F 211坪"/>
    <hyperlink ref="AD58" r:id="rId160" location="page=3" display="傑森愛華原始PDF 第3頁（含照片）"/>
    <hyperlink ref="AF58" r:id="rId161" display="開啟地圖"/>
    <hyperlink ref="D59" r:id="rId162" location="page=2" display="中山北路1段近市民大道 9F 209坪"/>
    <hyperlink ref="AD59" r:id="rId163" location="page=2" display="傑森愛華原始PDF 第2頁（含照片）"/>
    <hyperlink ref="AF59" r:id="rId164" display="開啟地圖"/>
    <hyperlink ref="D60" r:id="rId165" display="植福路（大直） 9F"/>
    <hyperlink ref="AD60" r:id="rId166" display="HouseWeb·43張"/>
    <hyperlink ref="D61" r:id="rId167" display="安敦國際大樓 14F"/>
    <hyperlink ref="AD61" r:id="rId168" display="永慶 本戶14F·15張照片"/>
    <hyperlink ref="AF61" r:id="rId169" display="開啟地圖"/>
    <hyperlink ref="D62" r:id="rId170" display="民權西路 5F（民權西路站）"/>
    <hyperlink ref="AD62" r:id="rId171" display="591 物件頁"/>
    <hyperlink ref="AF62" r:id="rId172" display="開啟地圖"/>
    <hyperlink ref="D63" r:id="rId173" display="敦南商圈（路名未揭露）"/>
    <hyperlink ref="AD63" r:id="rId174" display="HouseWeb·26張"/>
    <hyperlink ref="D64" r:id="rId175" display="敦化南路二段 15F（信義安和站）"/>
    <hyperlink ref="AD64" r:id="rId176" display="591 物件頁"/>
    <hyperlink ref="AF64" r:id="rId177" display="開啟地圖"/>
    <hyperlink ref="D65" r:id="rId178" display="健康路 8F（南京三民／小巨蛋站）"/>
    <hyperlink ref="AD65" r:id="rId179" display="591 物件頁"/>
    <hyperlink ref="AF65" r:id="rId180" display="開啟地圖"/>
    <hyperlink ref="D66" r:id="rId181" location="page=4" display="民生東路VS建國北路 2*F 225坪"/>
    <hyperlink ref="AD66" r:id="rId182" location="page=4" display="傑森愛華原始PDF 第4頁（含照片）"/>
    <hyperlink ref="AF66" r:id="rId183" display="開啟地圖"/>
    <hyperlink ref="D67" r:id="rId184" location="page=2" display="民生東路3段vs復興北路 11F 205坪"/>
    <hyperlink ref="AD67" r:id="rId185" location="page=2" display="傑森愛華原始PDF 第2頁（含照片）"/>
    <hyperlink ref="AF67" r:id="rId186" display="開啟地圖"/>
    <hyperlink ref="D68" r:id="rId187" location="page=2" display="民生東路3段vs復興北路 3F 205坪"/>
    <hyperlink ref="AD68" r:id="rId188" location="page=2" display="傑森愛華原始PDF 第2頁（含照片）"/>
    <hyperlink ref="AF68" r:id="rId189" display="開啟地圖"/>
    <hyperlink ref="D69" r:id="rId190" location="page=1" display="中山北路近市民大道 17F 204坪"/>
    <hyperlink ref="AD69" r:id="rId191" location="page=1" display="傑森愛華原始PDF 第1頁（此列無照片）；同戶照片見W08 HouseWeb"/>
    <hyperlink ref="AF69" r:id="rId192" display="開啟地圖"/>
    <hyperlink ref="D70" r:id="rId193" display="中山北路一段 17F"/>
    <hyperlink ref="AD70" r:id="rId194" display="HouseWeb·35張"/>
    <hyperlink ref="AF70" r:id="rId195" display="開啟地圖"/>
    <hyperlink ref="D71" r:id="rId196" location="page=3" display="安和路一段 (即安敦國際大樓17F) 17F 214坪"/>
    <hyperlink ref="AD71" r:id="rId197" location="page=3" display="傑森愛華原始PDF 第3頁（含照片）；同戶另見信義CZ05290"/>
    <hyperlink ref="AF71" r:id="rId198" display="開啟地圖"/>
    <hyperlink ref="D72" r:id="rId199" display="南京東路三段 9F（南京復興站）"/>
    <hyperlink ref="AD72" r:id="rId200" display="591 物件頁"/>
    <hyperlink ref="AF72" r:id="rId201" display="開啟地圖"/>
    <hyperlink ref="D73" r:id="rId202" location="page=3" display="南京東路近龍江路 8F 210坪"/>
    <hyperlink ref="AD73" r:id="rId203" location="page=3" display="傑森愛華原始PDF 第3頁（含照片）"/>
    <hyperlink ref="AF73" r:id="rId204" display="開啟地圖"/>
    <hyperlink ref="D74" r:id="rId205" display="健康路 3F（台北小巨蛋站）"/>
    <hyperlink ref="AD74" r:id="rId206" display="591 物件頁"/>
    <hyperlink ref="AF74" r:id="rId207" display="開啟地圖"/>
    <hyperlink ref="D75" r:id="rId208" display="民權東路三段 9F"/>
    <hyperlink ref="AD75" r:id="rId209" display="591 物件頁"/>
    <hyperlink ref="D76" r:id="rId210" location="page=4" display="民生東路近敦化北路 8F 226坪"/>
    <hyperlink ref="AD76" r:id="rId211" location="page=4" display="傑森愛華原始PDF 第4頁（含照片）"/>
    <hyperlink ref="AF76" r:id="rId212" display="開啟地圖"/>
    <hyperlink ref="D77" r:id="rId213" location="page=1" display="環亞大樓 11F（南京東路三段）"/>
    <hyperlink ref="AD77" r:id="rId214" location="page=1" display="傑森愛華清單 第1頁"/>
    <hyperlink ref="D78" r:id="rId215" display="環球世貿 10F"/>
    <hyperlink ref="AD78" r:id="rId216" display="信義 本戶（C360646）"/>
    <hyperlink ref="AF78" r:id="rId217" display="開啟地圖"/>
    <hyperlink ref="D79" r:id="rId218" display="菸廠路 8F（國父紀念館站・松菸旁）"/>
    <hyperlink ref="AD79" r:id="rId219" display="591 物件頁"/>
    <hyperlink ref="AF79" r:id="rId220" display="開啟地圖"/>
    <hyperlink ref="D80" r:id="rId221" location="page=5" display="市民大道3段近復興南路 8F 257坪"/>
    <hyperlink ref="AD80" r:id="rId222" location="page=5" display="傑森愛華原始PDF 第5頁（此列無照片）"/>
    <hyperlink ref="AF80" r:id="rId223" display="開啟地圖"/>
    <hyperlink ref="D81" r:id="rId224" display="民生東路三段 8F（中山國中站）"/>
    <hyperlink ref="AD81" r:id="rId225" display="591 物件頁"/>
    <hyperlink ref="AF81" r:id="rId226" display="開啟地圖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0" min="2" style="0" width="30"/>
  </cols>
  <sheetData>
    <row r="1" customFormat="false" ht="33.75" hidden="false" customHeight="true" outlineLevel="0" collapsed="false">
      <c r="A1" s="3" t="s">
        <v>967</v>
      </c>
      <c r="B1" s="19" t="s">
        <v>288</v>
      </c>
      <c r="C1" s="19" t="s">
        <v>76</v>
      </c>
      <c r="D1" s="19" t="s">
        <v>310</v>
      </c>
      <c r="E1" s="19" t="s">
        <v>326</v>
      </c>
      <c r="F1" s="19" t="s">
        <v>343</v>
      </c>
      <c r="G1" s="19" t="s">
        <v>357</v>
      </c>
      <c r="H1" s="19" t="s">
        <v>373</v>
      </c>
      <c r="I1" s="19" t="s">
        <v>93</v>
      </c>
      <c r="J1" s="19" t="s">
        <v>108</v>
      </c>
      <c r="K1" s="19" t="s">
        <v>120</v>
      </c>
      <c r="L1" s="19" t="s">
        <v>395</v>
      </c>
      <c r="M1" s="19" t="s">
        <v>406</v>
      </c>
      <c r="N1" s="19" t="s">
        <v>419</v>
      </c>
      <c r="O1" s="19" t="s">
        <v>432</v>
      </c>
      <c r="P1" s="19" t="s">
        <v>445</v>
      </c>
      <c r="Q1" s="19" t="s">
        <v>134</v>
      </c>
      <c r="R1" s="19" t="s">
        <v>146</v>
      </c>
      <c r="S1" s="19" t="s">
        <v>153</v>
      </c>
      <c r="T1" s="19" t="s">
        <v>164</v>
      </c>
    </row>
    <row r="2" customFormat="false" ht="15" hidden="false" customHeight="false" outlineLevel="0" collapsed="false">
      <c r="A2" s="14" t="s">
        <v>49</v>
      </c>
      <c r="B2" s="8" t="s">
        <v>16</v>
      </c>
      <c r="C2" s="10" t="s">
        <v>18</v>
      </c>
      <c r="D2" s="10" t="s">
        <v>18</v>
      </c>
      <c r="E2" s="10" t="s">
        <v>18</v>
      </c>
      <c r="F2" s="10" t="s">
        <v>18</v>
      </c>
      <c r="G2" s="10" t="s">
        <v>18</v>
      </c>
      <c r="H2" s="11" t="s">
        <v>20</v>
      </c>
      <c r="I2" s="11" t="s">
        <v>20</v>
      </c>
      <c r="J2" s="11" t="s">
        <v>20</v>
      </c>
      <c r="K2" s="11" t="s">
        <v>20</v>
      </c>
      <c r="L2" s="11" t="s">
        <v>20</v>
      </c>
      <c r="M2" s="11" t="s">
        <v>20</v>
      </c>
      <c r="N2" s="11" t="s">
        <v>20</v>
      </c>
      <c r="O2" s="11" t="s">
        <v>20</v>
      </c>
      <c r="P2" s="11" t="s">
        <v>20</v>
      </c>
      <c r="Q2" s="11" t="s">
        <v>20</v>
      </c>
      <c r="R2" s="11" t="s">
        <v>20</v>
      </c>
      <c r="S2" s="11" t="s">
        <v>20</v>
      </c>
      <c r="T2" s="11" t="s">
        <v>20</v>
      </c>
    </row>
    <row r="3" customFormat="false" ht="15" hidden="false" customHeight="false" outlineLevel="0" collapsed="false">
      <c r="A3" s="14" t="s">
        <v>47</v>
      </c>
      <c r="B3" s="16" t="s">
        <v>288</v>
      </c>
      <c r="C3" s="16" t="s">
        <v>76</v>
      </c>
      <c r="D3" s="16" t="s">
        <v>310</v>
      </c>
      <c r="E3" s="16" t="s">
        <v>326</v>
      </c>
      <c r="F3" s="16" t="s">
        <v>343</v>
      </c>
      <c r="G3" s="16" t="s">
        <v>357</v>
      </c>
      <c r="H3" s="16" t="s">
        <v>373</v>
      </c>
      <c r="I3" s="16" t="s">
        <v>93</v>
      </c>
      <c r="J3" s="16" t="s">
        <v>108</v>
      </c>
      <c r="K3" s="16" t="s">
        <v>120</v>
      </c>
      <c r="L3" s="16" t="s">
        <v>395</v>
      </c>
      <c r="M3" s="16" t="s">
        <v>406</v>
      </c>
      <c r="N3" s="16" t="s">
        <v>419</v>
      </c>
      <c r="O3" s="16" t="s">
        <v>432</v>
      </c>
      <c r="P3" s="16" t="s">
        <v>445</v>
      </c>
      <c r="Q3" s="16" t="s">
        <v>134</v>
      </c>
      <c r="R3" s="16" t="s">
        <v>146</v>
      </c>
      <c r="S3" s="16" t="s">
        <v>153</v>
      </c>
      <c r="T3" s="16" t="s">
        <v>164</v>
      </c>
    </row>
    <row r="4" customFormat="false" ht="29.85" hidden="false" customHeight="false" outlineLevel="0" collapsed="false">
      <c r="A4" s="14" t="s">
        <v>48</v>
      </c>
      <c r="B4" s="4" t="s">
        <v>968</v>
      </c>
      <c r="C4" s="4" t="s">
        <v>969</v>
      </c>
      <c r="D4" s="4" t="s">
        <v>970</v>
      </c>
      <c r="E4" s="4" t="s">
        <v>971</v>
      </c>
      <c r="F4" s="4" t="s">
        <v>972</v>
      </c>
      <c r="G4" s="4" t="s">
        <v>973</v>
      </c>
      <c r="H4" s="4" t="s">
        <v>974</v>
      </c>
      <c r="I4" s="4" t="s">
        <v>975</v>
      </c>
      <c r="J4" s="4" t="s">
        <v>976</v>
      </c>
      <c r="K4" s="4" t="s">
        <v>977</v>
      </c>
      <c r="L4" s="4" t="s">
        <v>978</v>
      </c>
      <c r="M4" s="4" t="s">
        <v>979</v>
      </c>
      <c r="N4" s="4" t="s">
        <v>980</v>
      </c>
      <c r="O4" s="4" t="s">
        <v>981</v>
      </c>
      <c r="P4" s="4" t="s">
        <v>982</v>
      </c>
      <c r="Q4" s="4" t="s">
        <v>983</v>
      </c>
      <c r="R4" s="4" t="s">
        <v>984</v>
      </c>
      <c r="S4" s="4" t="s">
        <v>985</v>
      </c>
      <c r="T4" s="4" t="s">
        <v>986</v>
      </c>
    </row>
    <row r="5" customFormat="false" ht="29.85" hidden="false" customHeight="false" outlineLevel="0" collapsed="false">
      <c r="A5" s="14" t="s">
        <v>987</v>
      </c>
      <c r="B5" s="4" t="s">
        <v>988</v>
      </c>
      <c r="C5" s="4" t="s">
        <v>989</v>
      </c>
      <c r="D5" s="4" t="s">
        <v>990</v>
      </c>
      <c r="E5" s="4" t="s">
        <v>991</v>
      </c>
      <c r="F5" s="4" t="s">
        <v>989</v>
      </c>
      <c r="G5" s="4" t="s">
        <v>992</v>
      </c>
      <c r="H5" s="4" t="s">
        <v>993</v>
      </c>
      <c r="I5" s="4" t="s">
        <v>988</v>
      </c>
      <c r="J5" s="4" t="s">
        <v>994</v>
      </c>
      <c r="K5" s="4" t="s">
        <v>995</v>
      </c>
      <c r="L5" s="4" t="s">
        <v>990</v>
      </c>
      <c r="M5" s="4" t="s">
        <v>996</v>
      </c>
      <c r="N5" s="4" t="s">
        <v>988</v>
      </c>
      <c r="O5" s="4" t="s">
        <v>997</v>
      </c>
      <c r="P5" s="4" t="s">
        <v>998</v>
      </c>
      <c r="Q5" s="4" t="s">
        <v>988</v>
      </c>
      <c r="R5" s="4" t="s">
        <v>994</v>
      </c>
      <c r="S5" s="4" t="s">
        <v>988</v>
      </c>
      <c r="T5" s="4" t="s">
        <v>988</v>
      </c>
    </row>
    <row r="6" customFormat="false" ht="15" hidden="false" customHeight="false" outlineLevel="0" collapsed="false">
      <c r="A6" s="14" t="s">
        <v>50</v>
      </c>
      <c r="B6" s="4" t="s">
        <v>95</v>
      </c>
      <c r="C6" s="4" t="s">
        <v>78</v>
      </c>
      <c r="D6" s="4" t="s">
        <v>122</v>
      </c>
      <c r="E6" s="4" t="s">
        <v>328</v>
      </c>
      <c r="F6" s="4" t="s">
        <v>78</v>
      </c>
      <c r="G6" s="4" t="s">
        <v>328</v>
      </c>
      <c r="H6" s="4" t="s">
        <v>78</v>
      </c>
      <c r="I6" s="4" t="s">
        <v>95</v>
      </c>
      <c r="J6" s="4" t="s">
        <v>95</v>
      </c>
      <c r="K6" s="4" t="s">
        <v>122</v>
      </c>
      <c r="L6" s="4" t="s">
        <v>122</v>
      </c>
      <c r="M6" s="4" t="s">
        <v>209</v>
      </c>
      <c r="N6" s="4" t="s">
        <v>328</v>
      </c>
      <c r="O6" s="4" t="s">
        <v>95</v>
      </c>
      <c r="P6" s="4" t="s">
        <v>328</v>
      </c>
      <c r="Q6" s="4" t="s">
        <v>95</v>
      </c>
      <c r="R6" s="4" t="s">
        <v>95</v>
      </c>
      <c r="S6" s="4" t="s">
        <v>95</v>
      </c>
      <c r="T6" s="4" t="s">
        <v>122</v>
      </c>
    </row>
    <row r="7" customFormat="false" ht="15" hidden="false" customHeight="false" outlineLevel="0" collapsed="false">
      <c r="A7" s="14" t="s">
        <v>51</v>
      </c>
      <c r="B7" s="4" t="s">
        <v>290</v>
      </c>
      <c r="C7" s="4" t="s">
        <v>79</v>
      </c>
      <c r="D7" s="4" t="s">
        <v>312</v>
      </c>
      <c r="E7" s="4" t="s">
        <v>329</v>
      </c>
      <c r="F7" s="4" t="s">
        <v>345</v>
      </c>
      <c r="G7" s="4" t="s">
        <v>359</v>
      </c>
      <c r="H7" s="4" t="s">
        <v>375</v>
      </c>
      <c r="I7" s="4" t="s">
        <v>96</v>
      </c>
      <c r="J7" s="4" t="s">
        <v>110</v>
      </c>
      <c r="K7" s="4" t="s">
        <v>123</v>
      </c>
      <c r="L7" s="4" t="s">
        <v>312</v>
      </c>
      <c r="M7" s="4" t="s">
        <v>408</v>
      </c>
      <c r="N7" s="4" t="s">
        <v>421</v>
      </c>
      <c r="O7" s="4" t="s">
        <v>434</v>
      </c>
      <c r="P7" s="4" t="s">
        <v>421</v>
      </c>
      <c r="Q7" s="4" t="s">
        <v>136</v>
      </c>
      <c r="R7" s="4" t="s">
        <v>110</v>
      </c>
      <c r="S7" s="4" t="s">
        <v>155</v>
      </c>
      <c r="T7" s="4" t="s">
        <v>166</v>
      </c>
    </row>
    <row r="8" customFormat="false" ht="15" hidden="false" customHeight="false" outlineLevel="0" collapsed="false">
      <c r="A8" s="14" t="s">
        <v>52</v>
      </c>
      <c r="B8" s="16" t="s">
        <v>291</v>
      </c>
      <c r="C8" s="16" t="s">
        <v>80</v>
      </c>
      <c r="D8" s="16" t="s">
        <v>313</v>
      </c>
      <c r="E8" s="16" t="s">
        <v>330</v>
      </c>
      <c r="F8" s="16" t="s">
        <v>346</v>
      </c>
      <c r="G8" s="16" t="s">
        <v>360</v>
      </c>
      <c r="H8" s="16" t="s">
        <v>260</v>
      </c>
      <c r="I8" s="16" t="s">
        <v>97</v>
      </c>
      <c r="J8" s="16" t="s">
        <v>111</v>
      </c>
      <c r="K8" s="16" t="s">
        <v>124</v>
      </c>
      <c r="L8" s="16" t="s">
        <v>397</v>
      </c>
      <c r="M8" s="16" t="s">
        <v>409</v>
      </c>
      <c r="N8" s="16" t="s">
        <v>422</v>
      </c>
      <c r="O8" s="16" t="s">
        <v>435</v>
      </c>
      <c r="P8" s="16" t="s">
        <v>447</v>
      </c>
      <c r="Q8" s="16" t="s">
        <v>137</v>
      </c>
      <c r="R8" s="16" t="s">
        <v>148</v>
      </c>
      <c r="S8" s="16" t="s">
        <v>156</v>
      </c>
      <c r="T8" s="16" t="s">
        <v>167</v>
      </c>
    </row>
    <row r="9" customFormat="false" ht="15" hidden="false" customHeight="false" outlineLevel="0" collapsed="false">
      <c r="A9" s="14" t="s">
        <v>53</v>
      </c>
      <c r="B9" s="21" t="n">
        <v>278.04</v>
      </c>
      <c r="C9" s="21" t="n">
        <v>330.22</v>
      </c>
      <c r="D9" s="21" t="n">
        <v>282.06</v>
      </c>
      <c r="E9" s="21" t="n">
        <v>326.85</v>
      </c>
      <c r="F9" s="21" t="n">
        <v>265.82</v>
      </c>
      <c r="G9" s="21" t="n">
        <v>260.98</v>
      </c>
      <c r="H9" s="21" t="n">
        <v>331</v>
      </c>
      <c r="I9" s="21" t="n">
        <v>302</v>
      </c>
      <c r="J9" s="21" t="n">
        <v>285.67</v>
      </c>
      <c r="K9" s="21" t="n">
        <v>283</v>
      </c>
      <c r="L9" s="21" t="n">
        <v>282.06</v>
      </c>
      <c r="M9" s="21" t="n">
        <v>276</v>
      </c>
      <c r="N9" s="21" t="n">
        <v>266.78</v>
      </c>
      <c r="O9" s="21" t="n">
        <v>265.93</v>
      </c>
      <c r="P9" s="21" t="n">
        <v>261.4</v>
      </c>
      <c r="Q9" s="21" t="n">
        <v>255.18</v>
      </c>
      <c r="R9" s="21" t="n">
        <v>254.06</v>
      </c>
      <c r="S9" s="21" t="n">
        <v>253</v>
      </c>
      <c r="T9" s="21" t="n">
        <v>243</v>
      </c>
    </row>
    <row r="10" customFormat="false" ht="15" hidden="false" customHeight="false" outlineLevel="0" collapsed="false">
      <c r="A10" s="14" t="s">
        <v>999</v>
      </c>
      <c r="B10" s="21" t="n">
        <v>262.5</v>
      </c>
      <c r="C10" s="21" t="n">
        <v>300.43</v>
      </c>
      <c r="D10" s="21" t="n">
        <v>255.38</v>
      </c>
      <c r="E10" s="21" t="n">
        <v>253.54</v>
      </c>
      <c r="F10" s="21" t="n">
        <v>241.8</v>
      </c>
      <c r="G10" s="21" t="n">
        <v>228.34</v>
      </c>
      <c r="H10" s="30" t="s">
        <v>732</v>
      </c>
      <c r="I10" s="30" t="s">
        <v>732</v>
      </c>
      <c r="J10" s="30" t="s">
        <v>732</v>
      </c>
      <c r="K10" s="30" t="s">
        <v>732</v>
      </c>
      <c r="L10" s="30" t="s">
        <v>732</v>
      </c>
      <c r="M10" s="30" t="s">
        <v>732</v>
      </c>
      <c r="N10" s="30" t="s">
        <v>732</v>
      </c>
      <c r="O10" s="30" t="s">
        <v>732</v>
      </c>
      <c r="P10" s="30" t="s">
        <v>732</v>
      </c>
      <c r="Q10" s="30" t="s">
        <v>732</v>
      </c>
      <c r="R10" s="30" t="s">
        <v>732</v>
      </c>
      <c r="S10" s="30" t="s">
        <v>732</v>
      </c>
      <c r="T10" s="30" t="s">
        <v>732</v>
      </c>
    </row>
    <row r="11" customFormat="false" ht="44" hidden="false" customHeight="false" outlineLevel="0" collapsed="false">
      <c r="A11" s="14" t="s">
        <v>278</v>
      </c>
      <c r="B11" s="4" t="s">
        <v>292</v>
      </c>
      <c r="C11" s="4" t="s">
        <v>303</v>
      </c>
      <c r="D11" s="4" t="s">
        <v>314</v>
      </c>
      <c r="E11" s="4" t="s">
        <v>331</v>
      </c>
      <c r="F11" s="4" t="s">
        <v>347</v>
      </c>
      <c r="G11" s="4" t="s">
        <v>361</v>
      </c>
      <c r="H11" s="16" t="s">
        <v>376</v>
      </c>
      <c r="I11" s="16" t="s">
        <v>383</v>
      </c>
      <c r="J11" s="4" t="s">
        <v>386</v>
      </c>
      <c r="K11" s="16" t="s">
        <v>391</v>
      </c>
      <c r="L11" s="16" t="s">
        <v>398</v>
      </c>
      <c r="M11" s="4" t="s">
        <v>410</v>
      </c>
      <c r="N11" s="16" t="s">
        <v>423</v>
      </c>
      <c r="O11" s="16" t="s">
        <v>436</v>
      </c>
      <c r="P11" s="16" t="s">
        <v>448</v>
      </c>
      <c r="Q11" s="16" t="s">
        <v>457</v>
      </c>
      <c r="R11" s="4" t="s">
        <v>460</v>
      </c>
      <c r="S11" s="16" t="s">
        <v>463</v>
      </c>
      <c r="T11" s="16" t="s">
        <v>466</v>
      </c>
    </row>
    <row r="12" customFormat="false" ht="15" hidden="false" customHeight="false" outlineLevel="0" collapsed="false">
      <c r="A12" s="14" t="s">
        <v>1000</v>
      </c>
      <c r="B12" s="16" t="s">
        <v>1001</v>
      </c>
      <c r="C12" s="16" t="s">
        <v>1002</v>
      </c>
      <c r="D12" s="16" t="s">
        <v>1003</v>
      </c>
      <c r="E12" s="16" t="s">
        <v>1004</v>
      </c>
      <c r="F12" s="16" t="s">
        <v>1005</v>
      </c>
      <c r="G12" s="16" t="s">
        <v>1006</v>
      </c>
      <c r="H12" s="28" t="s">
        <v>732</v>
      </c>
      <c r="I12" s="28" t="s">
        <v>732</v>
      </c>
      <c r="J12" s="28" t="s">
        <v>732</v>
      </c>
      <c r="K12" s="28" t="s">
        <v>732</v>
      </c>
      <c r="L12" s="28" t="s">
        <v>732</v>
      </c>
      <c r="M12" s="28" t="s">
        <v>732</v>
      </c>
      <c r="N12" s="28" t="s">
        <v>732</v>
      </c>
      <c r="O12" s="28" t="s">
        <v>732</v>
      </c>
      <c r="P12" s="28" t="s">
        <v>732</v>
      </c>
      <c r="Q12" s="28" t="s">
        <v>732</v>
      </c>
      <c r="R12" s="28" t="s">
        <v>732</v>
      </c>
      <c r="S12" s="28" t="s">
        <v>732</v>
      </c>
      <c r="T12" s="28" t="s">
        <v>732</v>
      </c>
    </row>
    <row r="13" customFormat="false" ht="15" hidden="false" customHeight="false" outlineLevel="0" collapsed="false">
      <c r="A13" s="14" t="s">
        <v>1007</v>
      </c>
      <c r="B13" s="23" t="n">
        <v>388500</v>
      </c>
      <c r="C13" s="23" t="n">
        <v>480000</v>
      </c>
      <c r="D13" s="23" t="n">
        <v>472500</v>
      </c>
      <c r="E13" s="23" t="n">
        <v>491000</v>
      </c>
      <c r="F13" s="23" t="n">
        <v>502400</v>
      </c>
      <c r="G13" s="23" t="n">
        <v>465849</v>
      </c>
      <c r="H13" s="23" t="n">
        <v>538703</v>
      </c>
      <c r="I13" s="23" t="n">
        <v>540837</v>
      </c>
      <c r="J13" s="23" t="n">
        <v>428505</v>
      </c>
      <c r="K13" s="23" t="n">
        <v>534870</v>
      </c>
      <c r="L13" s="23" t="n">
        <v>532980</v>
      </c>
      <c r="M13" s="23" t="n">
        <v>504000</v>
      </c>
      <c r="N13" s="23" t="n">
        <v>533500</v>
      </c>
      <c r="O13" s="23" t="n">
        <v>385599</v>
      </c>
      <c r="P13" s="23" t="n">
        <v>421872</v>
      </c>
      <c r="Q13" s="23" t="n">
        <v>507565</v>
      </c>
      <c r="R13" s="23" t="n">
        <v>381090</v>
      </c>
      <c r="S13" s="23" t="n">
        <v>480035</v>
      </c>
      <c r="T13" s="23" t="n">
        <v>534754</v>
      </c>
    </row>
    <row r="14" customFormat="false" ht="72.35" hidden="false" customHeight="false" outlineLevel="0" collapsed="false">
      <c r="A14" s="14" t="s">
        <v>1008</v>
      </c>
      <c r="B14" s="16" t="s">
        <v>293</v>
      </c>
      <c r="C14" s="16" t="s">
        <v>304</v>
      </c>
      <c r="D14" s="16" t="s">
        <v>315</v>
      </c>
      <c r="E14" s="16" t="s">
        <v>332</v>
      </c>
      <c r="F14" s="16" t="s">
        <v>348</v>
      </c>
      <c r="G14" s="16" t="s">
        <v>362</v>
      </c>
      <c r="H14" s="16" t="s">
        <v>377</v>
      </c>
      <c r="I14" s="16" t="s">
        <v>98</v>
      </c>
      <c r="J14" s="16" t="s">
        <v>112</v>
      </c>
      <c r="K14" s="16" t="s">
        <v>125</v>
      </c>
      <c r="L14" s="16" t="s">
        <v>399</v>
      </c>
      <c r="M14" s="16" t="s">
        <v>411</v>
      </c>
      <c r="N14" s="16" t="s">
        <v>424</v>
      </c>
      <c r="O14" s="16" t="s">
        <v>437</v>
      </c>
      <c r="P14" s="16" t="s">
        <v>449</v>
      </c>
      <c r="Q14" s="16" t="s">
        <v>138</v>
      </c>
      <c r="R14" s="16" t="s">
        <v>149</v>
      </c>
      <c r="S14" s="16" t="s">
        <v>157</v>
      </c>
      <c r="T14" s="16" t="s">
        <v>168</v>
      </c>
    </row>
    <row r="15" customFormat="false" ht="15" hidden="false" customHeight="false" outlineLevel="0" collapsed="false">
      <c r="A15" s="14" t="s">
        <v>1009</v>
      </c>
      <c r="B15" s="4" t="s">
        <v>1010</v>
      </c>
      <c r="C15" s="4" t="s">
        <v>1011</v>
      </c>
      <c r="D15" s="4" t="s">
        <v>1012</v>
      </c>
      <c r="E15" s="4" t="s">
        <v>1013</v>
      </c>
      <c r="F15" s="4" t="s">
        <v>1012</v>
      </c>
      <c r="G15" s="4" t="s">
        <v>1012</v>
      </c>
      <c r="H15" s="4" t="s">
        <v>1014</v>
      </c>
      <c r="I15" s="4" t="s">
        <v>1014</v>
      </c>
      <c r="J15" s="4" t="s">
        <v>1015</v>
      </c>
      <c r="K15" s="4" t="s">
        <v>1014</v>
      </c>
      <c r="L15" s="4" t="s">
        <v>1014</v>
      </c>
      <c r="M15" s="4" t="s">
        <v>1014</v>
      </c>
      <c r="N15" s="4" t="s">
        <v>1012</v>
      </c>
      <c r="O15" s="4" t="s">
        <v>1016</v>
      </c>
      <c r="P15" s="4" t="s">
        <v>1017</v>
      </c>
      <c r="Q15" s="4" t="s">
        <v>1014</v>
      </c>
      <c r="R15" s="4" t="s">
        <v>1015</v>
      </c>
      <c r="S15" s="4" t="s">
        <v>1018</v>
      </c>
      <c r="T15" s="4" t="s">
        <v>1016</v>
      </c>
    </row>
    <row r="16" customFormat="false" ht="15" hidden="false" customHeight="false" outlineLevel="0" collapsed="false">
      <c r="A16" s="14" t="s">
        <v>1019</v>
      </c>
      <c r="B16" s="4" t="s">
        <v>1020</v>
      </c>
      <c r="C16" s="4" t="s">
        <v>1021</v>
      </c>
      <c r="D16" s="16" t="s">
        <v>1022</v>
      </c>
      <c r="E16" s="16" t="s">
        <v>1023</v>
      </c>
      <c r="F16" s="16" t="s">
        <v>1024</v>
      </c>
      <c r="G16" s="4" t="s">
        <v>1025</v>
      </c>
      <c r="H16" s="4" t="s">
        <v>1026</v>
      </c>
      <c r="I16" s="4" t="s">
        <v>380</v>
      </c>
      <c r="J16" s="4" t="s">
        <v>1027</v>
      </c>
      <c r="K16" s="4" t="s">
        <v>380</v>
      </c>
      <c r="L16" s="4" t="s">
        <v>380</v>
      </c>
      <c r="M16" s="4" t="s">
        <v>380</v>
      </c>
      <c r="N16" s="4" t="s">
        <v>380</v>
      </c>
      <c r="O16" s="16" t="s">
        <v>1028</v>
      </c>
      <c r="P16" s="4" t="s">
        <v>380</v>
      </c>
      <c r="Q16" s="4" t="s">
        <v>380</v>
      </c>
      <c r="R16" s="4" t="s">
        <v>1029</v>
      </c>
      <c r="S16" s="4" t="s">
        <v>380</v>
      </c>
      <c r="T16" s="4" t="s">
        <v>380</v>
      </c>
    </row>
    <row r="17" customFormat="false" ht="29.85" hidden="false" customHeight="false" outlineLevel="0" collapsed="false">
      <c r="A17" s="14" t="s">
        <v>284</v>
      </c>
      <c r="B17" s="4" t="s">
        <v>298</v>
      </c>
      <c r="C17" s="16" t="s">
        <v>306</v>
      </c>
      <c r="D17" s="4" t="s">
        <v>321</v>
      </c>
      <c r="E17" s="4" t="s">
        <v>338</v>
      </c>
      <c r="F17" s="4" t="s">
        <v>352</v>
      </c>
      <c r="G17" s="4" t="s">
        <v>369</v>
      </c>
      <c r="H17" s="4" t="s">
        <v>380</v>
      </c>
      <c r="I17" s="4" t="s">
        <v>380</v>
      </c>
      <c r="J17" s="4" t="s">
        <v>388</v>
      </c>
      <c r="K17" s="4" t="s">
        <v>392</v>
      </c>
      <c r="L17" s="4" t="s">
        <v>380</v>
      </c>
      <c r="M17" s="4" t="s">
        <v>380</v>
      </c>
      <c r="N17" s="4" t="s">
        <v>380</v>
      </c>
      <c r="O17" s="4" t="s">
        <v>441</v>
      </c>
      <c r="P17" s="4" t="s">
        <v>454</v>
      </c>
      <c r="Q17" s="4" t="s">
        <v>454</v>
      </c>
      <c r="R17" s="4" t="s">
        <v>388</v>
      </c>
      <c r="S17" s="4" t="s">
        <v>380</v>
      </c>
      <c r="T17" s="4" t="s">
        <v>380</v>
      </c>
    </row>
    <row r="18" customFormat="false" ht="15" hidden="false" customHeight="false" outlineLevel="0" collapsed="false">
      <c r="A18" s="14" t="s">
        <v>69</v>
      </c>
      <c r="B18" s="16" t="s">
        <v>202</v>
      </c>
      <c r="C18" s="16" t="s">
        <v>86</v>
      </c>
      <c r="D18" s="16" t="s">
        <v>202</v>
      </c>
      <c r="E18" s="16" t="s">
        <v>129</v>
      </c>
      <c r="F18" s="16" t="s">
        <v>129</v>
      </c>
      <c r="G18" s="16" t="s">
        <v>202</v>
      </c>
      <c r="H18" s="16" t="s">
        <v>129</v>
      </c>
      <c r="I18" s="4" t="s">
        <v>103</v>
      </c>
      <c r="J18" s="16" t="s">
        <v>86</v>
      </c>
      <c r="K18" s="16" t="s">
        <v>129</v>
      </c>
      <c r="L18" s="16" t="s">
        <v>129</v>
      </c>
      <c r="M18" s="16" t="s">
        <v>129</v>
      </c>
      <c r="N18" s="4" t="s">
        <v>103</v>
      </c>
      <c r="O18" s="16" t="s">
        <v>86</v>
      </c>
      <c r="P18" s="16" t="s">
        <v>86</v>
      </c>
      <c r="Q18" s="4" t="s">
        <v>103</v>
      </c>
      <c r="R18" s="16" t="s">
        <v>129</v>
      </c>
      <c r="S18" s="4" t="s">
        <v>103</v>
      </c>
      <c r="T18" s="4" t="s">
        <v>103</v>
      </c>
    </row>
    <row r="19" customFormat="false" ht="29.85" hidden="false" customHeight="false" outlineLevel="0" collapsed="false">
      <c r="A19" s="14" t="s">
        <v>68</v>
      </c>
      <c r="B19" s="4" t="s">
        <v>1030</v>
      </c>
      <c r="C19" s="16" t="s">
        <v>85</v>
      </c>
      <c r="D19" s="4" t="s">
        <v>1031</v>
      </c>
      <c r="E19" s="16" t="s">
        <v>180</v>
      </c>
      <c r="F19" s="16" t="s">
        <v>1032</v>
      </c>
      <c r="G19" s="16" t="s">
        <v>180</v>
      </c>
      <c r="H19" s="4" t="s">
        <v>380</v>
      </c>
      <c r="I19" s="4" t="s">
        <v>102</v>
      </c>
      <c r="J19" s="16" t="s">
        <v>86</v>
      </c>
      <c r="K19" s="16" t="s">
        <v>128</v>
      </c>
      <c r="L19" s="4" t="s">
        <v>1033</v>
      </c>
      <c r="M19" s="4" t="s">
        <v>380</v>
      </c>
      <c r="N19" s="4" t="s">
        <v>159</v>
      </c>
      <c r="O19" s="4" t="s">
        <v>159</v>
      </c>
      <c r="P19" s="4" t="s">
        <v>159</v>
      </c>
      <c r="Q19" s="4" t="s">
        <v>141</v>
      </c>
      <c r="R19" s="16" t="s">
        <v>128</v>
      </c>
      <c r="S19" s="4" t="s">
        <v>159</v>
      </c>
      <c r="T19" s="4" t="s">
        <v>159</v>
      </c>
    </row>
    <row r="20" customFormat="false" ht="29.85" hidden="false" customHeight="false" outlineLevel="0" collapsed="false">
      <c r="A20" s="14" t="s">
        <v>1034</v>
      </c>
      <c r="B20" s="4" t="s">
        <v>297</v>
      </c>
      <c r="C20" s="4" t="s">
        <v>305</v>
      </c>
      <c r="D20" s="4" t="s">
        <v>320</v>
      </c>
      <c r="E20" s="4" t="s">
        <v>337</v>
      </c>
      <c r="F20" s="4" t="s">
        <v>351</v>
      </c>
      <c r="G20" s="4" t="s">
        <v>368</v>
      </c>
      <c r="H20" s="4" t="s">
        <v>305</v>
      </c>
      <c r="I20" s="4" t="s">
        <v>380</v>
      </c>
      <c r="J20" s="4" t="s">
        <v>387</v>
      </c>
      <c r="K20" s="4" t="s">
        <v>380</v>
      </c>
      <c r="L20" s="4" t="s">
        <v>402</v>
      </c>
      <c r="M20" s="4" t="s">
        <v>415</v>
      </c>
      <c r="N20" s="4" t="s">
        <v>380</v>
      </c>
      <c r="O20" s="4" t="s">
        <v>380</v>
      </c>
      <c r="P20" s="4" t="s">
        <v>380</v>
      </c>
      <c r="Q20" s="4" t="s">
        <v>380</v>
      </c>
      <c r="R20" s="4" t="s">
        <v>387</v>
      </c>
      <c r="S20" s="4" t="s">
        <v>380</v>
      </c>
      <c r="T20" s="4" t="s">
        <v>380</v>
      </c>
    </row>
    <row r="21" customFormat="false" ht="15" hidden="false" customHeight="false" outlineLevel="0" collapsed="false">
      <c r="A21" s="14" t="s">
        <v>62</v>
      </c>
      <c r="B21" s="4" t="s">
        <v>1035</v>
      </c>
      <c r="C21" s="4" t="s">
        <v>1036</v>
      </c>
      <c r="D21" s="4" t="s">
        <v>1037</v>
      </c>
      <c r="E21" s="4" t="s">
        <v>1038</v>
      </c>
      <c r="F21" s="4" t="s">
        <v>1036</v>
      </c>
      <c r="G21" s="4" t="s">
        <v>1039</v>
      </c>
      <c r="H21" s="4" t="s">
        <v>1036</v>
      </c>
      <c r="I21" s="4" t="s">
        <v>1040</v>
      </c>
      <c r="J21" s="4" t="s">
        <v>1041</v>
      </c>
      <c r="K21" s="4" t="s">
        <v>1042</v>
      </c>
      <c r="L21" s="4" t="s">
        <v>1037</v>
      </c>
      <c r="M21" s="4" t="s">
        <v>1043</v>
      </c>
      <c r="N21" s="4" t="s">
        <v>1044</v>
      </c>
      <c r="O21" s="4" t="s">
        <v>1045</v>
      </c>
      <c r="P21" s="4" t="s">
        <v>1046</v>
      </c>
      <c r="Q21" s="4" t="s">
        <v>139</v>
      </c>
      <c r="R21" s="4" t="s">
        <v>1041</v>
      </c>
      <c r="S21" s="4" t="s">
        <v>1047</v>
      </c>
      <c r="T21" s="4" t="s">
        <v>1048</v>
      </c>
    </row>
    <row r="22" customFormat="false" ht="29.85" hidden="false" customHeight="false" outlineLevel="0" collapsed="false">
      <c r="A22" s="14" t="s">
        <v>1049</v>
      </c>
      <c r="B22" s="4" t="s">
        <v>1050</v>
      </c>
      <c r="C22" s="4" t="s">
        <v>1051</v>
      </c>
      <c r="D22" s="16" t="s">
        <v>1052</v>
      </c>
      <c r="E22" s="16" t="s">
        <v>1053</v>
      </c>
      <c r="F22" s="4" t="s">
        <v>1050</v>
      </c>
      <c r="G22" s="16" t="s">
        <v>1054</v>
      </c>
      <c r="H22" s="4" t="s">
        <v>1051</v>
      </c>
      <c r="I22" s="16" t="s">
        <v>1055</v>
      </c>
      <c r="J22" s="4" t="s">
        <v>1050</v>
      </c>
      <c r="K22" s="16" t="s">
        <v>1055</v>
      </c>
      <c r="L22" s="4" t="s">
        <v>1056</v>
      </c>
      <c r="M22" s="4" t="s">
        <v>1057</v>
      </c>
      <c r="N22" s="16" t="s">
        <v>1055</v>
      </c>
      <c r="O22" s="16" t="s">
        <v>1055</v>
      </c>
      <c r="P22" s="16" t="s">
        <v>1055</v>
      </c>
      <c r="Q22" s="16" t="s">
        <v>1058</v>
      </c>
      <c r="R22" s="4" t="s">
        <v>1050</v>
      </c>
      <c r="S22" s="16" t="s">
        <v>1055</v>
      </c>
      <c r="T22" s="16" t="s">
        <v>1055</v>
      </c>
    </row>
    <row r="23" customFormat="false" ht="58.2" hidden="false" customHeight="false" outlineLevel="0" collapsed="false">
      <c r="A23" s="14" t="s">
        <v>1059</v>
      </c>
      <c r="B23" s="4" t="s">
        <v>294</v>
      </c>
      <c r="C23" s="4" t="s">
        <v>92</v>
      </c>
      <c r="D23" s="4" t="s">
        <v>317</v>
      </c>
      <c r="E23" s="4" t="s">
        <v>334</v>
      </c>
      <c r="F23" s="4" t="s">
        <v>349</v>
      </c>
      <c r="G23" s="4" t="s">
        <v>365</v>
      </c>
      <c r="H23" s="4" t="s">
        <v>378</v>
      </c>
      <c r="I23" s="4" t="s">
        <v>107</v>
      </c>
      <c r="J23" s="4" t="s">
        <v>119</v>
      </c>
      <c r="K23" s="4" t="s">
        <v>133</v>
      </c>
      <c r="L23" s="4" t="s">
        <v>400</v>
      </c>
      <c r="M23" s="4" t="s">
        <v>412</v>
      </c>
      <c r="N23" s="4" t="s">
        <v>427</v>
      </c>
      <c r="O23" s="4" t="s">
        <v>438</v>
      </c>
      <c r="P23" s="4" t="s">
        <v>451</v>
      </c>
      <c r="Q23" s="4" t="s">
        <v>145</v>
      </c>
      <c r="R23" s="4" t="s">
        <v>152</v>
      </c>
      <c r="S23" s="4" t="s">
        <v>163</v>
      </c>
      <c r="T23" s="4" t="s">
        <v>172</v>
      </c>
    </row>
    <row r="24" customFormat="false" ht="72.35" hidden="false" customHeight="false" outlineLevel="0" collapsed="false">
      <c r="A24" s="14" t="s">
        <v>1060</v>
      </c>
      <c r="B24" s="4" t="s">
        <v>295</v>
      </c>
      <c r="C24" s="16" t="s">
        <v>88</v>
      </c>
      <c r="D24" s="4" t="s">
        <v>318</v>
      </c>
      <c r="E24" s="4" t="s">
        <v>335</v>
      </c>
      <c r="F24" s="28" t="s">
        <v>732</v>
      </c>
      <c r="G24" s="4" t="s">
        <v>366</v>
      </c>
      <c r="H24" s="4" t="s">
        <v>105</v>
      </c>
      <c r="I24" s="4" t="s">
        <v>105</v>
      </c>
      <c r="J24" s="4" t="s">
        <v>117</v>
      </c>
      <c r="K24" s="4" t="s">
        <v>131</v>
      </c>
      <c r="L24" s="4" t="s">
        <v>105</v>
      </c>
      <c r="M24" s="4" t="s">
        <v>413</v>
      </c>
      <c r="N24" s="16" t="s">
        <v>428</v>
      </c>
      <c r="O24" s="4" t="s">
        <v>439</v>
      </c>
      <c r="P24" s="4" t="s">
        <v>452</v>
      </c>
      <c r="Q24" s="4" t="s">
        <v>143</v>
      </c>
      <c r="R24" s="4" t="s">
        <v>117</v>
      </c>
      <c r="S24" s="4" t="s">
        <v>161</v>
      </c>
      <c r="T24" s="4" t="s">
        <v>171</v>
      </c>
    </row>
    <row r="25" customFormat="false" ht="129.1" hidden="false" customHeight="false" outlineLevel="0" collapsed="false">
      <c r="A25" s="14" t="s">
        <v>282</v>
      </c>
      <c r="B25" s="4" t="s">
        <v>296</v>
      </c>
      <c r="C25" s="4" t="s">
        <v>84</v>
      </c>
      <c r="D25" s="4" t="s">
        <v>319</v>
      </c>
      <c r="E25" s="4" t="s">
        <v>336</v>
      </c>
      <c r="F25" s="4" t="s">
        <v>350</v>
      </c>
      <c r="G25" s="4" t="s">
        <v>367</v>
      </c>
      <c r="H25" s="16" t="s">
        <v>379</v>
      </c>
      <c r="I25" s="4" t="s">
        <v>101</v>
      </c>
      <c r="J25" s="4" t="s">
        <v>115</v>
      </c>
      <c r="K25" s="4" t="s">
        <v>127</v>
      </c>
      <c r="L25" s="4" t="s">
        <v>401</v>
      </c>
      <c r="M25" s="4" t="s">
        <v>414</v>
      </c>
      <c r="N25" s="4" t="s">
        <v>429</v>
      </c>
      <c r="O25" s="4" t="s">
        <v>440</v>
      </c>
      <c r="P25" s="4" t="s">
        <v>453</v>
      </c>
      <c r="Q25" s="4" t="s">
        <v>140</v>
      </c>
      <c r="R25" s="4" t="s">
        <v>150</v>
      </c>
      <c r="S25" s="4" t="s">
        <v>158</v>
      </c>
      <c r="T25" s="4" t="s">
        <v>169</v>
      </c>
    </row>
    <row r="26" customFormat="false" ht="114.9" hidden="false" customHeight="false" outlineLevel="0" collapsed="false">
      <c r="A26" s="14" t="s">
        <v>1061</v>
      </c>
      <c r="B26" s="4" t="s">
        <v>1062</v>
      </c>
      <c r="C26" s="4" t="s">
        <v>1063</v>
      </c>
      <c r="D26" s="4" t="s">
        <v>1064</v>
      </c>
      <c r="E26" s="4" t="s">
        <v>1065</v>
      </c>
      <c r="F26" s="4" t="s">
        <v>1066</v>
      </c>
      <c r="G26" s="4" t="s">
        <v>1067</v>
      </c>
      <c r="H26" s="4" t="s">
        <v>1068</v>
      </c>
      <c r="I26" s="4" t="s">
        <v>1069</v>
      </c>
      <c r="J26" s="16" t="s">
        <v>1070</v>
      </c>
      <c r="K26" s="16" t="s">
        <v>1071</v>
      </c>
      <c r="L26" s="4" t="s">
        <v>1072</v>
      </c>
      <c r="M26" s="4" t="s">
        <v>1073</v>
      </c>
      <c r="N26" s="4" t="s">
        <v>1074</v>
      </c>
      <c r="O26" s="4" t="s">
        <v>1075</v>
      </c>
      <c r="P26" s="4" t="s">
        <v>1076</v>
      </c>
      <c r="Q26" s="4" t="s">
        <v>1077</v>
      </c>
      <c r="R26" s="4" t="s">
        <v>1078</v>
      </c>
      <c r="S26" s="28" t="s">
        <v>732</v>
      </c>
      <c r="T26" s="4" t="s">
        <v>1079</v>
      </c>
    </row>
    <row r="27" customFormat="false" ht="15" hidden="false" customHeight="false" outlineLevel="0" collapsed="false">
      <c r="A27" s="14" t="s">
        <v>1080</v>
      </c>
      <c r="B27" s="28" t="s">
        <v>732</v>
      </c>
      <c r="C27" s="28" t="s">
        <v>732</v>
      </c>
      <c r="D27" s="28" t="s">
        <v>732</v>
      </c>
      <c r="E27" s="28" t="s">
        <v>732</v>
      </c>
      <c r="F27" s="28" t="s">
        <v>732</v>
      </c>
      <c r="G27" s="28" t="s">
        <v>732</v>
      </c>
      <c r="H27" s="28" t="s">
        <v>732</v>
      </c>
      <c r="I27" s="28" t="s">
        <v>732</v>
      </c>
      <c r="J27" s="4" t="s">
        <v>1081</v>
      </c>
      <c r="K27" s="28" t="s">
        <v>732</v>
      </c>
      <c r="L27" s="4" t="s">
        <v>1082</v>
      </c>
      <c r="M27" s="28" t="s">
        <v>732</v>
      </c>
      <c r="N27" s="28" t="s">
        <v>732</v>
      </c>
      <c r="O27" s="28" t="s">
        <v>732</v>
      </c>
      <c r="P27" s="28" t="s">
        <v>732</v>
      </c>
      <c r="Q27" s="28" t="s">
        <v>732</v>
      </c>
      <c r="R27" s="4" t="s">
        <v>1083</v>
      </c>
      <c r="S27" s="28" t="s">
        <v>732</v>
      </c>
      <c r="T27" s="28" t="s">
        <v>732</v>
      </c>
    </row>
    <row r="28" customFormat="false" ht="72.35" hidden="false" customHeight="false" outlineLevel="0" collapsed="false">
      <c r="A28" s="14" t="s">
        <v>285</v>
      </c>
      <c r="B28" s="4" t="s">
        <v>299</v>
      </c>
      <c r="C28" s="16" t="s">
        <v>307</v>
      </c>
      <c r="D28" s="4" t="s">
        <v>322</v>
      </c>
      <c r="E28" s="4" t="s">
        <v>339</v>
      </c>
      <c r="F28" s="4" t="s">
        <v>353</v>
      </c>
      <c r="G28" s="4" t="s">
        <v>370</v>
      </c>
      <c r="H28" s="4" t="s">
        <v>381</v>
      </c>
      <c r="I28" s="16" t="s">
        <v>384</v>
      </c>
      <c r="J28" s="4" t="s">
        <v>389</v>
      </c>
      <c r="K28" s="16" t="s">
        <v>393</v>
      </c>
      <c r="L28" s="4" t="s">
        <v>403</v>
      </c>
      <c r="M28" s="4" t="s">
        <v>416</v>
      </c>
      <c r="N28" s="16" t="s">
        <v>430</v>
      </c>
      <c r="O28" s="16" t="s">
        <v>442</v>
      </c>
      <c r="P28" s="16" t="s">
        <v>455</v>
      </c>
      <c r="Q28" s="16" t="s">
        <v>458</v>
      </c>
      <c r="R28" s="4" t="s">
        <v>461</v>
      </c>
      <c r="S28" s="16" t="s">
        <v>464</v>
      </c>
      <c r="T28" s="16" t="s">
        <v>467</v>
      </c>
    </row>
    <row r="29" customFormat="false" ht="44" hidden="false" customHeight="false" outlineLevel="0" collapsed="false">
      <c r="A29" s="14" t="s">
        <v>72</v>
      </c>
      <c r="B29" s="4" t="s">
        <v>300</v>
      </c>
      <c r="C29" s="4" t="s">
        <v>89</v>
      </c>
      <c r="D29" s="4" t="s">
        <v>323</v>
      </c>
      <c r="E29" s="4" t="s">
        <v>340</v>
      </c>
      <c r="F29" s="4" t="s">
        <v>354</v>
      </c>
      <c r="G29" s="4" t="s">
        <v>371</v>
      </c>
      <c r="H29" s="4" t="s">
        <v>265</v>
      </c>
      <c r="I29" s="4" t="s">
        <v>106</v>
      </c>
      <c r="J29" s="4" t="s">
        <v>118</v>
      </c>
      <c r="K29" s="4" t="s">
        <v>132</v>
      </c>
      <c r="L29" s="4" t="s">
        <v>404</v>
      </c>
      <c r="M29" s="4" t="s">
        <v>265</v>
      </c>
      <c r="N29" s="4" t="s">
        <v>226</v>
      </c>
      <c r="O29" s="4" t="s">
        <v>443</v>
      </c>
      <c r="P29" s="4" t="s">
        <v>226</v>
      </c>
      <c r="Q29" s="4" t="s">
        <v>144</v>
      </c>
      <c r="R29" s="4" t="s">
        <v>118</v>
      </c>
      <c r="S29" s="4" t="s">
        <v>162</v>
      </c>
      <c r="T29" s="4" t="s">
        <v>162</v>
      </c>
    </row>
    <row r="30" customFormat="false" ht="15" hidden="false" customHeight="false" outlineLevel="0" collapsed="false">
      <c r="A30" s="14" t="s">
        <v>286</v>
      </c>
      <c r="B30" s="20" t="s">
        <v>301</v>
      </c>
      <c r="C30" s="20" t="s">
        <v>308</v>
      </c>
      <c r="D30" s="20" t="s">
        <v>324</v>
      </c>
      <c r="E30" s="29" t="s">
        <v>341</v>
      </c>
      <c r="F30" s="20" t="s">
        <v>355</v>
      </c>
      <c r="G30" s="29" t="s">
        <v>341</v>
      </c>
      <c r="H30" s="20" t="s">
        <v>382</v>
      </c>
      <c r="I30" s="29" t="s">
        <v>341</v>
      </c>
      <c r="J30" s="20" t="s">
        <v>355</v>
      </c>
      <c r="K30" s="29" t="s">
        <v>341</v>
      </c>
      <c r="L30" s="29" t="s">
        <v>341</v>
      </c>
      <c r="M30" s="20" t="s">
        <v>417</v>
      </c>
      <c r="N30" s="29" t="s">
        <v>341</v>
      </c>
      <c r="O30" s="29" t="s">
        <v>341</v>
      </c>
      <c r="P30" s="29" t="s">
        <v>341</v>
      </c>
      <c r="Q30" s="29" t="s">
        <v>341</v>
      </c>
      <c r="R30" s="20" t="s">
        <v>355</v>
      </c>
      <c r="S30" s="29" t="s">
        <v>341</v>
      </c>
      <c r="T30" s="29" t="s">
        <v>341</v>
      </c>
    </row>
    <row r="31" customFormat="false" ht="15" hidden="false" customHeight="false" outlineLevel="0" collapsed="false">
      <c r="A31" s="4"/>
      <c r="C31" s="29" t="s">
        <v>1084</v>
      </c>
      <c r="D31" s="29" t="s">
        <v>1085</v>
      </c>
      <c r="E31" s="29" t="s">
        <v>1086</v>
      </c>
      <c r="F31" s="20" t="s">
        <v>1087</v>
      </c>
      <c r="G31" s="20" t="s">
        <v>417</v>
      </c>
      <c r="H31" s="20" t="s">
        <v>1087</v>
      </c>
      <c r="I31" s="29" t="s">
        <v>1088</v>
      </c>
      <c r="J31" s="29" t="s">
        <v>341</v>
      </c>
      <c r="K31" s="20" t="s">
        <v>1089</v>
      </c>
      <c r="L31" s="20" t="s">
        <v>1089</v>
      </c>
      <c r="M31" s="20" t="s">
        <v>1090</v>
      </c>
      <c r="Q31" s="29" t="s">
        <v>1091</v>
      </c>
      <c r="R31" s="29" t="s">
        <v>341</v>
      </c>
    </row>
    <row r="32" customFormat="false" ht="15" hidden="false" customHeight="false" outlineLevel="0" collapsed="false">
      <c r="A32" s="4"/>
      <c r="E32" s="20" t="s">
        <v>1092</v>
      </c>
      <c r="G32" s="29" t="s">
        <v>1093</v>
      </c>
      <c r="L32" s="20" t="s">
        <v>324</v>
      </c>
    </row>
    <row r="33" customFormat="false" ht="15" hidden="false" customHeight="false" outlineLevel="0" collapsed="false">
      <c r="A33" s="4"/>
      <c r="E33" s="20" t="s">
        <v>382</v>
      </c>
    </row>
  </sheetData>
  <hyperlinks>
    <hyperlink ref="B30" r:id="rId1" display="信義全球物件頁（16張照片）"/>
    <hyperlink ref="C30" r:id="rId2" display="信義全球 10F（面積分項）"/>
    <hyperlink ref="D30" r:id="rId3" display="大樓照片（好房網19張）"/>
    <hyperlink ref="E30" r:id="rId4" display="591 物件頁"/>
    <hyperlink ref="F30" r:id="rId5" display="信義全球物件頁"/>
    <hyperlink ref="G30" r:id="rId6" display="591 物件頁"/>
    <hyperlink ref="H30" r:id="rId7" location="page=3" display="傑森愛華清單 第3頁"/>
    <hyperlink ref="I30" r:id="rId8" display="591 物件頁"/>
    <hyperlink ref="J30" r:id="rId9" display="信義全球物件頁"/>
    <hyperlink ref="K30" r:id="rId10" display="591 物件頁"/>
    <hyperlink ref="L30" r:id="rId11" display="591 物件頁"/>
    <hyperlink ref="M30" r:id="rId12" location="page=1" display="傑森愛華清單 第1頁"/>
    <hyperlink ref="N30" r:id="rId13" display="591 物件頁"/>
    <hyperlink ref="O30" r:id="rId14" display="591 物件頁"/>
    <hyperlink ref="P30" r:id="rId15" display="591 物件頁"/>
    <hyperlink ref="Q30" r:id="rId16" display="591 物件頁"/>
    <hyperlink ref="R30" r:id="rId17" display="信義全球物件頁"/>
    <hyperlink ref="S30" r:id="rId18" display="591 物件頁"/>
    <hyperlink ref="T30" r:id="rId19" display="591 物件頁"/>
    <hyperlink ref="C31" r:id="rId20" display="591 物件頁（9/30 已下架）"/>
    <hyperlink ref="D31" r:id="rId21" display="591 房仲提供案"/>
    <hyperlink ref="E31" r:id="rId22" display="591 同戶（葛林威）"/>
    <hyperlink ref="F31" r:id="rId23" display="大樓介紹（findoffice）"/>
    <hyperlink ref="G31" r:id="rId24" location="page=1" display="傑森愛華清單 第1頁"/>
    <hyperlink ref="H31" r:id="rId25" display="大樓介紹（findoffice）"/>
    <hyperlink ref="I31" r:id="rId26" display="591 同戶（兆淇）"/>
    <hyperlink ref="J31" r:id="rId27" display="591 物件頁"/>
    <hyperlink ref="K31" r:id="rId28" location="page=2" display="傑森愛華清單 第2頁"/>
    <hyperlink ref="L31" r:id="rId29" location="page=2" display="傑森愛華清單 第2頁"/>
    <hyperlink ref="M31" r:id="rId30" display="推定大樓照片（好房網31張）"/>
    <hyperlink ref="Q31" r:id="rId31" display="591 21812612（易信）"/>
    <hyperlink ref="R31" r:id="rId32" display="591 物件頁"/>
    <hyperlink ref="E32" r:id="rId33" display="大樓照片（好房網18張）"/>
    <hyperlink ref="G32" r:id="rId34" display="591 大樓頁"/>
    <hyperlink ref="L32" r:id="rId35" display="大樓照片（好房網19張）"/>
    <hyperlink ref="E33" r:id="rId36" location="page=3" display="傑森愛華清單 第3頁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60"/>
  </cols>
  <sheetData>
    <row r="1" customFormat="false" ht="33.75" hidden="false" customHeight="true" outlineLevel="0" collapsed="false">
      <c r="A1" s="3" t="s">
        <v>49</v>
      </c>
      <c r="B1" s="3" t="s">
        <v>47</v>
      </c>
      <c r="C1" s="3" t="s">
        <v>48</v>
      </c>
      <c r="D1" s="3" t="s">
        <v>1094</v>
      </c>
      <c r="E1" s="3" t="s">
        <v>1095</v>
      </c>
      <c r="F1" s="3" t="s">
        <v>1096</v>
      </c>
    </row>
    <row r="2" customFormat="false" ht="29.85" hidden="false" customHeight="false" outlineLevel="0" collapsed="false">
      <c r="A2" s="8" t="s">
        <v>16</v>
      </c>
      <c r="B2" s="16" t="s">
        <v>288</v>
      </c>
      <c r="C2" s="4" t="s">
        <v>968</v>
      </c>
      <c r="D2" s="28" t="s">
        <v>1097</v>
      </c>
      <c r="E2" s="4" t="s">
        <v>300</v>
      </c>
      <c r="F2" s="4" t="s">
        <v>1098</v>
      </c>
    </row>
    <row r="3" customFormat="false" ht="29.85" hidden="false" customHeight="false" outlineLevel="0" collapsed="false">
      <c r="A3" s="8" t="s">
        <v>16</v>
      </c>
      <c r="B3" s="16" t="s">
        <v>288</v>
      </c>
      <c r="C3" s="4" t="s">
        <v>968</v>
      </c>
      <c r="D3" s="28" t="s">
        <v>1099</v>
      </c>
      <c r="E3" s="4" t="s">
        <v>300</v>
      </c>
      <c r="F3" s="4" t="s">
        <v>1100</v>
      </c>
    </row>
    <row r="4" customFormat="false" ht="29.85" hidden="false" customHeight="false" outlineLevel="0" collapsed="false">
      <c r="A4" s="10" t="s">
        <v>18</v>
      </c>
      <c r="B4" s="16" t="s">
        <v>76</v>
      </c>
      <c r="C4" s="4" t="s">
        <v>969</v>
      </c>
      <c r="D4" s="25" t="s">
        <v>1101</v>
      </c>
      <c r="E4" s="4" t="s">
        <v>89</v>
      </c>
      <c r="F4" s="4" t="s">
        <v>1102</v>
      </c>
    </row>
    <row r="5" customFormat="false" ht="15" hidden="false" customHeight="false" outlineLevel="0" collapsed="false">
      <c r="A5" s="10" t="s">
        <v>18</v>
      </c>
      <c r="B5" s="16" t="s">
        <v>76</v>
      </c>
      <c r="C5" s="4" t="s">
        <v>969</v>
      </c>
      <c r="D5" s="28" t="s">
        <v>1097</v>
      </c>
      <c r="E5" s="4" t="s">
        <v>89</v>
      </c>
      <c r="F5" s="4" t="s">
        <v>1098</v>
      </c>
    </row>
    <row r="6" customFormat="false" ht="15" hidden="false" customHeight="false" outlineLevel="0" collapsed="false">
      <c r="A6" s="10" t="s">
        <v>18</v>
      </c>
      <c r="B6" s="16" t="s">
        <v>76</v>
      </c>
      <c r="C6" s="4" t="s">
        <v>969</v>
      </c>
      <c r="D6" s="28" t="s">
        <v>1103</v>
      </c>
      <c r="E6" s="4" t="s">
        <v>89</v>
      </c>
      <c r="F6" s="4" t="s">
        <v>1104</v>
      </c>
    </row>
    <row r="7" customFormat="false" ht="29.85" hidden="false" customHeight="false" outlineLevel="0" collapsed="false">
      <c r="A7" s="10" t="s">
        <v>18</v>
      </c>
      <c r="B7" s="16" t="s">
        <v>310</v>
      </c>
      <c r="C7" s="4" t="s">
        <v>970</v>
      </c>
      <c r="D7" s="28" t="s">
        <v>1105</v>
      </c>
      <c r="E7" s="4" t="s">
        <v>323</v>
      </c>
      <c r="F7" s="4" t="s">
        <v>1106</v>
      </c>
    </row>
    <row r="8" customFormat="false" ht="29.85" hidden="false" customHeight="false" outlineLevel="0" collapsed="false">
      <c r="A8" s="10" t="s">
        <v>18</v>
      </c>
      <c r="B8" s="16" t="s">
        <v>310</v>
      </c>
      <c r="C8" s="4" t="s">
        <v>970</v>
      </c>
      <c r="D8" s="28" t="s">
        <v>1099</v>
      </c>
      <c r="E8" s="4" t="s">
        <v>323</v>
      </c>
      <c r="F8" s="4" t="s">
        <v>1100</v>
      </c>
    </row>
    <row r="9" customFormat="false" ht="41" hidden="false" customHeight="false" outlineLevel="0" collapsed="false">
      <c r="A9" s="10" t="s">
        <v>18</v>
      </c>
      <c r="B9" s="16" t="s">
        <v>326</v>
      </c>
      <c r="C9" s="4" t="s">
        <v>971</v>
      </c>
      <c r="D9" s="28" t="s">
        <v>1107</v>
      </c>
      <c r="E9" s="4" t="s">
        <v>340</v>
      </c>
      <c r="F9" s="4" t="s">
        <v>1102</v>
      </c>
    </row>
    <row r="10" customFormat="false" ht="41" hidden="false" customHeight="false" outlineLevel="0" collapsed="false">
      <c r="A10" s="10" t="s">
        <v>18</v>
      </c>
      <c r="B10" s="16" t="s">
        <v>326</v>
      </c>
      <c r="C10" s="4" t="s">
        <v>971</v>
      </c>
      <c r="D10" s="28" t="s">
        <v>1108</v>
      </c>
      <c r="E10" s="4" t="s">
        <v>340</v>
      </c>
      <c r="F10" s="4" t="s">
        <v>1109</v>
      </c>
    </row>
    <row r="11" customFormat="false" ht="41" hidden="false" customHeight="false" outlineLevel="0" collapsed="false">
      <c r="A11" s="10" t="s">
        <v>18</v>
      </c>
      <c r="B11" s="16" t="s">
        <v>357</v>
      </c>
      <c r="C11" s="4" t="s">
        <v>973</v>
      </c>
      <c r="D11" s="28" t="s">
        <v>1110</v>
      </c>
      <c r="E11" s="4" t="s">
        <v>371</v>
      </c>
      <c r="F11" s="4" t="s">
        <v>1102</v>
      </c>
    </row>
    <row r="12" customFormat="false" ht="41" hidden="false" customHeight="false" outlineLevel="0" collapsed="false">
      <c r="A12" s="10" t="s">
        <v>18</v>
      </c>
      <c r="B12" s="16" t="s">
        <v>357</v>
      </c>
      <c r="C12" s="4" t="s">
        <v>973</v>
      </c>
      <c r="D12" s="28" t="s">
        <v>1108</v>
      </c>
      <c r="E12" s="4" t="s">
        <v>371</v>
      </c>
      <c r="F12" s="4" t="s">
        <v>1109</v>
      </c>
    </row>
    <row r="13" customFormat="false" ht="15" hidden="false" customHeight="false" outlineLevel="0" collapsed="false">
      <c r="A13" s="11" t="s">
        <v>20</v>
      </c>
      <c r="B13" s="16" t="s">
        <v>373</v>
      </c>
      <c r="C13" s="4" t="s">
        <v>974</v>
      </c>
      <c r="D13" s="28" t="s">
        <v>755</v>
      </c>
      <c r="E13" s="4" t="s">
        <v>265</v>
      </c>
      <c r="F13" s="4" t="s">
        <v>1111</v>
      </c>
    </row>
    <row r="14" customFormat="false" ht="15" hidden="false" customHeight="false" outlineLevel="0" collapsed="false">
      <c r="A14" s="11" t="s">
        <v>20</v>
      </c>
      <c r="B14" s="16" t="s">
        <v>373</v>
      </c>
      <c r="C14" s="4" t="s">
        <v>974</v>
      </c>
      <c r="D14" s="28" t="s">
        <v>1112</v>
      </c>
      <c r="E14" s="4" t="s">
        <v>265</v>
      </c>
      <c r="F14" s="4" t="s">
        <v>1113</v>
      </c>
    </row>
    <row r="15" customFormat="false" ht="15" hidden="false" customHeight="false" outlineLevel="0" collapsed="false">
      <c r="A15" s="11" t="s">
        <v>20</v>
      </c>
      <c r="B15" s="16" t="s">
        <v>373</v>
      </c>
      <c r="C15" s="4" t="s">
        <v>974</v>
      </c>
      <c r="D15" s="28" t="s">
        <v>1108</v>
      </c>
      <c r="E15" s="4" t="s">
        <v>265</v>
      </c>
      <c r="F15" s="4" t="s">
        <v>1109</v>
      </c>
    </row>
    <row r="16" customFormat="false" ht="29.85" hidden="false" customHeight="false" outlineLevel="0" collapsed="false">
      <c r="A16" s="11" t="s">
        <v>20</v>
      </c>
      <c r="B16" s="16" t="s">
        <v>93</v>
      </c>
      <c r="C16" s="4" t="s">
        <v>975</v>
      </c>
      <c r="D16" s="28" t="s">
        <v>755</v>
      </c>
      <c r="E16" s="4" t="s">
        <v>106</v>
      </c>
      <c r="F16" s="4" t="s">
        <v>1111</v>
      </c>
    </row>
    <row r="17" customFormat="false" ht="29.85" hidden="false" customHeight="false" outlineLevel="0" collapsed="false">
      <c r="A17" s="11" t="s">
        <v>20</v>
      </c>
      <c r="B17" s="16" t="s">
        <v>93</v>
      </c>
      <c r="C17" s="4" t="s">
        <v>975</v>
      </c>
      <c r="D17" s="28" t="s">
        <v>1112</v>
      </c>
      <c r="E17" s="4" t="s">
        <v>106</v>
      </c>
      <c r="F17" s="4" t="s">
        <v>1113</v>
      </c>
    </row>
    <row r="18" customFormat="false" ht="29.85" hidden="false" customHeight="false" outlineLevel="0" collapsed="false">
      <c r="A18" s="11" t="s">
        <v>20</v>
      </c>
      <c r="B18" s="16" t="s">
        <v>93</v>
      </c>
      <c r="C18" s="4" t="s">
        <v>975</v>
      </c>
      <c r="D18" s="28" t="s">
        <v>1108</v>
      </c>
      <c r="E18" s="4" t="s">
        <v>106</v>
      </c>
      <c r="F18" s="4" t="s">
        <v>1109</v>
      </c>
    </row>
    <row r="19" customFormat="false" ht="15" hidden="false" customHeight="false" outlineLevel="0" collapsed="false">
      <c r="A19" s="11" t="s">
        <v>20</v>
      </c>
      <c r="B19" s="16" t="s">
        <v>108</v>
      </c>
      <c r="C19" s="4" t="s">
        <v>976</v>
      </c>
      <c r="D19" s="28" t="s">
        <v>1114</v>
      </c>
      <c r="E19" s="4" t="s">
        <v>118</v>
      </c>
      <c r="F19" s="4" t="s">
        <v>1115</v>
      </c>
    </row>
    <row r="20" customFormat="false" ht="15" hidden="false" customHeight="false" outlineLevel="0" collapsed="false">
      <c r="A20" s="11" t="s">
        <v>20</v>
      </c>
      <c r="B20" s="16" t="s">
        <v>108</v>
      </c>
      <c r="C20" s="4" t="s">
        <v>976</v>
      </c>
      <c r="D20" s="28" t="s">
        <v>476</v>
      </c>
      <c r="E20" s="4" t="s">
        <v>118</v>
      </c>
      <c r="F20" s="4" t="s">
        <v>1098</v>
      </c>
    </row>
    <row r="21" customFormat="false" ht="29.85" hidden="false" customHeight="false" outlineLevel="0" collapsed="false">
      <c r="A21" s="11" t="s">
        <v>20</v>
      </c>
      <c r="B21" s="16" t="s">
        <v>120</v>
      </c>
      <c r="C21" s="4" t="s">
        <v>977</v>
      </c>
      <c r="D21" s="28" t="s">
        <v>755</v>
      </c>
      <c r="E21" s="4" t="s">
        <v>132</v>
      </c>
      <c r="F21" s="4" t="s">
        <v>1111</v>
      </c>
    </row>
    <row r="22" customFormat="false" ht="29.85" hidden="false" customHeight="false" outlineLevel="0" collapsed="false">
      <c r="A22" s="11" t="s">
        <v>20</v>
      </c>
      <c r="B22" s="16" t="s">
        <v>120</v>
      </c>
      <c r="C22" s="4" t="s">
        <v>977</v>
      </c>
      <c r="D22" s="28" t="s">
        <v>1116</v>
      </c>
      <c r="E22" s="4" t="s">
        <v>132</v>
      </c>
      <c r="F22" s="4" t="s">
        <v>1117</v>
      </c>
    </row>
    <row r="23" customFormat="false" ht="29.85" hidden="false" customHeight="false" outlineLevel="0" collapsed="false">
      <c r="A23" s="11" t="s">
        <v>20</v>
      </c>
      <c r="B23" s="16" t="s">
        <v>120</v>
      </c>
      <c r="C23" s="4" t="s">
        <v>977</v>
      </c>
      <c r="D23" s="28" t="s">
        <v>1112</v>
      </c>
      <c r="E23" s="4" t="s">
        <v>132</v>
      </c>
      <c r="F23" s="4" t="s">
        <v>1113</v>
      </c>
    </row>
    <row r="24" customFormat="false" ht="29.85" hidden="false" customHeight="false" outlineLevel="0" collapsed="false">
      <c r="A24" s="11" t="s">
        <v>20</v>
      </c>
      <c r="B24" s="16" t="s">
        <v>120</v>
      </c>
      <c r="C24" s="4" t="s">
        <v>977</v>
      </c>
      <c r="D24" s="28" t="s">
        <v>1108</v>
      </c>
      <c r="E24" s="4" t="s">
        <v>132</v>
      </c>
      <c r="F24" s="4" t="s">
        <v>1109</v>
      </c>
    </row>
    <row r="25" customFormat="false" ht="29.85" hidden="false" customHeight="false" outlineLevel="0" collapsed="false">
      <c r="A25" s="11" t="s">
        <v>20</v>
      </c>
      <c r="B25" s="16" t="s">
        <v>395</v>
      </c>
      <c r="C25" s="4" t="s">
        <v>978</v>
      </c>
      <c r="D25" s="28" t="s">
        <v>755</v>
      </c>
      <c r="E25" s="4" t="s">
        <v>404</v>
      </c>
      <c r="F25" s="4" t="s">
        <v>1111</v>
      </c>
    </row>
    <row r="26" customFormat="false" ht="29.85" hidden="false" customHeight="false" outlineLevel="0" collapsed="false">
      <c r="A26" s="11" t="s">
        <v>20</v>
      </c>
      <c r="B26" s="16" t="s">
        <v>395</v>
      </c>
      <c r="C26" s="4" t="s">
        <v>978</v>
      </c>
      <c r="D26" s="28" t="s">
        <v>1112</v>
      </c>
      <c r="E26" s="4" t="s">
        <v>404</v>
      </c>
      <c r="F26" s="4" t="s">
        <v>1113</v>
      </c>
    </row>
    <row r="27" customFormat="false" ht="29.85" hidden="false" customHeight="false" outlineLevel="0" collapsed="false">
      <c r="A27" s="11" t="s">
        <v>20</v>
      </c>
      <c r="B27" s="16" t="s">
        <v>395</v>
      </c>
      <c r="C27" s="4" t="s">
        <v>978</v>
      </c>
      <c r="D27" s="28" t="s">
        <v>1108</v>
      </c>
      <c r="E27" s="4" t="s">
        <v>404</v>
      </c>
      <c r="F27" s="4" t="s">
        <v>1109</v>
      </c>
    </row>
    <row r="28" customFormat="false" ht="15" hidden="false" customHeight="false" outlineLevel="0" collapsed="false">
      <c r="A28" s="11" t="s">
        <v>20</v>
      </c>
      <c r="B28" s="16" t="s">
        <v>406</v>
      </c>
      <c r="C28" s="4" t="s">
        <v>979</v>
      </c>
      <c r="D28" s="28" t="s">
        <v>755</v>
      </c>
      <c r="E28" s="4" t="s">
        <v>265</v>
      </c>
      <c r="F28" s="4" t="s">
        <v>1111</v>
      </c>
    </row>
    <row r="29" customFormat="false" ht="15" hidden="false" customHeight="false" outlineLevel="0" collapsed="false">
      <c r="A29" s="11" t="s">
        <v>20</v>
      </c>
      <c r="B29" s="16" t="s">
        <v>406</v>
      </c>
      <c r="C29" s="4" t="s">
        <v>979</v>
      </c>
      <c r="D29" s="28" t="s">
        <v>1118</v>
      </c>
      <c r="E29" s="4" t="s">
        <v>265</v>
      </c>
      <c r="F29" s="4" t="s">
        <v>1117</v>
      </c>
    </row>
    <row r="30" customFormat="false" ht="15" hidden="false" customHeight="false" outlineLevel="0" collapsed="false">
      <c r="A30" s="11" t="s">
        <v>20</v>
      </c>
      <c r="B30" s="16" t="s">
        <v>406</v>
      </c>
      <c r="C30" s="4" t="s">
        <v>979</v>
      </c>
      <c r="D30" s="28" t="s">
        <v>1112</v>
      </c>
      <c r="E30" s="4" t="s">
        <v>265</v>
      </c>
      <c r="F30" s="4" t="s">
        <v>1113</v>
      </c>
    </row>
    <row r="31" customFormat="false" ht="15" hidden="false" customHeight="false" outlineLevel="0" collapsed="false">
      <c r="A31" s="11" t="s">
        <v>20</v>
      </c>
      <c r="B31" s="16" t="s">
        <v>406</v>
      </c>
      <c r="C31" s="4" t="s">
        <v>979</v>
      </c>
      <c r="D31" s="28" t="s">
        <v>1108</v>
      </c>
      <c r="E31" s="4" t="s">
        <v>265</v>
      </c>
      <c r="F31" s="4" t="s">
        <v>1109</v>
      </c>
    </row>
    <row r="32" customFormat="false" ht="15" hidden="false" customHeight="false" outlineLevel="0" collapsed="false">
      <c r="A32" s="11" t="s">
        <v>20</v>
      </c>
      <c r="B32" s="16" t="s">
        <v>419</v>
      </c>
      <c r="C32" s="4" t="s">
        <v>980</v>
      </c>
      <c r="D32" s="25" t="s">
        <v>1119</v>
      </c>
      <c r="E32" s="4" t="s">
        <v>226</v>
      </c>
      <c r="F32" s="4" t="s">
        <v>1102</v>
      </c>
    </row>
    <row r="33" customFormat="false" ht="15" hidden="false" customHeight="false" outlineLevel="0" collapsed="false">
      <c r="A33" s="11" t="s">
        <v>20</v>
      </c>
      <c r="B33" s="16" t="s">
        <v>419</v>
      </c>
      <c r="C33" s="4" t="s">
        <v>980</v>
      </c>
      <c r="D33" s="28" t="s">
        <v>755</v>
      </c>
      <c r="E33" s="4" t="s">
        <v>226</v>
      </c>
      <c r="F33" s="4" t="s">
        <v>1111</v>
      </c>
    </row>
    <row r="34" customFormat="false" ht="15" hidden="false" customHeight="false" outlineLevel="0" collapsed="false">
      <c r="A34" s="11" t="s">
        <v>20</v>
      </c>
      <c r="B34" s="16" t="s">
        <v>419</v>
      </c>
      <c r="C34" s="4" t="s">
        <v>980</v>
      </c>
      <c r="D34" s="28" t="s">
        <v>1112</v>
      </c>
      <c r="E34" s="4" t="s">
        <v>226</v>
      </c>
      <c r="F34" s="4" t="s">
        <v>1113</v>
      </c>
    </row>
    <row r="35" customFormat="false" ht="15" hidden="false" customHeight="false" outlineLevel="0" collapsed="false">
      <c r="A35" s="11" t="s">
        <v>20</v>
      </c>
      <c r="B35" s="16" t="s">
        <v>419</v>
      </c>
      <c r="C35" s="4" t="s">
        <v>980</v>
      </c>
      <c r="D35" s="28" t="s">
        <v>1108</v>
      </c>
      <c r="E35" s="4" t="s">
        <v>226</v>
      </c>
      <c r="F35" s="4" t="s">
        <v>1109</v>
      </c>
    </row>
    <row r="36" customFormat="false" ht="15" hidden="false" customHeight="false" outlineLevel="0" collapsed="false">
      <c r="A36" s="11" t="s">
        <v>20</v>
      </c>
      <c r="B36" s="16" t="s">
        <v>432</v>
      </c>
      <c r="C36" s="4" t="s">
        <v>981</v>
      </c>
      <c r="D36" s="28" t="s">
        <v>755</v>
      </c>
      <c r="E36" s="4" t="s">
        <v>443</v>
      </c>
      <c r="F36" s="4" t="s">
        <v>1111</v>
      </c>
    </row>
    <row r="37" customFormat="false" ht="15" hidden="false" customHeight="false" outlineLevel="0" collapsed="false">
      <c r="A37" s="11" t="s">
        <v>20</v>
      </c>
      <c r="B37" s="16" t="s">
        <v>432</v>
      </c>
      <c r="C37" s="4" t="s">
        <v>981</v>
      </c>
      <c r="D37" s="28" t="s">
        <v>476</v>
      </c>
      <c r="E37" s="4" t="s">
        <v>443</v>
      </c>
      <c r="F37" s="4" t="s">
        <v>1098</v>
      </c>
    </row>
    <row r="38" customFormat="false" ht="15" hidden="false" customHeight="false" outlineLevel="0" collapsed="false">
      <c r="A38" s="11" t="s">
        <v>20</v>
      </c>
      <c r="B38" s="16" t="s">
        <v>432</v>
      </c>
      <c r="C38" s="4" t="s">
        <v>981</v>
      </c>
      <c r="D38" s="28" t="s">
        <v>1120</v>
      </c>
      <c r="E38" s="4" t="s">
        <v>443</v>
      </c>
      <c r="F38" s="4" t="s">
        <v>1121</v>
      </c>
    </row>
    <row r="39" customFormat="false" ht="15" hidden="false" customHeight="false" outlineLevel="0" collapsed="false">
      <c r="A39" s="11" t="s">
        <v>20</v>
      </c>
      <c r="B39" s="16" t="s">
        <v>432</v>
      </c>
      <c r="C39" s="4" t="s">
        <v>981</v>
      </c>
      <c r="D39" s="28" t="s">
        <v>1108</v>
      </c>
      <c r="E39" s="4" t="s">
        <v>443</v>
      </c>
      <c r="F39" s="4" t="s">
        <v>1109</v>
      </c>
    </row>
    <row r="40" customFormat="false" ht="15" hidden="false" customHeight="false" outlineLevel="0" collapsed="false">
      <c r="A40" s="11" t="s">
        <v>20</v>
      </c>
      <c r="B40" s="16" t="s">
        <v>445</v>
      </c>
      <c r="C40" s="4" t="s">
        <v>982</v>
      </c>
      <c r="D40" s="28" t="s">
        <v>755</v>
      </c>
      <c r="E40" s="4" t="s">
        <v>226</v>
      </c>
      <c r="F40" s="4" t="s">
        <v>1111</v>
      </c>
    </row>
    <row r="41" customFormat="false" ht="15" hidden="false" customHeight="false" outlineLevel="0" collapsed="false">
      <c r="A41" s="11" t="s">
        <v>20</v>
      </c>
      <c r="B41" s="16" t="s">
        <v>445</v>
      </c>
      <c r="C41" s="4" t="s">
        <v>982</v>
      </c>
      <c r="D41" s="28" t="s">
        <v>1097</v>
      </c>
      <c r="E41" s="4" t="s">
        <v>226</v>
      </c>
      <c r="F41" s="4" t="s">
        <v>1098</v>
      </c>
    </row>
    <row r="42" customFormat="false" ht="15" hidden="false" customHeight="false" outlineLevel="0" collapsed="false">
      <c r="A42" s="11" t="s">
        <v>20</v>
      </c>
      <c r="B42" s="16" t="s">
        <v>445</v>
      </c>
      <c r="C42" s="4" t="s">
        <v>982</v>
      </c>
      <c r="D42" s="28" t="s">
        <v>1122</v>
      </c>
      <c r="E42" s="4" t="s">
        <v>226</v>
      </c>
      <c r="F42" s="4" t="s">
        <v>1123</v>
      </c>
    </row>
    <row r="43" customFormat="false" ht="15" hidden="false" customHeight="false" outlineLevel="0" collapsed="false">
      <c r="A43" s="11" t="s">
        <v>20</v>
      </c>
      <c r="B43" s="16" t="s">
        <v>445</v>
      </c>
      <c r="C43" s="4" t="s">
        <v>982</v>
      </c>
      <c r="D43" s="28" t="s">
        <v>1108</v>
      </c>
      <c r="E43" s="4" t="s">
        <v>226</v>
      </c>
      <c r="F43" s="4" t="s">
        <v>1109</v>
      </c>
    </row>
    <row r="44" customFormat="false" ht="29.85" hidden="false" customHeight="false" outlineLevel="0" collapsed="false">
      <c r="A44" s="11" t="s">
        <v>20</v>
      </c>
      <c r="B44" s="16" t="s">
        <v>134</v>
      </c>
      <c r="C44" s="4" t="s">
        <v>983</v>
      </c>
      <c r="D44" s="28" t="s">
        <v>1124</v>
      </c>
      <c r="E44" s="4" t="s">
        <v>144</v>
      </c>
      <c r="F44" s="4" t="s">
        <v>1125</v>
      </c>
    </row>
    <row r="45" customFormat="false" ht="29.85" hidden="false" customHeight="false" outlineLevel="0" collapsed="false">
      <c r="A45" s="11" t="s">
        <v>20</v>
      </c>
      <c r="B45" s="16" t="s">
        <v>134</v>
      </c>
      <c r="C45" s="4" t="s">
        <v>983</v>
      </c>
      <c r="D45" s="28" t="s">
        <v>1126</v>
      </c>
      <c r="E45" s="4" t="s">
        <v>144</v>
      </c>
      <c r="F45" s="4" t="s">
        <v>1127</v>
      </c>
    </row>
    <row r="46" customFormat="false" ht="29.85" hidden="false" customHeight="false" outlineLevel="0" collapsed="false">
      <c r="A46" s="11" t="s">
        <v>20</v>
      </c>
      <c r="B46" s="16" t="s">
        <v>134</v>
      </c>
      <c r="C46" s="4" t="s">
        <v>983</v>
      </c>
      <c r="D46" s="28" t="s">
        <v>1128</v>
      </c>
      <c r="E46" s="4" t="s">
        <v>144</v>
      </c>
      <c r="F46" s="4" t="s">
        <v>1102</v>
      </c>
    </row>
    <row r="47" customFormat="false" ht="15" hidden="false" customHeight="false" outlineLevel="0" collapsed="false">
      <c r="A47" s="11" t="s">
        <v>20</v>
      </c>
      <c r="B47" s="16" t="s">
        <v>146</v>
      </c>
      <c r="C47" s="4" t="s">
        <v>984</v>
      </c>
      <c r="D47" s="28" t="s">
        <v>1114</v>
      </c>
      <c r="E47" s="4" t="s">
        <v>118</v>
      </c>
      <c r="F47" s="4" t="s">
        <v>1115</v>
      </c>
    </row>
    <row r="48" customFormat="false" ht="15" hidden="false" customHeight="false" outlineLevel="0" collapsed="false">
      <c r="A48" s="11" t="s">
        <v>20</v>
      </c>
      <c r="B48" s="16" t="s">
        <v>146</v>
      </c>
      <c r="C48" s="4" t="s">
        <v>984</v>
      </c>
      <c r="D48" s="28" t="s">
        <v>476</v>
      </c>
      <c r="E48" s="4" t="s">
        <v>118</v>
      </c>
      <c r="F48" s="4" t="s">
        <v>1098</v>
      </c>
    </row>
    <row r="49" customFormat="false" ht="15" hidden="false" customHeight="false" outlineLevel="0" collapsed="false">
      <c r="A49" s="11" t="s">
        <v>20</v>
      </c>
      <c r="B49" s="16" t="s">
        <v>153</v>
      </c>
      <c r="C49" s="4" t="s">
        <v>985</v>
      </c>
      <c r="D49" s="28" t="s">
        <v>755</v>
      </c>
      <c r="E49" s="4" t="s">
        <v>162</v>
      </c>
      <c r="F49" s="4" t="s">
        <v>1111</v>
      </c>
    </row>
    <row r="50" customFormat="false" ht="15" hidden="false" customHeight="false" outlineLevel="0" collapsed="false">
      <c r="A50" s="11" t="s">
        <v>20</v>
      </c>
      <c r="B50" s="16" t="s">
        <v>153</v>
      </c>
      <c r="C50" s="4" t="s">
        <v>985</v>
      </c>
      <c r="D50" s="28" t="s">
        <v>1097</v>
      </c>
      <c r="E50" s="4" t="s">
        <v>162</v>
      </c>
      <c r="F50" s="4" t="s">
        <v>1098</v>
      </c>
    </row>
    <row r="51" customFormat="false" ht="15" hidden="false" customHeight="false" outlineLevel="0" collapsed="false">
      <c r="A51" s="11" t="s">
        <v>20</v>
      </c>
      <c r="B51" s="16" t="s">
        <v>153</v>
      </c>
      <c r="C51" s="4" t="s">
        <v>985</v>
      </c>
      <c r="D51" s="28" t="s">
        <v>1112</v>
      </c>
      <c r="E51" s="4" t="s">
        <v>162</v>
      </c>
      <c r="F51" s="4" t="s">
        <v>1113</v>
      </c>
    </row>
    <row r="52" customFormat="false" ht="15" hidden="false" customHeight="false" outlineLevel="0" collapsed="false">
      <c r="A52" s="11" t="s">
        <v>20</v>
      </c>
      <c r="B52" s="16" t="s">
        <v>153</v>
      </c>
      <c r="C52" s="4" t="s">
        <v>985</v>
      </c>
      <c r="D52" s="28" t="s">
        <v>1108</v>
      </c>
      <c r="E52" s="4" t="s">
        <v>162</v>
      </c>
      <c r="F52" s="4" t="s">
        <v>1109</v>
      </c>
    </row>
    <row r="53" customFormat="false" ht="15" hidden="false" customHeight="false" outlineLevel="0" collapsed="false">
      <c r="A53" s="11" t="s">
        <v>20</v>
      </c>
      <c r="B53" s="16" t="s">
        <v>164</v>
      </c>
      <c r="C53" s="4" t="s">
        <v>986</v>
      </c>
      <c r="D53" s="28" t="s">
        <v>755</v>
      </c>
      <c r="E53" s="4" t="s">
        <v>162</v>
      </c>
      <c r="F53" s="4" t="s">
        <v>1111</v>
      </c>
    </row>
    <row r="54" customFormat="false" ht="15" hidden="false" customHeight="false" outlineLevel="0" collapsed="false">
      <c r="A54" s="11" t="s">
        <v>20</v>
      </c>
      <c r="B54" s="16" t="s">
        <v>164</v>
      </c>
      <c r="C54" s="4" t="s">
        <v>986</v>
      </c>
      <c r="D54" s="28" t="s">
        <v>1129</v>
      </c>
      <c r="E54" s="4" t="s">
        <v>162</v>
      </c>
      <c r="F54" s="4" t="s">
        <v>1098</v>
      </c>
    </row>
    <row r="55" customFormat="false" ht="15" hidden="false" customHeight="false" outlineLevel="0" collapsed="false">
      <c r="A55" s="11" t="s">
        <v>20</v>
      </c>
      <c r="B55" s="16" t="s">
        <v>164</v>
      </c>
      <c r="C55" s="4" t="s">
        <v>986</v>
      </c>
      <c r="D55" s="28" t="s">
        <v>1108</v>
      </c>
      <c r="E55" s="4" t="s">
        <v>162</v>
      </c>
      <c r="F55" s="4" t="s">
        <v>1109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9" min="8" style="0" width="40"/>
  </cols>
  <sheetData>
    <row r="1" customFormat="false" ht="33.75" hidden="false" customHeight="true" outlineLevel="0" collapsed="false">
      <c r="A1" s="3" t="s">
        <v>47</v>
      </c>
      <c r="B1" s="3" t="s">
        <v>48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1130</v>
      </c>
      <c r="H1" s="3" t="s">
        <v>1131</v>
      </c>
      <c r="I1" s="3" t="s">
        <v>1132</v>
      </c>
    </row>
    <row r="2" customFormat="false" ht="29.85" hidden="false" customHeight="false" outlineLevel="0" collapsed="false">
      <c r="A2" s="16" t="s">
        <v>288</v>
      </c>
      <c r="B2" s="4" t="s">
        <v>968</v>
      </c>
      <c r="C2" s="4" t="s">
        <v>99</v>
      </c>
      <c r="D2" s="4" t="s">
        <v>100</v>
      </c>
      <c r="E2" s="23" t="n">
        <v>530</v>
      </c>
      <c r="F2" s="13" t="n">
        <f aca="false">IF(E2="","",ROUNDUP(E2*1.3/80,0))</f>
        <v>9</v>
      </c>
      <c r="G2" s="4"/>
      <c r="H2" s="4" t="s">
        <v>1050</v>
      </c>
      <c r="I2" s="4" t="s">
        <v>1133</v>
      </c>
    </row>
    <row r="3" customFormat="false" ht="15" hidden="false" customHeight="false" outlineLevel="0" collapsed="false">
      <c r="A3" s="16" t="s">
        <v>76</v>
      </c>
      <c r="B3" s="4" t="s">
        <v>969</v>
      </c>
      <c r="C3" s="4" t="s">
        <v>82</v>
      </c>
      <c r="D3" s="4" t="s">
        <v>83</v>
      </c>
      <c r="E3" s="23" t="n">
        <v>950</v>
      </c>
      <c r="F3" s="13" t="n">
        <f aca="false">IF(E3="","",ROUNDUP(E3*1.3/80,0))</f>
        <v>16</v>
      </c>
      <c r="G3" s="4"/>
      <c r="H3" s="4" t="s">
        <v>1051</v>
      </c>
      <c r="I3" s="4" t="s">
        <v>1133</v>
      </c>
    </row>
    <row r="4" customFormat="false" ht="15" hidden="false" customHeight="false" outlineLevel="0" collapsed="false">
      <c r="A4" s="16" t="s">
        <v>310</v>
      </c>
      <c r="B4" s="4" t="s">
        <v>970</v>
      </c>
      <c r="C4" s="4" t="s">
        <v>316</v>
      </c>
      <c r="D4" s="4" t="s">
        <v>114</v>
      </c>
      <c r="E4" s="23" t="n">
        <v>570</v>
      </c>
      <c r="F4" s="13" t="n">
        <f aca="false">IF(E4="","",ROUNDUP(E4*1.3/80,0))</f>
        <v>10</v>
      </c>
      <c r="G4" s="4"/>
      <c r="H4" s="16" t="s">
        <v>1052</v>
      </c>
      <c r="I4" s="4" t="s">
        <v>1133</v>
      </c>
    </row>
    <row r="5" customFormat="false" ht="15" hidden="false" customHeight="false" outlineLevel="0" collapsed="false">
      <c r="A5" s="16" t="s">
        <v>326</v>
      </c>
      <c r="B5" s="4" t="s">
        <v>971</v>
      </c>
      <c r="C5" s="4" t="s">
        <v>333</v>
      </c>
      <c r="D5" s="4" t="s">
        <v>100</v>
      </c>
      <c r="E5" s="23" t="n">
        <v>380</v>
      </c>
      <c r="F5" s="13" t="n">
        <f aca="false">IF(E5="","",ROUNDUP(E5*1.3/80,0))</f>
        <v>7</v>
      </c>
      <c r="G5" s="4"/>
      <c r="H5" s="16" t="s">
        <v>1053</v>
      </c>
      <c r="I5" s="4" t="s">
        <v>1133</v>
      </c>
    </row>
    <row r="6" customFormat="false" ht="15" hidden="false" customHeight="false" outlineLevel="0" collapsed="false">
      <c r="A6" s="16" t="s">
        <v>343</v>
      </c>
      <c r="B6" s="4" t="s">
        <v>972</v>
      </c>
      <c r="C6" s="4" t="s">
        <v>82</v>
      </c>
      <c r="D6" s="4" t="s">
        <v>83</v>
      </c>
      <c r="E6" s="23" t="n">
        <v>950</v>
      </c>
      <c r="F6" s="13" t="n">
        <f aca="false">IF(E6="","",ROUNDUP(E6*1.3/80,0))</f>
        <v>16</v>
      </c>
      <c r="G6" s="4"/>
      <c r="H6" s="4" t="s">
        <v>1050</v>
      </c>
      <c r="I6" s="4" t="s">
        <v>1133</v>
      </c>
    </row>
    <row r="7" customFormat="false" ht="15" hidden="false" customHeight="false" outlineLevel="0" collapsed="false">
      <c r="A7" s="16" t="s">
        <v>357</v>
      </c>
      <c r="B7" s="4" t="s">
        <v>973</v>
      </c>
      <c r="C7" s="4" t="s">
        <v>363</v>
      </c>
      <c r="D7" s="4" t="s">
        <v>364</v>
      </c>
      <c r="E7" s="23" t="n">
        <v>150</v>
      </c>
      <c r="F7" s="13" t="n">
        <f aca="false">IF(E7="","",ROUNDUP(E7*1.3/80,0))</f>
        <v>3</v>
      </c>
      <c r="G7" s="4"/>
      <c r="H7" s="16" t="s">
        <v>1054</v>
      </c>
      <c r="I7" s="4" t="s">
        <v>1133</v>
      </c>
    </row>
    <row r="8" customFormat="false" ht="15" hidden="false" customHeight="false" outlineLevel="0" collapsed="false">
      <c r="A8" s="16" t="s">
        <v>373</v>
      </c>
      <c r="B8" s="4" t="s">
        <v>974</v>
      </c>
      <c r="C8" s="4" t="s">
        <v>82</v>
      </c>
      <c r="D8" s="4" t="s">
        <v>83</v>
      </c>
      <c r="E8" s="23" t="n">
        <v>950</v>
      </c>
      <c r="F8" s="13" t="n">
        <f aca="false">IF(E8="","",ROUNDUP(E8*1.3/80,0))</f>
        <v>16</v>
      </c>
      <c r="G8" s="4"/>
      <c r="H8" s="4" t="s">
        <v>1051</v>
      </c>
      <c r="I8" s="4" t="s">
        <v>1133</v>
      </c>
    </row>
    <row r="9" customFormat="false" ht="15" hidden="false" customHeight="false" outlineLevel="0" collapsed="false">
      <c r="A9" s="16" t="s">
        <v>93</v>
      </c>
      <c r="B9" s="4" t="s">
        <v>975</v>
      </c>
      <c r="C9" s="4" t="s">
        <v>99</v>
      </c>
      <c r="D9" s="4" t="s">
        <v>100</v>
      </c>
      <c r="E9" s="23" t="n">
        <v>156</v>
      </c>
      <c r="F9" s="13" t="n">
        <f aca="false">IF(E9="","",ROUNDUP(E9*1.3/80,0))</f>
        <v>3</v>
      </c>
      <c r="G9" s="4"/>
      <c r="H9" s="16" t="s">
        <v>1055</v>
      </c>
      <c r="I9" s="4" t="s">
        <v>1134</v>
      </c>
    </row>
    <row r="10" customFormat="false" ht="15" hidden="false" customHeight="false" outlineLevel="0" collapsed="false">
      <c r="A10" s="16" t="s">
        <v>108</v>
      </c>
      <c r="B10" s="4" t="s">
        <v>976</v>
      </c>
      <c r="C10" s="4" t="s">
        <v>113</v>
      </c>
      <c r="D10" s="4" t="s">
        <v>114</v>
      </c>
      <c r="E10" s="23" t="n">
        <v>620</v>
      </c>
      <c r="F10" s="13" t="n">
        <f aca="false">IF(E10="","",ROUNDUP(E10*1.3/80,0))</f>
        <v>11</v>
      </c>
      <c r="G10" s="4"/>
      <c r="H10" s="4" t="s">
        <v>1050</v>
      </c>
      <c r="I10" s="4" t="s">
        <v>1133</v>
      </c>
    </row>
    <row r="11" customFormat="false" ht="15" hidden="false" customHeight="false" outlineLevel="0" collapsed="false">
      <c r="A11" s="16" t="s">
        <v>120</v>
      </c>
      <c r="B11" s="4" t="s">
        <v>977</v>
      </c>
      <c r="C11" s="4" t="s">
        <v>126</v>
      </c>
      <c r="D11" s="4" t="s">
        <v>100</v>
      </c>
      <c r="E11" s="23" t="n">
        <v>88</v>
      </c>
      <c r="F11" s="13" t="n">
        <f aca="false">IF(E11="","",ROUNDUP(E11*1.3/80,0))</f>
        <v>2</v>
      </c>
      <c r="G11" s="4"/>
      <c r="H11" s="16" t="s">
        <v>1055</v>
      </c>
      <c r="I11" s="4" t="s">
        <v>1134</v>
      </c>
    </row>
    <row r="12" customFormat="false" ht="15" hidden="false" customHeight="false" outlineLevel="0" collapsed="false">
      <c r="A12" s="16" t="s">
        <v>395</v>
      </c>
      <c r="B12" s="4" t="s">
        <v>978</v>
      </c>
      <c r="C12" s="4" t="s">
        <v>316</v>
      </c>
      <c r="D12" s="4" t="s">
        <v>114</v>
      </c>
      <c r="E12" s="23" t="n">
        <v>570</v>
      </c>
      <c r="F12" s="13" t="n">
        <f aca="false">IF(E12="","",ROUNDUP(E12*1.3/80,0))</f>
        <v>10</v>
      </c>
      <c r="G12" s="4"/>
      <c r="H12" s="4" t="s">
        <v>1056</v>
      </c>
      <c r="I12" s="4" t="s">
        <v>1133</v>
      </c>
    </row>
    <row r="13" customFormat="false" ht="15" hidden="false" customHeight="false" outlineLevel="0" collapsed="false">
      <c r="A13" s="16" t="s">
        <v>406</v>
      </c>
      <c r="B13" s="4" t="s">
        <v>979</v>
      </c>
      <c r="C13" s="4" t="s">
        <v>251</v>
      </c>
      <c r="D13" s="4" t="s">
        <v>114</v>
      </c>
      <c r="E13" s="23" t="n">
        <v>300</v>
      </c>
      <c r="F13" s="13" t="n">
        <f aca="false">IF(E13="","",ROUNDUP(E13*1.3/80,0))</f>
        <v>5</v>
      </c>
      <c r="G13" s="4"/>
      <c r="H13" s="4" t="s">
        <v>1057</v>
      </c>
      <c r="I13" s="4" t="s">
        <v>1133</v>
      </c>
    </row>
    <row r="14" customFormat="false" ht="15" hidden="false" customHeight="false" outlineLevel="0" collapsed="false">
      <c r="A14" s="16" t="s">
        <v>419</v>
      </c>
      <c r="B14" s="4" t="s">
        <v>980</v>
      </c>
      <c r="C14" s="4" t="s">
        <v>425</v>
      </c>
      <c r="D14" s="4" t="s">
        <v>426</v>
      </c>
      <c r="E14" s="23" t="n">
        <v>171</v>
      </c>
      <c r="F14" s="13" t="n">
        <f aca="false">IF(E14="","",ROUNDUP(E14*1.3/80,0))</f>
        <v>3</v>
      </c>
      <c r="G14" s="4"/>
      <c r="H14" s="16" t="s">
        <v>1055</v>
      </c>
      <c r="I14" s="4" t="s">
        <v>1134</v>
      </c>
    </row>
    <row r="15" customFormat="false" ht="15" hidden="false" customHeight="false" outlineLevel="0" collapsed="false">
      <c r="A15" s="16" t="s">
        <v>432</v>
      </c>
      <c r="B15" s="4" t="s">
        <v>981</v>
      </c>
      <c r="C15" s="4" t="s">
        <v>198</v>
      </c>
      <c r="D15" s="4" t="s">
        <v>83</v>
      </c>
      <c r="E15" s="23" t="n">
        <v>170</v>
      </c>
      <c r="F15" s="13" t="n">
        <f aca="false">IF(E15="","",ROUNDUP(E15*1.3/80,0))</f>
        <v>3</v>
      </c>
      <c r="G15" s="4"/>
      <c r="H15" s="16" t="s">
        <v>1055</v>
      </c>
      <c r="I15" s="4" t="s">
        <v>1134</v>
      </c>
    </row>
    <row r="16" customFormat="false" ht="15" hidden="false" customHeight="false" outlineLevel="0" collapsed="false">
      <c r="A16" s="16" t="s">
        <v>445</v>
      </c>
      <c r="B16" s="4" t="s">
        <v>982</v>
      </c>
      <c r="C16" s="4" t="s">
        <v>450</v>
      </c>
      <c r="D16" s="4" t="s">
        <v>114</v>
      </c>
      <c r="E16" s="23" t="n">
        <v>119</v>
      </c>
      <c r="F16" s="13" t="n">
        <f aca="false">IF(E16="","",ROUNDUP(E16*1.3/80,0))</f>
        <v>2</v>
      </c>
      <c r="G16" s="4"/>
      <c r="H16" s="16" t="s">
        <v>1055</v>
      </c>
      <c r="I16" s="4" t="s">
        <v>1134</v>
      </c>
    </row>
    <row r="17" customFormat="false" ht="29.85" hidden="false" customHeight="false" outlineLevel="0" collapsed="false">
      <c r="A17" s="16" t="s">
        <v>134</v>
      </c>
      <c r="B17" s="4" t="s">
        <v>983</v>
      </c>
      <c r="C17" s="28" t="s">
        <v>734</v>
      </c>
      <c r="D17" s="4"/>
      <c r="E17" s="23"/>
      <c r="F17" s="13" t="str">
        <f aca="false">IF(E17="","",ROUNDUP(E17*1.3/80,0))</f>
        <v/>
      </c>
      <c r="G17" s="4" t="s">
        <v>139</v>
      </c>
      <c r="H17" s="16" t="s">
        <v>1058</v>
      </c>
      <c r="I17" s="4" t="s">
        <v>1135</v>
      </c>
    </row>
    <row r="18" customFormat="false" ht="15" hidden="false" customHeight="false" outlineLevel="0" collapsed="false">
      <c r="A18" s="16" t="s">
        <v>146</v>
      </c>
      <c r="B18" s="4" t="s">
        <v>984</v>
      </c>
      <c r="C18" s="4" t="s">
        <v>113</v>
      </c>
      <c r="D18" s="4" t="s">
        <v>114</v>
      </c>
      <c r="E18" s="23" t="n">
        <v>620</v>
      </c>
      <c r="F18" s="13" t="n">
        <f aca="false">IF(E18="","",ROUNDUP(E18*1.3/80,0))</f>
        <v>11</v>
      </c>
      <c r="G18" s="4"/>
      <c r="H18" s="4" t="s">
        <v>1050</v>
      </c>
      <c r="I18" s="4" t="s">
        <v>1133</v>
      </c>
    </row>
    <row r="19" customFormat="false" ht="15" hidden="false" customHeight="false" outlineLevel="0" collapsed="false">
      <c r="A19" s="16" t="s">
        <v>153</v>
      </c>
      <c r="B19" s="4" t="s">
        <v>985</v>
      </c>
      <c r="C19" s="4" t="s">
        <v>99</v>
      </c>
      <c r="D19" s="4" t="s">
        <v>100</v>
      </c>
      <c r="E19" s="23" t="n">
        <v>310</v>
      </c>
      <c r="F19" s="13" t="n">
        <f aca="false">IF(E19="","",ROUNDUP(E19*1.3/80,0))</f>
        <v>6</v>
      </c>
      <c r="G19" s="4"/>
      <c r="H19" s="16" t="s">
        <v>1055</v>
      </c>
      <c r="I19" s="4" t="s">
        <v>1134</v>
      </c>
    </row>
    <row r="20" customFormat="false" ht="15" hidden="false" customHeight="false" outlineLevel="0" collapsed="false">
      <c r="A20" s="16" t="s">
        <v>164</v>
      </c>
      <c r="B20" s="4" t="s">
        <v>986</v>
      </c>
      <c r="C20" s="4" t="s">
        <v>126</v>
      </c>
      <c r="D20" s="4" t="s">
        <v>100</v>
      </c>
      <c r="E20" s="23" t="n">
        <v>48</v>
      </c>
      <c r="F20" s="13" t="n">
        <f aca="false">IF(E20="","",ROUNDUP(E20*1.3/80,0))</f>
        <v>1</v>
      </c>
      <c r="G20" s="4"/>
      <c r="H20" s="16" t="s">
        <v>1055</v>
      </c>
      <c r="I20" s="4" t="s">
        <v>1134</v>
      </c>
    </row>
    <row r="21" customFormat="false" ht="15" hidden="false" customHeight="false" outlineLevel="0" collapsed="false">
      <c r="A21" s="16" t="s">
        <v>469</v>
      </c>
      <c r="B21" s="4" t="s">
        <v>1136</v>
      </c>
      <c r="C21" s="4" t="s">
        <v>82</v>
      </c>
      <c r="D21" s="4" t="s">
        <v>83</v>
      </c>
      <c r="E21" s="23" t="n">
        <v>950</v>
      </c>
      <c r="F21" s="13" t="n">
        <f aca="false">IF(E21="","",ROUNDUP(E21*1.3/80,0))</f>
        <v>16</v>
      </c>
      <c r="G21" s="4"/>
      <c r="H21" s="4" t="s">
        <v>1051</v>
      </c>
      <c r="I21" s="4" t="s">
        <v>1133</v>
      </c>
    </row>
    <row r="22" customFormat="false" ht="15" hidden="false" customHeight="false" outlineLevel="0" collapsed="false">
      <c r="A22" s="16" t="s">
        <v>481</v>
      </c>
      <c r="B22" s="4" t="s">
        <v>1137</v>
      </c>
      <c r="C22" s="4" t="s">
        <v>82</v>
      </c>
      <c r="D22" s="4" t="s">
        <v>83</v>
      </c>
      <c r="E22" s="23" t="n">
        <v>950</v>
      </c>
      <c r="F22" s="13" t="n">
        <f aca="false">IF(E22="","",ROUNDUP(E22*1.3/80,0))</f>
        <v>16</v>
      </c>
      <c r="G22" s="4"/>
      <c r="H22" s="4" t="s">
        <v>1051</v>
      </c>
      <c r="I22" s="4" t="s">
        <v>1133</v>
      </c>
    </row>
    <row r="23" customFormat="false" ht="15" hidden="false" customHeight="false" outlineLevel="0" collapsed="false">
      <c r="A23" s="16" t="s">
        <v>489</v>
      </c>
      <c r="B23" s="4" t="s">
        <v>1138</v>
      </c>
      <c r="C23" s="4" t="s">
        <v>113</v>
      </c>
      <c r="D23" s="4" t="s">
        <v>114</v>
      </c>
      <c r="E23" s="23" t="n">
        <v>290</v>
      </c>
      <c r="F23" s="13" t="n">
        <f aca="false">IF(E23="","",ROUNDUP(E23*1.3/80,0))</f>
        <v>5</v>
      </c>
      <c r="G23" s="4"/>
      <c r="H23" s="4" t="s">
        <v>1050</v>
      </c>
      <c r="I23" s="4" t="s">
        <v>1133</v>
      </c>
    </row>
    <row r="24" customFormat="false" ht="15" hidden="false" customHeight="false" outlineLevel="0" collapsed="false">
      <c r="A24" s="16" t="s">
        <v>502</v>
      </c>
      <c r="B24" s="4" t="s">
        <v>1139</v>
      </c>
      <c r="C24" s="4" t="s">
        <v>198</v>
      </c>
      <c r="D24" s="4" t="s">
        <v>83</v>
      </c>
      <c r="E24" s="23" t="n">
        <v>66</v>
      </c>
      <c r="F24" s="13" t="n">
        <f aca="false">IF(E24="","",ROUNDUP(E24*1.3/80,0))</f>
        <v>2</v>
      </c>
      <c r="G24" s="4"/>
      <c r="H24" s="16" t="s">
        <v>1055</v>
      </c>
      <c r="I24" s="4" t="s">
        <v>1134</v>
      </c>
    </row>
    <row r="25" customFormat="false" ht="15" hidden="false" customHeight="false" outlineLevel="0" collapsed="false">
      <c r="A25" s="16" t="s">
        <v>512</v>
      </c>
      <c r="B25" s="4" t="s">
        <v>1140</v>
      </c>
      <c r="C25" s="4" t="s">
        <v>82</v>
      </c>
      <c r="D25" s="4" t="s">
        <v>83</v>
      </c>
      <c r="E25" s="23" t="n">
        <v>950</v>
      </c>
      <c r="F25" s="13" t="n">
        <f aca="false">IF(E25="","",ROUNDUP(E25*1.3/80,0))</f>
        <v>16</v>
      </c>
      <c r="G25" s="4"/>
      <c r="H25" s="4" t="s">
        <v>1051</v>
      </c>
      <c r="I25" s="4" t="s">
        <v>1133</v>
      </c>
    </row>
    <row r="26" customFormat="false" ht="15" hidden="false" customHeight="false" outlineLevel="0" collapsed="false">
      <c r="A26" s="16" t="s">
        <v>519</v>
      </c>
      <c r="B26" s="4" t="s">
        <v>1141</v>
      </c>
      <c r="C26" s="4" t="s">
        <v>251</v>
      </c>
      <c r="D26" s="4" t="s">
        <v>114</v>
      </c>
      <c r="E26" s="23" t="n">
        <v>580</v>
      </c>
      <c r="F26" s="13" t="n">
        <f aca="false">IF(E26="","",ROUNDUP(E26*1.3/80,0))</f>
        <v>10</v>
      </c>
      <c r="G26" s="4"/>
      <c r="H26" s="4" t="s">
        <v>1050</v>
      </c>
      <c r="I26" s="4" t="s">
        <v>1133</v>
      </c>
    </row>
    <row r="27" customFormat="false" ht="29.85" hidden="false" customHeight="false" outlineLevel="0" collapsed="false">
      <c r="A27" s="16" t="s">
        <v>173</v>
      </c>
      <c r="B27" s="4" t="s">
        <v>1142</v>
      </c>
      <c r="C27" s="28" t="s">
        <v>734</v>
      </c>
      <c r="D27" s="4"/>
      <c r="E27" s="23"/>
      <c r="F27" s="13" t="str">
        <f aca="false">IF(E27="","",ROUNDUP(E27*1.3/80,0))</f>
        <v/>
      </c>
      <c r="G27" s="4" t="s">
        <v>178</v>
      </c>
      <c r="H27" s="4" t="s">
        <v>1143</v>
      </c>
      <c r="I27" s="4" t="s">
        <v>1135</v>
      </c>
    </row>
    <row r="28" customFormat="false" ht="15" hidden="false" customHeight="false" outlineLevel="0" collapsed="false">
      <c r="A28" s="16" t="s">
        <v>539</v>
      </c>
      <c r="B28" s="4" t="s">
        <v>1144</v>
      </c>
      <c r="C28" s="4" t="s">
        <v>545</v>
      </c>
      <c r="D28" s="4" t="s">
        <v>114</v>
      </c>
      <c r="E28" s="23" t="n">
        <v>190</v>
      </c>
      <c r="F28" s="13" t="n">
        <f aca="false">IF(E28="","",ROUNDUP(E28*1.3/80,0))</f>
        <v>4</v>
      </c>
      <c r="G28" s="4"/>
      <c r="H28" s="4" t="s">
        <v>1050</v>
      </c>
      <c r="I28" s="4" t="s">
        <v>1133</v>
      </c>
    </row>
    <row r="29" customFormat="false" ht="15" hidden="false" customHeight="false" outlineLevel="0" collapsed="false">
      <c r="A29" s="16" t="s">
        <v>552</v>
      </c>
      <c r="B29" s="4" t="s">
        <v>1145</v>
      </c>
      <c r="C29" s="4" t="s">
        <v>316</v>
      </c>
      <c r="D29" s="4" t="s">
        <v>114</v>
      </c>
      <c r="E29" s="23" t="n">
        <v>440</v>
      </c>
      <c r="F29" s="13" t="n">
        <f aca="false">IF(E29="","",ROUNDUP(E29*1.3/80,0))</f>
        <v>8</v>
      </c>
      <c r="G29" s="4"/>
      <c r="H29" s="16" t="s">
        <v>1146</v>
      </c>
      <c r="I29" s="4" t="s">
        <v>1133</v>
      </c>
    </row>
    <row r="30" customFormat="false" ht="15" hidden="false" customHeight="false" outlineLevel="0" collapsed="false">
      <c r="A30" s="16" t="s">
        <v>565</v>
      </c>
      <c r="B30" s="4" t="s">
        <v>1147</v>
      </c>
      <c r="C30" s="4" t="s">
        <v>222</v>
      </c>
      <c r="D30" s="4" t="s">
        <v>100</v>
      </c>
      <c r="E30" s="23" t="n">
        <v>400</v>
      </c>
      <c r="F30" s="13" t="n">
        <f aca="false">IF(E30="","",ROUNDUP(E30*1.3/80,0))</f>
        <v>7</v>
      </c>
      <c r="G30" s="4"/>
      <c r="H30" s="4" t="s">
        <v>1050</v>
      </c>
      <c r="I30" s="4" t="s">
        <v>1133</v>
      </c>
    </row>
    <row r="31" customFormat="false" ht="29.85" hidden="false" customHeight="false" outlineLevel="0" collapsed="false">
      <c r="A31" s="16" t="s">
        <v>185</v>
      </c>
      <c r="B31" s="4" t="s">
        <v>1148</v>
      </c>
      <c r="C31" s="28" t="s">
        <v>734</v>
      </c>
      <c r="D31" s="4"/>
      <c r="E31" s="23"/>
      <c r="F31" s="13" t="str">
        <f aca="false">IF(E31="","",ROUNDUP(E31*1.3/80,0))</f>
        <v/>
      </c>
      <c r="G31" s="4" t="s">
        <v>190</v>
      </c>
      <c r="H31" s="4" t="s">
        <v>1149</v>
      </c>
      <c r="I31" s="4" t="s">
        <v>1135</v>
      </c>
    </row>
    <row r="32" customFormat="false" ht="15" hidden="false" customHeight="false" outlineLevel="0" collapsed="false">
      <c r="A32" s="16" t="s">
        <v>581</v>
      </c>
      <c r="B32" s="4" t="s">
        <v>1150</v>
      </c>
      <c r="C32" s="4" t="s">
        <v>316</v>
      </c>
      <c r="D32" s="4" t="s">
        <v>114</v>
      </c>
      <c r="E32" s="23" t="n">
        <v>255</v>
      </c>
      <c r="F32" s="13" t="n">
        <f aca="false">IF(E32="","",ROUNDUP(E32*1.3/80,0))</f>
        <v>5</v>
      </c>
      <c r="G32" s="4"/>
      <c r="H32" s="4" t="s">
        <v>1151</v>
      </c>
      <c r="I32" s="4" t="s">
        <v>1134</v>
      </c>
    </row>
    <row r="33" customFormat="false" ht="15" hidden="false" customHeight="false" outlineLevel="0" collapsed="false">
      <c r="A33" s="16" t="s">
        <v>593</v>
      </c>
      <c r="B33" s="4" t="s">
        <v>1152</v>
      </c>
      <c r="C33" s="4" t="s">
        <v>126</v>
      </c>
      <c r="D33" s="4" t="s">
        <v>100</v>
      </c>
      <c r="E33" s="23" t="n">
        <v>380</v>
      </c>
      <c r="F33" s="13" t="n">
        <f aca="false">IF(E33="","",ROUNDUP(E33*1.3/80,0))</f>
        <v>7</v>
      </c>
      <c r="G33" s="4"/>
      <c r="H33" s="16" t="s">
        <v>1153</v>
      </c>
      <c r="I33" s="4" t="s">
        <v>1133</v>
      </c>
    </row>
    <row r="34" customFormat="false" ht="15" hidden="false" customHeight="false" outlineLevel="0" collapsed="false">
      <c r="A34" s="16" t="s">
        <v>604</v>
      </c>
      <c r="B34" s="4" t="s">
        <v>1154</v>
      </c>
      <c r="C34" s="4" t="s">
        <v>316</v>
      </c>
      <c r="D34" s="4" t="s">
        <v>114</v>
      </c>
      <c r="E34" s="23" t="n">
        <v>185</v>
      </c>
      <c r="F34" s="13" t="n">
        <f aca="false">IF(E34="","",ROUNDUP(E34*1.3/80,0))</f>
        <v>4</v>
      </c>
      <c r="G34" s="4"/>
      <c r="H34" s="16" t="s">
        <v>1155</v>
      </c>
      <c r="I34" s="4" t="s">
        <v>1134</v>
      </c>
    </row>
    <row r="35" customFormat="false" ht="15" hidden="false" customHeight="false" outlineLevel="0" collapsed="false">
      <c r="A35" s="16" t="s">
        <v>614</v>
      </c>
      <c r="B35" s="4" t="s">
        <v>1156</v>
      </c>
      <c r="C35" s="4" t="s">
        <v>213</v>
      </c>
      <c r="D35" s="4" t="s">
        <v>83</v>
      </c>
      <c r="E35" s="23" t="n">
        <v>510</v>
      </c>
      <c r="F35" s="13" t="n">
        <f aca="false">IF(E35="","",ROUNDUP(E35*1.3/80,0))</f>
        <v>9</v>
      </c>
      <c r="G35" s="4"/>
      <c r="H35" s="4" t="s">
        <v>1157</v>
      </c>
      <c r="I35" s="4" t="s">
        <v>1133</v>
      </c>
    </row>
    <row r="36" customFormat="false" ht="29.85" hidden="false" customHeight="false" outlineLevel="0" collapsed="false">
      <c r="A36" s="16" t="s">
        <v>626</v>
      </c>
      <c r="B36" s="4" t="s">
        <v>1158</v>
      </c>
      <c r="C36" s="4" t="s">
        <v>213</v>
      </c>
      <c r="D36" s="4" t="s">
        <v>83</v>
      </c>
      <c r="E36" s="23" t="n">
        <v>510</v>
      </c>
      <c r="F36" s="13" t="n">
        <f aca="false">IF(E36="","",ROUNDUP(E36*1.3/80,0))</f>
        <v>9</v>
      </c>
      <c r="G36" s="4"/>
      <c r="H36" s="4" t="s">
        <v>1159</v>
      </c>
      <c r="I36" s="4" t="s">
        <v>1133</v>
      </c>
    </row>
    <row r="37" customFormat="false" ht="29.85" hidden="false" customHeight="false" outlineLevel="0" collapsed="false">
      <c r="A37" s="16" t="s">
        <v>637</v>
      </c>
      <c r="B37" s="4" t="s">
        <v>1160</v>
      </c>
      <c r="C37" s="4" t="s">
        <v>213</v>
      </c>
      <c r="D37" s="4" t="s">
        <v>83</v>
      </c>
      <c r="E37" s="23" t="n">
        <v>510</v>
      </c>
      <c r="F37" s="13" t="n">
        <f aca="false">IF(E37="","",ROUNDUP(E37*1.3/80,0))</f>
        <v>9</v>
      </c>
      <c r="G37" s="4"/>
      <c r="H37" s="4" t="s">
        <v>1159</v>
      </c>
      <c r="I37" s="4" t="s">
        <v>1133</v>
      </c>
    </row>
    <row r="38" customFormat="false" ht="15" hidden="false" customHeight="false" outlineLevel="0" collapsed="false">
      <c r="A38" s="16" t="s">
        <v>646</v>
      </c>
      <c r="B38" s="4" t="s">
        <v>1161</v>
      </c>
      <c r="C38" s="4" t="s">
        <v>222</v>
      </c>
      <c r="D38" s="4" t="s">
        <v>100</v>
      </c>
      <c r="E38" s="23" t="n">
        <v>3310</v>
      </c>
      <c r="F38" s="13" t="n">
        <f aca="false">IF(E38="","",ROUNDUP(E38*1.3/80,0))</f>
        <v>54</v>
      </c>
      <c r="G38" s="4" t="s">
        <v>1162</v>
      </c>
      <c r="H38" s="4" t="s">
        <v>1050</v>
      </c>
      <c r="I38" s="4" t="s">
        <v>1133</v>
      </c>
    </row>
    <row r="39" customFormat="false" ht="15" hidden="false" customHeight="false" outlineLevel="0" collapsed="false">
      <c r="A39" s="16" t="s">
        <v>658</v>
      </c>
      <c r="B39" s="4" t="s">
        <v>1163</v>
      </c>
      <c r="C39" s="4" t="s">
        <v>545</v>
      </c>
      <c r="D39" s="4" t="s">
        <v>114</v>
      </c>
      <c r="E39" s="23" t="n">
        <v>200</v>
      </c>
      <c r="F39" s="13" t="n">
        <f aca="false">IF(E39="","",ROUNDUP(E39*1.3/80,0))</f>
        <v>4</v>
      </c>
      <c r="G39" s="4"/>
      <c r="H39" s="4" t="s">
        <v>1164</v>
      </c>
      <c r="I39" s="4" t="s">
        <v>1133</v>
      </c>
    </row>
    <row r="40" customFormat="false" ht="15" hidden="false" customHeight="false" outlineLevel="0" collapsed="false">
      <c r="A40" s="16" t="s">
        <v>671</v>
      </c>
      <c r="B40" s="4" t="s">
        <v>1165</v>
      </c>
      <c r="C40" s="4" t="s">
        <v>222</v>
      </c>
      <c r="D40" s="4" t="s">
        <v>100</v>
      </c>
      <c r="E40" s="23" t="n">
        <v>390</v>
      </c>
      <c r="F40" s="13" t="n">
        <f aca="false">IF(E40="","",ROUNDUP(E40*1.3/80,0))</f>
        <v>7</v>
      </c>
      <c r="G40" s="4"/>
      <c r="H40" s="16" t="s">
        <v>1166</v>
      </c>
      <c r="I40" s="4" t="s">
        <v>1133</v>
      </c>
    </row>
    <row r="41" customFormat="false" ht="29.85" hidden="false" customHeight="false" outlineLevel="0" collapsed="false">
      <c r="A41" s="16" t="s">
        <v>682</v>
      </c>
      <c r="B41" s="4" t="s">
        <v>1167</v>
      </c>
      <c r="C41" s="4" t="s">
        <v>113</v>
      </c>
      <c r="D41" s="4" t="s">
        <v>114</v>
      </c>
      <c r="E41" s="23" t="n">
        <v>370</v>
      </c>
      <c r="F41" s="13" t="n">
        <f aca="false">IF(E41="","",ROUNDUP(E41*1.3/80,0))</f>
        <v>7</v>
      </c>
      <c r="G41" s="4"/>
      <c r="H41" s="16" t="s">
        <v>1168</v>
      </c>
      <c r="I41" s="4" t="s">
        <v>1133</v>
      </c>
    </row>
    <row r="42" customFormat="false" ht="29.85" hidden="false" customHeight="false" outlineLevel="0" collapsed="false">
      <c r="A42" s="16" t="s">
        <v>693</v>
      </c>
      <c r="B42" s="4" t="s">
        <v>1169</v>
      </c>
      <c r="C42" s="4" t="s">
        <v>113</v>
      </c>
      <c r="D42" s="4" t="s">
        <v>114</v>
      </c>
      <c r="E42" s="23" t="n">
        <v>630</v>
      </c>
      <c r="F42" s="13" t="n">
        <f aca="false">IF(E42="","",ROUNDUP(E42*1.3/80,0))</f>
        <v>11</v>
      </c>
      <c r="G42" s="4"/>
      <c r="H42" s="16" t="s">
        <v>1170</v>
      </c>
      <c r="I42" s="4" t="s">
        <v>1133</v>
      </c>
    </row>
    <row r="43" customFormat="false" ht="15" hidden="false" customHeight="false" outlineLevel="0" collapsed="false">
      <c r="A43" s="16" t="s">
        <v>704</v>
      </c>
      <c r="B43" s="4" t="s">
        <v>1171</v>
      </c>
      <c r="C43" s="4" t="s">
        <v>126</v>
      </c>
      <c r="D43" s="4" t="s">
        <v>100</v>
      </c>
      <c r="E43" s="23" t="n">
        <v>450</v>
      </c>
      <c r="F43" s="13" t="n">
        <f aca="false">IF(E43="","",ROUNDUP(E43*1.3/80,0))</f>
        <v>8</v>
      </c>
      <c r="G43" s="4"/>
      <c r="H43" s="4" t="s">
        <v>1050</v>
      </c>
      <c r="I43" s="4" t="s">
        <v>1133</v>
      </c>
    </row>
    <row r="44" customFormat="false" ht="15" hidden="false" customHeight="false" outlineLevel="0" collapsed="false">
      <c r="A44" s="16" t="s">
        <v>716</v>
      </c>
      <c r="B44" s="4" t="s">
        <v>1172</v>
      </c>
      <c r="C44" s="4" t="s">
        <v>222</v>
      </c>
      <c r="D44" s="4" t="s">
        <v>100</v>
      </c>
      <c r="E44" s="23" t="n">
        <v>3440</v>
      </c>
      <c r="F44" s="13" t="n">
        <f aca="false">IF(E44="","",ROUNDUP(E44*1.3/80,0))</f>
        <v>56</v>
      </c>
      <c r="G44" s="4" t="s">
        <v>1173</v>
      </c>
      <c r="H44" s="4" t="s">
        <v>1050</v>
      </c>
      <c r="I44" s="4" t="s">
        <v>1133</v>
      </c>
    </row>
    <row r="45" customFormat="false" ht="15" hidden="false" customHeight="false" outlineLevel="0" collapsed="false">
      <c r="A45" s="16" t="s">
        <v>728</v>
      </c>
      <c r="B45" s="4" t="s">
        <v>1174</v>
      </c>
      <c r="C45" s="28" t="s">
        <v>734</v>
      </c>
      <c r="D45" s="4"/>
      <c r="E45" s="23"/>
      <c r="F45" s="13" t="str">
        <f aca="false">IF(E45="","",ROUNDUP(E45*1.3/80,0))</f>
        <v/>
      </c>
      <c r="G45" s="4"/>
      <c r="H45" s="4" t="s">
        <v>1175</v>
      </c>
      <c r="I45" s="4" t="s">
        <v>1135</v>
      </c>
    </row>
    <row r="46" customFormat="false" ht="15" hidden="false" customHeight="false" outlineLevel="0" collapsed="false">
      <c r="A46" s="16" t="s">
        <v>740</v>
      </c>
      <c r="B46" s="4" t="s">
        <v>1176</v>
      </c>
      <c r="C46" s="28" t="s">
        <v>734</v>
      </c>
      <c r="D46" s="4"/>
      <c r="E46" s="23"/>
      <c r="F46" s="13" t="str">
        <f aca="false">IF(E46="","",ROUNDUP(E46*1.3/80,0))</f>
        <v/>
      </c>
      <c r="G46" s="4"/>
      <c r="H46" s="4" t="s">
        <v>1175</v>
      </c>
      <c r="I46" s="4" t="s">
        <v>1135</v>
      </c>
    </row>
    <row r="47" customFormat="false" ht="15" hidden="false" customHeight="false" outlineLevel="0" collapsed="false">
      <c r="A47" s="16" t="s">
        <v>748</v>
      </c>
      <c r="B47" s="4" t="s">
        <v>1177</v>
      </c>
      <c r="C47" s="28" t="s">
        <v>734</v>
      </c>
      <c r="D47" s="4"/>
      <c r="E47" s="23"/>
      <c r="F47" s="13" t="str">
        <f aca="false">IF(E47="","",ROUNDUP(E47*1.3/80,0))</f>
        <v/>
      </c>
      <c r="G47" s="4" t="s">
        <v>753</v>
      </c>
      <c r="H47" s="16" t="s">
        <v>1178</v>
      </c>
      <c r="I47" s="4" t="s">
        <v>1135</v>
      </c>
    </row>
    <row r="48" customFormat="false" ht="15" hidden="false" customHeight="false" outlineLevel="0" collapsed="false">
      <c r="A48" s="16" t="s">
        <v>758</v>
      </c>
      <c r="B48" s="4" t="s">
        <v>1179</v>
      </c>
      <c r="C48" s="4" t="s">
        <v>222</v>
      </c>
      <c r="D48" s="4" t="s">
        <v>100</v>
      </c>
      <c r="E48" s="23" t="n">
        <v>3310</v>
      </c>
      <c r="F48" s="13" t="n">
        <f aca="false">IF(E48="","",ROUNDUP(E48*1.3/80,0))</f>
        <v>54</v>
      </c>
      <c r="G48" s="4" t="s">
        <v>1162</v>
      </c>
      <c r="H48" s="4" t="s">
        <v>1180</v>
      </c>
      <c r="I48" s="4" t="s">
        <v>1133</v>
      </c>
    </row>
    <row r="49" customFormat="false" ht="15" hidden="false" customHeight="false" outlineLevel="0" collapsed="false">
      <c r="A49" s="16" t="s">
        <v>763</v>
      </c>
      <c r="B49" s="4" t="s">
        <v>1181</v>
      </c>
      <c r="C49" s="28" t="s">
        <v>734</v>
      </c>
      <c r="D49" s="4"/>
      <c r="E49" s="23"/>
      <c r="F49" s="13" t="str">
        <f aca="false">IF(E49="","",ROUNDUP(E49*1.3/80,0))</f>
        <v/>
      </c>
      <c r="G49" s="4"/>
      <c r="H49" s="4" t="s">
        <v>1175</v>
      </c>
      <c r="I49" s="4" t="s">
        <v>1135</v>
      </c>
    </row>
    <row r="50" customFormat="false" ht="15" hidden="false" customHeight="false" outlineLevel="0" collapsed="false">
      <c r="A50" s="16" t="s">
        <v>771</v>
      </c>
      <c r="B50" s="4" t="s">
        <v>1182</v>
      </c>
      <c r="C50" s="4" t="s">
        <v>113</v>
      </c>
      <c r="D50" s="4" t="s">
        <v>114</v>
      </c>
      <c r="E50" s="23" t="n">
        <v>660</v>
      </c>
      <c r="F50" s="13" t="n">
        <f aca="false">IF(E50="","",ROUNDUP(E50*1.3/80,0))</f>
        <v>11</v>
      </c>
      <c r="G50" s="4"/>
      <c r="H50" s="4" t="s">
        <v>1183</v>
      </c>
      <c r="I50" s="4" t="s">
        <v>1133</v>
      </c>
    </row>
    <row r="51" customFormat="false" ht="15" hidden="false" customHeight="false" outlineLevel="0" collapsed="false">
      <c r="A51" s="16" t="s">
        <v>778</v>
      </c>
      <c r="B51" s="4" t="s">
        <v>1179</v>
      </c>
      <c r="C51" s="4" t="s">
        <v>222</v>
      </c>
      <c r="D51" s="4" t="s">
        <v>100</v>
      </c>
      <c r="E51" s="23" t="n">
        <v>3310</v>
      </c>
      <c r="F51" s="13" t="n">
        <f aca="false">IF(E51="","",ROUNDUP(E51*1.3/80,0))</f>
        <v>54</v>
      </c>
      <c r="G51" s="4" t="s">
        <v>1162</v>
      </c>
      <c r="H51" s="4" t="s">
        <v>1184</v>
      </c>
      <c r="I51" s="4" t="s">
        <v>1133</v>
      </c>
    </row>
    <row r="52" customFormat="false" ht="15" hidden="false" customHeight="false" outlineLevel="0" collapsed="false">
      <c r="A52" s="16" t="s">
        <v>782</v>
      </c>
      <c r="B52" s="4" t="s">
        <v>1185</v>
      </c>
      <c r="C52" s="4" t="s">
        <v>126</v>
      </c>
      <c r="D52" s="4" t="s">
        <v>100</v>
      </c>
      <c r="E52" s="23" t="n">
        <v>659</v>
      </c>
      <c r="F52" s="13" t="n">
        <f aca="false">IF(E52="","",ROUNDUP(E52*1.3/80,0))</f>
        <v>11</v>
      </c>
      <c r="G52" s="4"/>
      <c r="H52" s="16" t="s">
        <v>1186</v>
      </c>
      <c r="I52" s="4" t="s">
        <v>1134</v>
      </c>
    </row>
    <row r="53" customFormat="false" ht="15" hidden="false" customHeight="false" outlineLevel="0" collapsed="false">
      <c r="A53" s="16" t="s">
        <v>790</v>
      </c>
      <c r="B53" s="4" t="s">
        <v>1185</v>
      </c>
      <c r="C53" s="4" t="s">
        <v>126</v>
      </c>
      <c r="D53" s="4" t="s">
        <v>100</v>
      </c>
      <c r="E53" s="23" t="n">
        <v>659</v>
      </c>
      <c r="F53" s="13" t="n">
        <f aca="false">IF(E53="","",ROUNDUP(E53*1.3/80,0))</f>
        <v>11</v>
      </c>
      <c r="G53" s="4"/>
      <c r="H53" s="16" t="s">
        <v>1155</v>
      </c>
      <c r="I53" s="4" t="s">
        <v>1134</v>
      </c>
    </row>
    <row r="54" customFormat="false" ht="15" hidden="false" customHeight="false" outlineLevel="0" collapsed="false">
      <c r="A54" s="16" t="s">
        <v>797</v>
      </c>
      <c r="B54" s="4" t="s">
        <v>1187</v>
      </c>
      <c r="C54" s="4" t="s">
        <v>82</v>
      </c>
      <c r="D54" s="4" t="s">
        <v>83</v>
      </c>
      <c r="E54" s="23" t="n">
        <v>510</v>
      </c>
      <c r="F54" s="13" t="n">
        <f aca="false">IF(E54="","",ROUNDUP(E54*1.3/80,0))</f>
        <v>9</v>
      </c>
      <c r="G54" s="4"/>
      <c r="H54" s="4" t="s">
        <v>1188</v>
      </c>
      <c r="I54" s="4" t="s">
        <v>1133</v>
      </c>
    </row>
    <row r="55" customFormat="false" ht="15" hidden="false" customHeight="false" outlineLevel="0" collapsed="false">
      <c r="A55" s="16" t="s">
        <v>805</v>
      </c>
      <c r="B55" s="4" t="s">
        <v>1189</v>
      </c>
      <c r="C55" s="28" t="s">
        <v>734</v>
      </c>
      <c r="D55" s="4"/>
      <c r="E55" s="23"/>
      <c r="F55" s="13" t="str">
        <f aca="false">IF(E55="","",ROUNDUP(E55*1.3/80,0))</f>
        <v/>
      </c>
      <c r="G55" s="4"/>
      <c r="H55" s="4" t="s">
        <v>1175</v>
      </c>
      <c r="I55" s="4" t="s">
        <v>1135</v>
      </c>
    </row>
    <row r="56" customFormat="false" ht="15" hidden="false" customHeight="false" outlineLevel="0" collapsed="false">
      <c r="A56" s="16" t="s">
        <v>810</v>
      </c>
      <c r="B56" s="4" t="s">
        <v>1190</v>
      </c>
      <c r="C56" s="4" t="s">
        <v>222</v>
      </c>
      <c r="D56" s="4" t="s">
        <v>100</v>
      </c>
      <c r="E56" s="23" t="n">
        <v>3310</v>
      </c>
      <c r="F56" s="13" t="n">
        <f aca="false">IF(E56="","",ROUNDUP(E56*1.3/80,0))</f>
        <v>54</v>
      </c>
      <c r="G56" s="4" t="s">
        <v>1162</v>
      </c>
      <c r="H56" s="4" t="s">
        <v>1184</v>
      </c>
      <c r="I56" s="4" t="s">
        <v>1133</v>
      </c>
    </row>
    <row r="57" customFormat="false" ht="29.85" hidden="false" customHeight="false" outlineLevel="0" collapsed="false">
      <c r="A57" s="16" t="s">
        <v>815</v>
      </c>
      <c r="B57" s="4" t="s">
        <v>1191</v>
      </c>
      <c r="C57" s="28" t="s">
        <v>734</v>
      </c>
      <c r="D57" s="4"/>
      <c r="E57" s="23"/>
      <c r="F57" s="13" t="str">
        <f aca="false">IF(E57="","",ROUNDUP(E57*1.3/80,0))</f>
        <v/>
      </c>
      <c r="G57" s="4" t="s">
        <v>821</v>
      </c>
      <c r="H57" s="16" t="s">
        <v>1192</v>
      </c>
      <c r="I57" s="4" t="s">
        <v>1135</v>
      </c>
    </row>
    <row r="58" customFormat="false" ht="15" hidden="false" customHeight="false" outlineLevel="0" collapsed="false">
      <c r="A58" s="16" t="s">
        <v>824</v>
      </c>
      <c r="B58" s="4" t="s">
        <v>1193</v>
      </c>
      <c r="C58" s="4" t="s">
        <v>222</v>
      </c>
      <c r="D58" s="4" t="s">
        <v>100</v>
      </c>
      <c r="E58" s="23" t="n">
        <v>760</v>
      </c>
      <c r="F58" s="13" t="n">
        <f aca="false">IF(E58="","",ROUNDUP(E58*1.3/80,0))</f>
        <v>13</v>
      </c>
      <c r="G58" s="4" t="s">
        <v>1194</v>
      </c>
      <c r="H58" s="4" t="s">
        <v>1195</v>
      </c>
      <c r="I58" s="4" t="s">
        <v>1133</v>
      </c>
    </row>
    <row r="59" customFormat="false" ht="15" hidden="false" customHeight="false" outlineLevel="0" collapsed="false">
      <c r="A59" s="16" t="s">
        <v>830</v>
      </c>
      <c r="B59" s="4" t="s">
        <v>1196</v>
      </c>
      <c r="C59" s="4" t="s">
        <v>425</v>
      </c>
      <c r="D59" s="4" t="s">
        <v>426</v>
      </c>
      <c r="E59" s="23" t="n">
        <v>390</v>
      </c>
      <c r="F59" s="13" t="n">
        <f aca="false">IF(E59="","",ROUNDUP(E59*1.3/80,0))</f>
        <v>7</v>
      </c>
      <c r="G59" s="4"/>
      <c r="H59" s="4" t="s">
        <v>1197</v>
      </c>
      <c r="I59" s="4" t="s">
        <v>1133</v>
      </c>
    </row>
    <row r="60" customFormat="false" ht="15" hidden="false" customHeight="false" outlineLevel="0" collapsed="false">
      <c r="A60" s="16" t="s">
        <v>838</v>
      </c>
      <c r="B60" s="4" t="s">
        <v>1198</v>
      </c>
      <c r="C60" s="28" t="s">
        <v>734</v>
      </c>
      <c r="D60" s="4"/>
      <c r="E60" s="23"/>
      <c r="F60" s="13" t="str">
        <f aca="false">IF(E60="","",ROUNDUP(E60*1.3/80,0))</f>
        <v/>
      </c>
      <c r="G60" s="4"/>
      <c r="H60" s="4" t="s">
        <v>1175</v>
      </c>
      <c r="I60" s="4" t="s">
        <v>1135</v>
      </c>
    </row>
    <row r="61" customFormat="false" ht="15" hidden="false" customHeight="false" outlineLevel="0" collapsed="false">
      <c r="A61" s="16" t="s">
        <v>845</v>
      </c>
      <c r="B61" s="4" t="s">
        <v>1199</v>
      </c>
      <c r="C61" s="4" t="s">
        <v>316</v>
      </c>
      <c r="D61" s="4" t="s">
        <v>114</v>
      </c>
      <c r="E61" s="23" t="n">
        <v>260</v>
      </c>
      <c r="F61" s="13" t="n">
        <f aca="false">IF(E61="","",ROUNDUP(E61*1.3/80,0))</f>
        <v>5</v>
      </c>
      <c r="G61" s="4"/>
      <c r="H61" s="4" t="s">
        <v>1200</v>
      </c>
      <c r="I61" s="4" t="s">
        <v>1133</v>
      </c>
    </row>
    <row r="62" customFormat="false" ht="15" hidden="false" customHeight="false" outlineLevel="0" collapsed="false">
      <c r="A62" s="16" t="s">
        <v>195</v>
      </c>
      <c r="B62" s="4" t="s">
        <v>1201</v>
      </c>
      <c r="C62" s="4" t="s">
        <v>198</v>
      </c>
      <c r="D62" s="4" t="s">
        <v>83</v>
      </c>
      <c r="E62" s="23" t="n">
        <v>164</v>
      </c>
      <c r="F62" s="13" t="n">
        <f aca="false">IF(E62="","",ROUNDUP(E62*1.3/80,0))</f>
        <v>3</v>
      </c>
      <c r="G62" s="4"/>
      <c r="H62" s="16" t="s">
        <v>1055</v>
      </c>
      <c r="I62" s="4" t="s">
        <v>1134</v>
      </c>
    </row>
    <row r="63" customFormat="false" ht="15" hidden="false" customHeight="false" outlineLevel="0" collapsed="false">
      <c r="A63" s="16" t="s">
        <v>859</v>
      </c>
      <c r="B63" s="4" t="s">
        <v>860</v>
      </c>
      <c r="C63" s="28" t="s">
        <v>734</v>
      </c>
      <c r="D63" s="4"/>
      <c r="E63" s="23"/>
      <c r="F63" s="13" t="str">
        <f aca="false">IF(E63="","",ROUNDUP(E63*1.3/80,0))</f>
        <v/>
      </c>
      <c r="G63" s="4"/>
      <c r="H63" s="4" t="s">
        <v>1175</v>
      </c>
      <c r="I63" s="4" t="s">
        <v>1135</v>
      </c>
    </row>
    <row r="64" customFormat="false" ht="15" hidden="false" customHeight="false" outlineLevel="0" collapsed="false">
      <c r="A64" s="16" t="s">
        <v>207</v>
      </c>
      <c r="B64" s="4" t="s">
        <v>1202</v>
      </c>
      <c r="C64" s="4" t="s">
        <v>213</v>
      </c>
      <c r="D64" s="4" t="s">
        <v>83</v>
      </c>
      <c r="E64" s="23" t="n">
        <v>760</v>
      </c>
      <c r="F64" s="13" t="n">
        <f aca="false">IF(E64="","",ROUNDUP(E64*1.3/80,0))</f>
        <v>13</v>
      </c>
      <c r="G64" s="4" t="s">
        <v>1203</v>
      </c>
      <c r="H64" s="16" t="s">
        <v>1204</v>
      </c>
      <c r="I64" s="4" t="s">
        <v>1133</v>
      </c>
    </row>
    <row r="65" customFormat="false" ht="15" hidden="false" customHeight="false" outlineLevel="0" collapsed="false">
      <c r="A65" s="16" t="s">
        <v>218</v>
      </c>
      <c r="B65" s="4" t="s">
        <v>1205</v>
      </c>
      <c r="C65" s="4" t="s">
        <v>222</v>
      </c>
      <c r="D65" s="4" t="s">
        <v>100</v>
      </c>
      <c r="E65" s="23" t="n">
        <v>180</v>
      </c>
      <c r="F65" s="13" t="n">
        <f aca="false">IF(E65="","",ROUNDUP(E65*1.3/80,0))</f>
        <v>3</v>
      </c>
      <c r="G65" s="4"/>
      <c r="H65" s="16" t="s">
        <v>1055</v>
      </c>
      <c r="I65" s="4" t="s">
        <v>1134</v>
      </c>
    </row>
    <row r="66" customFormat="false" ht="15" hidden="false" customHeight="false" outlineLevel="0" collapsed="false">
      <c r="A66" s="16" t="s">
        <v>872</v>
      </c>
      <c r="B66" s="4" t="s">
        <v>1206</v>
      </c>
      <c r="C66" s="4" t="s">
        <v>99</v>
      </c>
      <c r="D66" s="4" t="s">
        <v>100</v>
      </c>
      <c r="E66" s="23" t="n">
        <v>780</v>
      </c>
      <c r="F66" s="13" t="n">
        <f aca="false">IF(E66="","",ROUNDUP(E66*1.3/80,0))</f>
        <v>13</v>
      </c>
      <c r="G66" s="4" t="s">
        <v>1207</v>
      </c>
      <c r="H66" s="4" t="s">
        <v>1208</v>
      </c>
      <c r="I66" s="4" t="s">
        <v>1133</v>
      </c>
    </row>
    <row r="67" customFormat="false" ht="15" hidden="false" customHeight="false" outlineLevel="0" collapsed="false">
      <c r="A67" s="16" t="s">
        <v>880</v>
      </c>
      <c r="B67" s="4" t="s">
        <v>1209</v>
      </c>
      <c r="C67" s="4" t="s">
        <v>233</v>
      </c>
      <c r="D67" s="4" t="s">
        <v>100</v>
      </c>
      <c r="E67" s="23" t="n">
        <v>620</v>
      </c>
      <c r="F67" s="13" t="n">
        <f aca="false">IF(E67="","",ROUNDUP(E67*1.3/80,0))</f>
        <v>11</v>
      </c>
      <c r="G67" s="4" t="s">
        <v>1210</v>
      </c>
      <c r="H67" s="4" t="s">
        <v>1211</v>
      </c>
      <c r="I67" s="4" t="s">
        <v>1133</v>
      </c>
    </row>
    <row r="68" customFormat="false" ht="15" hidden="false" customHeight="false" outlineLevel="0" collapsed="false">
      <c r="A68" s="16" t="s">
        <v>886</v>
      </c>
      <c r="B68" s="4" t="s">
        <v>1212</v>
      </c>
      <c r="C68" s="4" t="s">
        <v>233</v>
      </c>
      <c r="D68" s="4" t="s">
        <v>100</v>
      </c>
      <c r="E68" s="23" t="n">
        <v>620</v>
      </c>
      <c r="F68" s="13" t="n">
        <f aca="false">IF(E68="","",ROUNDUP(E68*1.3/80,0))</f>
        <v>11</v>
      </c>
      <c r="G68" s="4" t="s">
        <v>1210</v>
      </c>
      <c r="H68" s="4" t="s">
        <v>1211</v>
      </c>
      <c r="I68" s="4" t="s">
        <v>1133</v>
      </c>
    </row>
    <row r="69" customFormat="false" ht="15" hidden="false" customHeight="false" outlineLevel="0" collapsed="false">
      <c r="A69" s="16" t="s">
        <v>889</v>
      </c>
      <c r="B69" s="4" t="s">
        <v>1213</v>
      </c>
      <c r="C69" s="4" t="s">
        <v>425</v>
      </c>
      <c r="D69" s="4" t="s">
        <v>426</v>
      </c>
      <c r="E69" s="23" t="n">
        <v>390</v>
      </c>
      <c r="F69" s="13" t="n">
        <f aca="false">IF(E69="","",ROUNDUP(E69*1.3/80,0))</f>
        <v>7</v>
      </c>
      <c r="G69" s="4"/>
      <c r="H69" s="4" t="s">
        <v>1197</v>
      </c>
      <c r="I69" s="4" t="s">
        <v>1133</v>
      </c>
    </row>
    <row r="70" customFormat="false" ht="29.85" hidden="false" customHeight="false" outlineLevel="0" collapsed="false">
      <c r="A70" s="16" t="s">
        <v>896</v>
      </c>
      <c r="B70" s="4" t="s">
        <v>1214</v>
      </c>
      <c r="C70" s="4" t="s">
        <v>425</v>
      </c>
      <c r="D70" s="4" t="s">
        <v>426</v>
      </c>
      <c r="E70" s="23" t="n">
        <v>390</v>
      </c>
      <c r="F70" s="13" t="n">
        <f aca="false">IF(E70="","",ROUNDUP(E70*1.3/80,0))</f>
        <v>7</v>
      </c>
      <c r="G70" s="4"/>
      <c r="H70" s="4" t="s">
        <v>1215</v>
      </c>
      <c r="I70" s="4" t="s">
        <v>1133</v>
      </c>
    </row>
    <row r="71" customFormat="false" ht="29.85" hidden="false" customHeight="false" outlineLevel="0" collapsed="false">
      <c r="A71" s="16" t="s">
        <v>904</v>
      </c>
      <c r="B71" s="4" t="s">
        <v>1216</v>
      </c>
      <c r="C71" s="4" t="s">
        <v>316</v>
      </c>
      <c r="D71" s="4" t="s">
        <v>114</v>
      </c>
      <c r="E71" s="23" t="n">
        <v>260</v>
      </c>
      <c r="F71" s="13" t="n">
        <f aca="false">IF(E71="","",ROUNDUP(E71*1.3/80,0))</f>
        <v>5</v>
      </c>
      <c r="G71" s="4"/>
      <c r="H71" s="4" t="s">
        <v>1200</v>
      </c>
      <c r="I71" s="4" t="s">
        <v>1133</v>
      </c>
    </row>
    <row r="72" customFormat="false" ht="15" hidden="false" customHeight="false" outlineLevel="0" collapsed="false">
      <c r="A72" s="16" t="s">
        <v>228</v>
      </c>
      <c r="B72" s="4" t="s">
        <v>1217</v>
      </c>
      <c r="C72" s="4" t="s">
        <v>233</v>
      </c>
      <c r="D72" s="4" t="s">
        <v>100</v>
      </c>
      <c r="E72" s="23" t="n">
        <v>175</v>
      </c>
      <c r="F72" s="13" t="n">
        <f aca="false">IF(E72="","",ROUNDUP(E72*1.3/80,0))</f>
        <v>3</v>
      </c>
      <c r="G72" s="4"/>
      <c r="H72" s="16" t="s">
        <v>1055</v>
      </c>
      <c r="I72" s="4" t="s">
        <v>1134</v>
      </c>
    </row>
    <row r="73" customFormat="false" ht="15" hidden="false" customHeight="false" outlineLevel="0" collapsed="false">
      <c r="A73" s="16" t="s">
        <v>913</v>
      </c>
      <c r="B73" s="4" t="s">
        <v>1218</v>
      </c>
      <c r="C73" s="4" t="s">
        <v>233</v>
      </c>
      <c r="D73" s="4" t="s">
        <v>100</v>
      </c>
      <c r="E73" s="23" t="n">
        <v>320</v>
      </c>
      <c r="F73" s="13" t="n">
        <f aca="false">IF(E73="","",ROUNDUP(E73*1.3/80,0))</f>
        <v>6</v>
      </c>
      <c r="G73" s="4"/>
      <c r="H73" s="4" t="s">
        <v>1219</v>
      </c>
      <c r="I73" s="4" t="s">
        <v>1133</v>
      </c>
    </row>
    <row r="74" customFormat="false" ht="15" hidden="false" customHeight="false" outlineLevel="0" collapsed="false">
      <c r="A74" s="16" t="s">
        <v>238</v>
      </c>
      <c r="B74" s="4" t="s">
        <v>1220</v>
      </c>
      <c r="C74" s="4" t="s">
        <v>222</v>
      </c>
      <c r="D74" s="4" t="s">
        <v>100</v>
      </c>
      <c r="E74" s="23" t="n">
        <v>94</v>
      </c>
      <c r="F74" s="13" t="n">
        <f aca="false">IF(E74="","",ROUNDUP(E74*1.3/80,0))</f>
        <v>2</v>
      </c>
      <c r="G74" s="4"/>
      <c r="H74" s="16" t="s">
        <v>1055</v>
      </c>
      <c r="I74" s="4" t="s">
        <v>1134</v>
      </c>
    </row>
    <row r="75" customFormat="false" ht="15" hidden="false" customHeight="false" outlineLevel="0" collapsed="false">
      <c r="A75" s="16" t="s">
        <v>922</v>
      </c>
      <c r="B75" s="4" t="s">
        <v>1221</v>
      </c>
      <c r="C75" s="28" t="s">
        <v>734</v>
      </c>
      <c r="D75" s="4"/>
      <c r="E75" s="23"/>
      <c r="F75" s="13" t="str">
        <f aca="false">IF(E75="","",ROUNDUP(E75*1.3/80,0))</f>
        <v/>
      </c>
      <c r="G75" s="4" t="s">
        <v>927</v>
      </c>
      <c r="H75" s="16" t="s">
        <v>1222</v>
      </c>
      <c r="I75" s="4" t="s">
        <v>1135</v>
      </c>
    </row>
    <row r="76" customFormat="false" ht="15" hidden="false" customHeight="false" outlineLevel="0" collapsed="false">
      <c r="A76" s="16" t="s">
        <v>931</v>
      </c>
      <c r="B76" s="4" t="s">
        <v>1223</v>
      </c>
      <c r="C76" s="4" t="s">
        <v>222</v>
      </c>
      <c r="D76" s="4" t="s">
        <v>100</v>
      </c>
      <c r="E76" s="23" t="n">
        <v>760</v>
      </c>
      <c r="F76" s="13" t="n">
        <f aca="false">IF(E76="","",ROUNDUP(E76*1.3/80,0))</f>
        <v>13</v>
      </c>
      <c r="G76" s="4" t="s">
        <v>1194</v>
      </c>
      <c r="H76" s="4" t="s">
        <v>1224</v>
      </c>
      <c r="I76" s="4" t="s">
        <v>1133</v>
      </c>
    </row>
    <row r="77" customFormat="false" ht="15" hidden="false" customHeight="false" outlineLevel="0" collapsed="false">
      <c r="A77" s="16" t="s">
        <v>937</v>
      </c>
      <c r="B77" s="4" t="s">
        <v>1225</v>
      </c>
      <c r="C77" s="4" t="s">
        <v>222</v>
      </c>
      <c r="D77" s="4" t="s">
        <v>100</v>
      </c>
      <c r="E77" s="23"/>
      <c r="F77" s="13" t="str">
        <f aca="false">IF(E77="","",ROUNDUP(E77*1.3/80,0))</f>
        <v/>
      </c>
      <c r="G77" s="4"/>
      <c r="H77" s="4" t="s">
        <v>1226</v>
      </c>
      <c r="I77" s="4" t="s">
        <v>1135</v>
      </c>
    </row>
    <row r="78" customFormat="false" ht="15" hidden="false" customHeight="false" outlineLevel="0" collapsed="false">
      <c r="A78" s="16" t="s">
        <v>947</v>
      </c>
      <c r="B78" s="4" t="s">
        <v>1227</v>
      </c>
      <c r="C78" s="4" t="s">
        <v>82</v>
      </c>
      <c r="D78" s="4" t="s">
        <v>83</v>
      </c>
      <c r="E78" s="23" t="n">
        <v>510</v>
      </c>
      <c r="F78" s="13" t="n">
        <f aca="false">IF(E78="","",ROUNDUP(E78*1.3/80,0))</f>
        <v>9</v>
      </c>
      <c r="G78" s="4"/>
      <c r="H78" s="4" t="s">
        <v>1050</v>
      </c>
      <c r="I78" s="4" t="s">
        <v>1133</v>
      </c>
    </row>
    <row r="79" customFormat="false" ht="29.85" hidden="false" customHeight="false" outlineLevel="0" collapsed="false">
      <c r="A79" s="16" t="s">
        <v>246</v>
      </c>
      <c r="B79" s="4" t="s">
        <v>1228</v>
      </c>
      <c r="C79" s="4" t="s">
        <v>251</v>
      </c>
      <c r="D79" s="4" t="s">
        <v>114</v>
      </c>
      <c r="E79" s="23" t="n">
        <v>274</v>
      </c>
      <c r="F79" s="13" t="n">
        <f aca="false">IF(E79="","",ROUNDUP(E79*1.3/80,0))</f>
        <v>5</v>
      </c>
      <c r="G79" s="4"/>
      <c r="H79" s="16" t="s">
        <v>1055</v>
      </c>
      <c r="I79" s="4" t="s">
        <v>1134</v>
      </c>
    </row>
    <row r="80" customFormat="false" ht="15" hidden="false" customHeight="false" outlineLevel="0" collapsed="false">
      <c r="A80" s="16" t="s">
        <v>257</v>
      </c>
      <c r="B80" s="4" t="s">
        <v>1229</v>
      </c>
      <c r="C80" s="4" t="s">
        <v>113</v>
      </c>
      <c r="D80" s="4" t="s">
        <v>114</v>
      </c>
      <c r="E80" s="23" t="n">
        <v>370</v>
      </c>
      <c r="F80" s="13" t="n">
        <f aca="false">IF(E80="","",ROUNDUP(E80*1.3/80,0))</f>
        <v>7</v>
      </c>
      <c r="G80" s="4"/>
      <c r="H80" s="4" t="s">
        <v>1230</v>
      </c>
      <c r="I80" s="4" t="s">
        <v>1133</v>
      </c>
    </row>
    <row r="81" customFormat="false" ht="15" hidden="false" customHeight="false" outlineLevel="0" collapsed="false">
      <c r="A81" s="16" t="s">
        <v>267</v>
      </c>
      <c r="B81" s="4" t="s">
        <v>1231</v>
      </c>
      <c r="C81" s="4" t="s">
        <v>233</v>
      </c>
      <c r="D81" s="4" t="s">
        <v>100</v>
      </c>
      <c r="E81" s="23" t="n">
        <v>1070</v>
      </c>
      <c r="F81" s="13" t="n">
        <f aca="false">IF(E81="","",ROUNDUP(E81*1.3/80,0))</f>
        <v>18</v>
      </c>
      <c r="G81" s="4" t="s">
        <v>1232</v>
      </c>
      <c r="H81" s="16" t="s">
        <v>1204</v>
      </c>
      <c r="I81" s="4" t="s">
        <v>1133</v>
      </c>
    </row>
    <row r="84" customFormat="false" ht="15" hidden="false" customHeight="false" outlineLevel="0" collapsed="false">
      <c r="A84" s="7" t="s">
        <v>1233</v>
      </c>
    </row>
    <row r="85" customFormat="false" ht="33.75" hidden="false" customHeight="true" outlineLevel="0" collapsed="false">
      <c r="A85" s="3" t="s">
        <v>1234</v>
      </c>
      <c r="B85" s="3" t="s">
        <v>1235</v>
      </c>
      <c r="C85" s="3" t="s">
        <v>1236</v>
      </c>
      <c r="D85" s="3" t="s">
        <v>63</v>
      </c>
    </row>
    <row r="86" customFormat="false" ht="29.85" hidden="false" customHeight="false" outlineLevel="0" collapsed="false">
      <c r="A86" s="4" t="s">
        <v>233</v>
      </c>
      <c r="B86" s="31" t="n">
        <v>25.0520785</v>
      </c>
      <c r="C86" s="31" t="n">
        <v>121.544009</v>
      </c>
      <c r="D86" s="4" t="s">
        <v>1237</v>
      </c>
    </row>
    <row r="87" customFormat="false" ht="29.85" hidden="false" customHeight="false" outlineLevel="0" collapsed="false">
      <c r="A87" s="4" t="s">
        <v>113</v>
      </c>
      <c r="B87" s="31" t="n">
        <v>25.0416216</v>
      </c>
      <c r="C87" s="31" t="n">
        <v>121.5437808</v>
      </c>
      <c r="D87" s="4" t="s">
        <v>1238</v>
      </c>
    </row>
    <row r="88" customFormat="false" ht="29.85" hidden="false" customHeight="false" outlineLevel="0" collapsed="false">
      <c r="A88" s="4" t="s">
        <v>99</v>
      </c>
      <c r="B88" s="31" t="n">
        <v>25.0519821</v>
      </c>
      <c r="C88" s="31" t="n">
        <v>121.5330819</v>
      </c>
      <c r="D88" s="4" t="s">
        <v>1239</v>
      </c>
    </row>
    <row r="89" customFormat="false" ht="29.85" hidden="false" customHeight="false" outlineLevel="0" collapsed="false">
      <c r="A89" s="4" t="s">
        <v>1240</v>
      </c>
      <c r="B89" s="31" t="n">
        <v>25.04236</v>
      </c>
      <c r="C89" s="31" t="n">
        <v>121.5329</v>
      </c>
      <c r="D89" s="4" t="s">
        <v>1241</v>
      </c>
    </row>
    <row r="90" customFormat="false" ht="29.85" hidden="false" customHeight="false" outlineLevel="0" collapsed="false">
      <c r="A90" s="4" t="s">
        <v>251</v>
      </c>
      <c r="B90" s="31" t="n">
        <v>25.0413783</v>
      </c>
      <c r="C90" s="31" t="n">
        <v>121.5575216</v>
      </c>
      <c r="D90" s="4" t="s">
        <v>114</v>
      </c>
    </row>
    <row r="91" customFormat="false" ht="29.85" hidden="false" customHeight="false" outlineLevel="0" collapsed="false">
      <c r="A91" s="4" t="s">
        <v>213</v>
      </c>
      <c r="B91" s="31" t="n">
        <v>25.0332705</v>
      </c>
      <c r="C91" s="31" t="n">
        <v>121.5529574</v>
      </c>
      <c r="D91" s="4" t="s">
        <v>83</v>
      </c>
    </row>
    <row r="92" customFormat="false" ht="15" hidden="false" customHeight="false" outlineLevel="0" collapsed="false">
      <c r="A92" s="4" t="s">
        <v>209</v>
      </c>
      <c r="B92" s="31" t="n">
        <v>25.0332003</v>
      </c>
      <c r="C92" s="31" t="n">
        <v>121.5435299</v>
      </c>
      <c r="D92" s="4" t="s">
        <v>1242</v>
      </c>
    </row>
    <row r="93" customFormat="false" ht="29.85" hidden="false" customHeight="false" outlineLevel="0" collapsed="false">
      <c r="A93" s="4" t="s">
        <v>126</v>
      </c>
      <c r="B93" s="31" t="n">
        <v>25.051429</v>
      </c>
      <c r="C93" s="31" t="n">
        <v>121.563858</v>
      </c>
      <c r="D93" s="4" t="s">
        <v>100</v>
      </c>
    </row>
    <row r="94" customFormat="false" ht="29.85" hidden="false" customHeight="false" outlineLevel="0" collapsed="false">
      <c r="A94" s="4" t="s">
        <v>222</v>
      </c>
      <c r="B94" s="31" t="n">
        <v>25.051668</v>
      </c>
      <c r="C94" s="31" t="n">
        <v>121.551879</v>
      </c>
      <c r="D94" s="4" t="s">
        <v>100</v>
      </c>
    </row>
    <row r="95" customFormat="false" ht="29.85" hidden="false" customHeight="false" outlineLevel="0" collapsed="false">
      <c r="A95" s="4" t="s">
        <v>1243</v>
      </c>
      <c r="B95" s="31" t="n">
        <v>25.06078</v>
      </c>
      <c r="C95" s="31" t="n">
        <v>121.5442076</v>
      </c>
      <c r="D95" s="4" t="s">
        <v>1244</v>
      </c>
    </row>
    <row r="96" customFormat="false" ht="15" hidden="false" customHeight="false" outlineLevel="0" collapsed="false">
      <c r="A96" s="4" t="s">
        <v>1245</v>
      </c>
      <c r="B96" s="31" t="n">
        <v>25.05972</v>
      </c>
      <c r="C96" s="31" t="n">
        <v>121.53318</v>
      </c>
      <c r="D96" s="4" t="s">
        <v>1246</v>
      </c>
    </row>
    <row r="97" customFormat="false" ht="15" hidden="false" customHeight="false" outlineLevel="0" collapsed="false">
      <c r="A97" s="4" t="s">
        <v>1247</v>
      </c>
      <c r="B97" s="31" t="n">
        <v>25.0412366</v>
      </c>
      <c r="C97" s="31" t="n">
        <v>121.5665591</v>
      </c>
      <c r="D97" s="4" t="s">
        <v>114</v>
      </c>
    </row>
    <row r="98" customFormat="false" ht="44" hidden="false" customHeight="false" outlineLevel="0" collapsed="false">
      <c r="A98" s="4" t="s">
        <v>1248</v>
      </c>
      <c r="B98" s="31" t="n">
        <v>25.0330304</v>
      </c>
      <c r="C98" s="31" t="n">
        <v>121.5627598</v>
      </c>
      <c r="D98" s="4" t="s">
        <v>83</v>
      </c>
    </row>
    <row r="99" customFormat="false" ht="15" hidden="false" customHeight="false" outlineLevel="0" collapsed="false">
      <c r="A99" s="4" t="s">
        <v>82</v>
      </c>
      <c r="B99" s="31" t="n">
        <v>25.0328146</v>
      </c>
      <c r="C99" s="31" t="n">
        <v>121.5700821</v>
      </c>
      <c r="D99" s="4" t="s">
        <v>83</v>
      </c>
    </row>
    <row r="100" customFormat="false" ht="15" hidden="false" customHeight="false" outlineLevel="0" collapsed="false">
      <c r="A100" s="4" t="s">
        <v>545</v>
      </c>
      <c r="B100" s="31" t="n">
        <v>25.0411245</v>
      </c>
      <c r="C100" s="31" t="n">
        <v>121.5766852</v>
      </c>
      <c r="D100" s="4" t="s">
        <v>114</v>
      </c>
    </row>
    <row r="101" customFormat="false" ht="15" hidden="false" customHeight="false" outlineLevel="0" collapsed="false">
      <c r="A101" s="4" t="s">
        <v>1249</v>
      </c>
      <c r="B101" s="31" t="n">
        <v>25.084711</v>
      </c>
      <c r="C101" s="31" t="n">
        <v>121.555244</v>
      </c>
      <c r="D101" s="4" t="s">
        <v>1244</v>
      </c>
    </row>
    <row r="102" customFormat="false" ht="15" hidden="false" customHeight="false" outlineLevel="0" collapsed="false">
      <c r="A102" s="4" t="s">
        <v>1250</v>
      </c>
      <c r="B102" s="31" t="n">
        <v>25.0798827</v>
      </c>
      <c r="C102" s="31" t="n">
        <v>121.547149</v>
      </c>
      <c r="D102" s="4" t="s">
        <v>1244</v>
      </c>
    </row>
    <row r="103" customFormat="false" ht="15" hidden="false" customHeight="false" outlineLevel="0" collapsed="false">
      <c r="A103" s="4" t="s">
        <v>122</v>
      </c>
      <c r="B103" s="31" t="n">
        <v>25.049831</v>
      </c>
      <c r="C103" s="31" t="n">
        <v>121.5775002</v>
      </c>
      <c r="D103" s="4" t="s">
        <v>100</v>
      </c>
    </row>
    <row r="104" customFormat="false" ht="15" hidden="false" customHeight="false" outlineLevel="0" collapsed="false">
      <c r="A104" s="4" t="s">
        <v>95</v>
      </c>
      <c r="B104" s="31" t="n">
        <v>25.0527591</v>
      </c>
      <c r="C104" s="31" t="n">
        <v>121.5204663</v>
      </c>
      <c r="D104" s="4" t="s">
        <v>1251</v>
      </c>
    </row>
    <row r="105" customFormat="false" ht="15" hidden="false" customHeight="false" outlineLevel="0" collapsed="false">
      <c r="A105" s="4" t="s">
        <v>1252</v>
      </c>
      <c r="B105" s="31" t="n">
        <v>25.05729</v>
      </c>
      <c r="C105" s="31" t="n">
        <v>121.51881</v>
      </c>
      <c r="D105" s="4" t="s">
        <v>83</v>
      </c>
    </row>
    <row r="106" customFormat="false" ht="29.85" hidden="false" customHeight="false" outlineLevel="0" collapsed="false">
      <c r="A106" s="4" t="s">
        <v>425</v>
      </c>
      <c r="B106" s="31" t="n">
        <v>25.04625</v>
      </c>
      <c r="C106" s="31" t="n">
        <v>121.51753</v>
      </c>
      <c r="D106" s="4" t="s">
        <v>1253</v>
      </c>
    </row>
    <row r="107" customFormat="false" ht="15" hidden="false" customHeight="false" outlineLevel="0" collapsed="false">
      <c r="A107" s="4" t="s">
        <v>450</v>
      </c>
      <c r="B107" s="31" t="n">
        <v>25.04486</v>
      </c>
      <c r="C107" s="31" t="n">
        <v>121.52242</v>
      </c>
      <c r="D107" s="4" t="s">
        <v>114</v>
      </c>
    </row>
    <row r="108" customFormat="false" ht="15" hidden="false" customHeight="false" outlineLevel="0" collapsed="false">
      <c r="A108" s="4" t="s">
        <v>1254</v>
      </c>
      <c r="B108" s="31" t="n">
        <v>25.0446454</v>
      </c>
      <c r="C108" s="31" t="n">
        <v>121.582263</v>
      </c>
      <c r="D108" s="4" t="s">
        <v>114</v>
      </c>
    </row>
    <row r="109" customFormat="false" ht="29.85" hidden="false" customHeight="false" outlineLevel="0" collapsed="false">
      <c r="A109" s="4" t="s">
        <v>1255</v>
      </c>
      <c r="B109" s="31" t="n">
        <v>25.0627123</v>
      </c>
      <c r="C109" s="31" t="n">
        <v>121.5264705</v>
      </c>
      <c r="D109" s="4" t="s">
        <v>1246</v>
      </c>
    </row>
    <row r="110" customFormat="false" ht="29.85" hidden="false" customHeight="false" outlineLevel="0" collapsed="false">
      <c r="A110" s="4" t="s">
        <v>1256</v>
      </c>
      <c r="B110" s="31" t="n">
        <v>25.0633862</v>
      </c>
      <c r="C110" s="31" t="n">
        <v>121.551738</v>
      </c>
      <c r="D110" s="4" t="s">
        <v>1244</v>
      </c>
    </row>
    <row r="111" customFormat="false" ht="29.85" hidden="false" customHeight="false" outlineLevel="0" collapsed="false">
      <c r="A111" s="4" t="s">
        <v>1257</v>
      </c>
      <c r="B111" s="31" t="n">
        <v>25.0260787</v>
      </c>
      <c r="C111" s="31" t="n">
        <v>121.5434607</v>
      </c>
      <c r="D111" s="4" t="s">
        <v>1244</v>
      </c>
    </row>
    <row r="112" customFormat="false" ht="29.85" hidden="false" customHeight="false" outlineLevel="0" collapsed="false">
      <c r="A112" s="4" t="s">
        <v>316</v>
      </c>
      <c r="B112" s="31" t="n">
        <v>25.0413698</v>
      </c>
      <c r="C112" s="31" t="n">
        <v>121.5504928</v>
      </c>
      <c r="D112" s="4" t="s">
        <v>114</v>
      </c>
    </row>
    <row r="113" customFormat="false" ht="29.85" hidden="false" customHeight="false" outlineLevel="0" collapsed="false">
      <c r="A113" s="4" t="s">
        <v>363</v>
      </c>
      <c r="B113" s="31" t="n">
        <v>25.033633</v>
      </c>
      <c r="C113" s="31" t="n">
        <v>121.517634</v>
      </c>
      <c r="D113" s="4" t="s">
        <v>1251</v>
      </c>
    </row>
    <row r="114" customFormat="false" ht="15" hidden="false" customHeight="false" outlineLevel="0" collapsed="false">
      <c r="A114" s="4" t="s">
        <v>333</v>
      </c>
      <c r="B114" s="31" t="n">
        <v>25.035637</v>
      </c>
      <c r="C114" s="31" t="n">
        <v>121.510787</v>
      </c>
      <c r="D114" s="4" t="s">
        <v>100</v>
      </c>
    </row>
    <row r="115" customFormat="false" ht="29.85" hidden="false" customHeight="false" outlineLevel="0" collapsed="false">
      <c r="A115" s="4" t="s">
        <v>198</v>
      </c>
      <c r="B115" s="31" t="n">
        <v>25.062179</v>
      </c>
      <c r="C115" s="31" t="n">
        <v>121.519687</v>
      </c>
      <c r="D115" s="4" t="s">
        <v>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9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32" t="s">
        <v>1259</v>
      </c>
    </row>
    <row r="2" customFormat="false" ht="33.75" hidden="false" customHeight="true" outlineLevel="0" collapsed="false">
      <c r="A2" s="19" t="s">
        <v>1260</v>
      </c>
      <c r="B2" s="3" t="s">
        <v>1261</v>
      </c>
      <c r="C2" s="3" t="s">
        <v>52</v>
      </c>
      <c r="D2" s="3" t="s">
        <v>1262</v>
      </c>
      <c r="E2" s="3" t="s">
        <v>1263</v>
      </c>
      <c r="F2" s="3" t="s">
        <v>1264</v>
      </c>
      <c r="G2" s="3" t="s">
        <v>1265</v>
      </c>
      <c r="H2" s="3" t="s">
        <v>49</v>
      </c>
      <c r="I2" s="3" t="s">
        <v>286</v>
      </c>
    </row>
    <row r="3" customFormat="false" ht="15" hidden="false" customHeight="false" outlineLevel="0" collapsed="false">
      <c r="A3" s="16" t="s">
        <v>1266</v>
      </c>
      <c r="B3" s="33" t="n">
        <v>220.8</v>
      </c>
      <c r="C3" s="16" t="s">
        <v>1267</v>
      </c>
      <c r="D3" s="4" t="s">
        <v>1268</v>
      </c>
      <c r="E3" s="4" t="s">
        <v>1269</v>
      </c>
      <c r="F3" s="16" t="s">
        <v>1270</v>
      </c>
      <c r="G3" s="16" t="s">
        <v>604</v>
      </c>
      <c r="H3" s="12" t="s">
        <v>22</v>
      </c>
      <c r="I3" s="20" t="s">
        <v>90</v>
      </c>
    </row>
    <row r="4" customFormat="false" ht="15" hidden="false" customHeight="false" outlineLevel="0" collapsed="false">
      <c r="A4" s="16" t="s">
        <v>1271</v>
      </c>
      <c r="B4" s="33" t="n">
        <v>220.8</v>
      </c>
      <c r="C4" s="16" t="s">
        <v>1267</v>
      </c>
      <c r="D4" s="4" t="s">
        <v>1268</v>
      </c>
      <c r="E4" s="4" t="s">
        <v>1272</v>
      </c>
      <c r="F4" s="16" t="s">
        <v>1273</v>
      </c>
      <c r="G4" s="16" t="s">
        <v>604</v>
      </c>
      <c r="H4" s="12" t="s">
        <v>22</v>
      </c>
      <c r="I4" s="20" t="s">
        <v>90</v>
      </c>
    </row>
    <row r="5" customFormat="false" ht="15" hidden="false" customHeight="false" outlineLevel="0" collapsed="false">
      <c r="A5" s="16" t="s">
        <v>1274</v>
      </c>
      <c r="B5" s="33" t="n">
        <v>220.8</v>
      </c>
      <c r="C5" s="16" t="s">
        <v>1267</v>
      </c>
      <c r="D5" s="4" t="s">
        <v>1268</v>
      </c>
      <c r="E5" s="4" t="s">
        <v>1275</v>
      </c>
      <c r="F5" s="16" t="s">
        <v>1270</v>
      </c>
      <c r="G5" s="16" t="s">
        <v>604</v>
      </c>
      <c r="H5" s="12" t="s">
        <v>22</v>
      </c>
      <c r="I5" s="20" t="s">
        <v>90</v>
      </c>
    </row>
    <row r="6" customFormat="false" ht="15" hidden="false" customHeight="false" outlineLevel="0" collapsed="false">
      <c r="A6" s="16" t="s">
        <v>1276</v>
      </c>
      <c r="B6" s="33" t="n">
        <v>221</v>
      </c>
      <c r="C6" s="16" t="s">
        <v>1267</v>
      </c>
      <c r="D6" s="4" t="s">
        <v>1268</v>
      </c>
      <c r="E6" s="4" t="s">
        <v>1277</v>
      </c>
      <c r="F6" s="16" t="s">
        <v>1270</v>
      </c>
      <c r="G6" s="16" t="s">
        <v>604</v>
      </c>
      <c r="H6" s="12" t="s">
        <v>22</v>
      </c>
      <c r="I6" s="20" t="s">
        <v>90</v>
      </c>
    </row>
    <row r="7" customFormat="false" ht="15" hidden="false" customHeight="false" outlineLevel="0" collapsed="false">
      <c r="A7" s="16" t="s">
        <v>1278</v>
      </c>
      <c r="B7" s="33" t="n">
        <v>220.8</v>
      </c>
      <c r="C7" s="16" t="s">
        <v>1267</v>
      </c>
      <c r="D7" s="4" t="s">
        <v>1268</v>
      </c>
      <c r="E7" s="4" t="s">
        <v>1275</v>
      </c>
      <c r="F7" s="16" t="s">
        <v>1279</v>
      </c>
      <c r="G7" s="16" t="s">
        <v>604</v>
      </c>
      <c r="H7" s="12" t="s">
        <v>22</v>
      </c>
      <c r="I7" s="20" t="s">
        <v>90</v>
      </c>
    </row>
    <row r="8" customFormat="false" ht="15" hidden="false" customHeight="false" outlineLevel="0" collapsed="false">
      <c r="A8" s="16" t="s">
        <v>1280</v>
      </c>
      <c r="B8" s="33" t="n">
        <v>282</v>
      </c>
      <c r="C8" s="16" t="s">
        <v>111</v>
      </c>
      <c r="D8" s="4" t="s">
        <v>1281</v>
      </c>
      <c r="E8" s="4" t="s">
        <v>1282</v>
      </c>
      <c r="F8" s="16" t="s">
        <v>1283</v>
      </c>
      <c r="G8" s="16" t="s">
        <v>310</v>
      </c>
      <c r="H8" s="10" t="s">
        <v>18</v>
      </c>
      <c r="I8" s="20" t="s">
        <v>90</v>
      </c>
    </row>
    <row r="9" customFormat="false" ht="15" hidden="false" customHeight="false" outlineLevel="0" collapsed="false">
      <c r="A9" s="16" t="s">
        <v>1284</v>
      </c>
      <c r="B9" s="33" t="n">
        <v>282.1</v>
      </c>
      <c r="C9" s="16" t="s">
        <v>111</v>
      </c>
      <c r="D9" s="4" t="s">
        <v>1281</v>
      </c>
      <c r="E9" s="4" t="s">
        <v>1285</v>
      </c>
      <c r="F9" s="16" t="s">
        <v>1283</v>
      </c>
      <c r="G9" s="16" t="s">
        <v>310</v>
      </c>
      <c r="H9" s="10" t="s">
        <v>18</v>
      </c>
      <c r="I9" s="20" t="s">
        <v>90</v>
      </c>
    </row>
    <row r="10" customFormat="false" ht="15" hidden="false" customHeight="false" outlineLevel="0" collapsed="false">
      <c r="A10" s="16" t="s">
        <v>1286</v>
      </c>
      <c r="B10" s="33" t="n">
        <v>282.1</v>
      </c>
      <c r="C10" s="16" t="s">
        <v>111</v>
      </c>
      <c r="D10" s="4" t="s">
        <v>1281</v>
      </c>
      <c r="E10" s="4" t="s">
        <v>1287</v>
      </c>
      <c r="F10" s="16" t="s">
        <v>1283</v>
      </c>
      <c r="G10" s="16" t="s">
        <v>310</v>
      </c>
      <c r="H10" s="10" t="s">
        <v>18</v>
      </c>
      <c r="I10" s="20" t="s">
        <v>90</v>
      </c>
    </row>
    <row r="11" customFormat="false" ht="29.85" hidden="false" customHeight="false" outlineLevel="0" collapsed="false">
      <c r="A11" s="16" t="s">
        <v>1288</v>
      </c>
      <c r="B11" s="33" t="n">
        <v>251</v>
      </c>
      <c r="C11" s="16" t="s">
        <v>111</v>
      </c>
      <c r="D11" s="4" t="s">
        <v>1289</v>
      </c>
      <c r="E11" s="4" t="s">
        <v>1290</v>
      </c>
      <c r="F11" s="16" t="s">
        <v>1291</v>
      </c>
      <c r="G11" s="16" t="s">
        <v>1292</v>
      </c>
      <c r="H11" s="10" t="s">
        <v>18</v>
      </c>
      <c r="I11" s="20" t="s">
        <v>90</v>
      </c>
    </row>
    <row r="12" customFormat="false" ht="15" hidden="false" customHeight="false" outlineLevel="0" collapsed="false">
      <c r="A12" s="16" t="s">
        <v>1293</v>
      </c>
      <c r="B12" s="33" t="n">
        <v>282.1</v>
      </c>
      <c r="C12" s="16" t="s">
        <v>111</v>
      </c>
      <c r="D12" s="4" t="s">
        <v>1294</v>
      </c>
      <c r="E12" s="4" t="s">
        <v>1295</v>
      </c>
      <c r="F12" s="16" t="s">
        <v>1296</v>
      </c>
      <c r="G12" s="16" t="s">
        <v>1297</v>
      </c>
      <c r="H12" s="10" t="s">
        <v>18</v>
      </c>
      <c r="I12" s="20" t="s">
        <v>90</v>
      </c>
    </row>
    <row r="13" customFormat="false" ht="15" hidden="false" customHeight="false" outlineLevel="0" collapsed="false">
      <c r="A13" s="16" t="s">
        <v>1298</v>
      </c>
      <c r="B13" s="33" t="n">
        <v>220.1</v>
      </c>
      <c r="C13" s="16" t="s">
        <v>1299</v>
      </c>
      <c r="D13" s="4" t="s">
        <v>1300</v>
      </c>
      <c r="E13" s="4" t="s">
        <v>1301</v>
      </c>
      <c r="F13" s="16" t="s">
        <v>1302</v>
      </c>
      <c r="G13" s="16" t="s">
        <v>173</v>
      </c>
      <c r="H13" s="12" t="s">
        <v>22</v>
      </c>
      <c r="I13" s="20" t="s">
        <v>90</v>
      </c>
    </row>
    <row r="14" customFormat="false" ht="15" hidden="false" customHeight="false" outlineLevel="0" collapsed="false">
      <c r="A14" s="16" t="s">
        <v>1303</v>
      </c>
      <c r="B14" s="33" t="n">
        <v>220.1</v>
      </c>
      <c r="C14" s="16" t="s">
        <v>1299</v>
      </c>
      <c r="D14" s="4" t="s">
        <v>1300</v>
      </c>
      <c r="E14" s="4" t="s">
        <v>1304</v>
      </c>
      <c r="F14" s="16" t="s">
        <v>1302</v>
      </c>
      <c r="G14" s="16" t="s">
        <v>173</v>
      </c>
      <c r="H14" s="12" t="s">
        <v>22</v>
      </c>
      <c r="I14" s="20" t="s">
        <v>90</v>
      </c>
    </row>
    <row r="15" customFormat="false" ht="15" hidden="false" customHeight="false" outlineLevel="0" collapsed="false">
      <c r="A15" s="16" t="s">
        <v>1305</v>
      </c>
      <c r="B15" s="33" t="n">
        <v>220.1</v>
      </c>
      <c r="C15" s="16" t="s">
        <v>1299</v>
      </c>
      <c r="D15" s="4" t="s">
        <v>1306</v>
      </c>
      <c r="E15" s="4" t="s">
        <v>1307</v>
      </c>
      <c r="F15" s="16" t="s">
        <v>1302</v>
      </c>
      <c r="G15" s="16" t="s">
        <v>173</v>
      </c>
      <c r="H15" s="12" t="s">
        <v>22</v>
      </c>
      <c r="I15" s="20" t="s">
        <v>90</v>
      </c>
    </row>
    <row r="16" customFormat="false" ht="15" hidden="false" customHeight="false" outlineLevel="0" collapsed="false">
      <c r="A16" s="16" t="s">
        <v>1308</v>
      </c>
      <c r="B16" s="33" t="n">
        <v>220.1</v>
      </c>
      <c r="C16" s="16" t="s">
        <v>1299</v>
      </c>
      <c r="D16" s="4" t="s">
        <v>1300</v>
      </c>
      <c r="E16" s="4" t="s">
        <v>1309</v>
      </c>
      <c r="F16" s="16" t="s">
        <v>1310</v>
      </c>
      <c r="G16" s="16" t="s">
        <v>173</v>
      </c>
      <c r="H16" s="12" t="s">
        <v>22</v>
      </c>
      <c r="I16" s="20" t="s">
        <v>90</v>
      </c>
    </row>
    <row r="17" customFormat="false" ht="15" hidden="false" customHeight="false" outlineLevel="0" collapsed="false">
      <c r="A17" s="16" t="s">
        <v>1311</v>
      </c>
      <c r="B17" s="33" t="n">
        <v>265.7</v>
      </c>
      <c r="C17" s="16" t="s">
        <v>435</v>
      </c>
      <c r="D17" s="4" t="s">
        <v>1312</v>
      </c>
      <c r="E17" s="4" t="s">
        <v>1313</v>
      </c>
      <c r="F17" s="16" t="s">
        <v>1314</v>
      </c>
      <c r="G17" s="16" t="s">
        <v>552</v>
      </c>
      <c r="H17" s="12" t="s">
        <v>22</v>
      </c>
      <c r="I17" s="20" t="s">
        <v>90</v>
      </c>
    </row>
    <row r="18" customFormat="false" ht="15" hidden="false" customHeight="false" outlineLevel="0" collapsed="false">
      <c r="A18" s="16" t="s">
        <v>1315</v>
      </c>
      <c r="B18" s="33" t="n">
        <v>266</v>
      </c>
      <c r="C18" s="16" t="s">
        <v>435</v>
      </c>
      <c r="D18" s="4" t="s">
        <v>1312</v>
      </c>
      <c r="E18" s="4" t="s">
        <v>1316</v>
      </c>
      <c r="F18" s="16" t="s">
        <v>1317</v>
      </c>
      <c r="G18" s="16" t="s">
        <v>552</v>
      </c>
      <c r="H18" s="12" t="s">
        <v>22</v>
      </c>
      <c r="I18" s="20" t="s">
        <v>90</v>
      </c>
    </row>
    <row r="19" customFormat="false" ht="15" hidden="false" customHeight="false" outlineLevel="0" collapsed="false">
      <c r="A19" s="16" t="s">
        <v>1318</v>
      </c>
      <c r="B19" s="33" t="n">
        <v>222.3</v>
      </c>
      <c r="C19" s="16" t="s">
        <v>1319</v>
      </c>
      <c r="D19" s="4" t="s">
        <v>1320</v>
      </c>
      <c r="E19" s="4" t="s">
        <v>1321</v>
      </c>
      <c r="F19" s="16" t="s">
        <v>1322</v>
      </c>
      <c r="G19" s="16" t="s">
        <v>637</v>
      </c>
      <c r="H19" s="12" t="s">
        <v>22</v>
      </c>
      <c r="I19" s="20" t="s">
        <v>90</v>
      </c>
    </row>
    <row r="20" customFormat="false" ht="15" hidden="false" customHeight="false" outlineLevel="0" collapsed="false">
      <c r="A20" s="16" t="s">
        <v>1323</v>
      </c>
      <c r="B20" s="33" t="n">
        <v>222.3</v>
      </c>
      <c r="C20" s="16" t="s">
        <v>1319</v>
      </c>
      <c r="D20" s="4" t="s">
        <v>1320</v>
      </c>
      <c r="E20" s="4" t="s">
        <v>1324</v>
      </c>
      <c r="F20" s="16" t="s">
        <v>1270</v>
      </c>
      <c r="G20" s="16" t="s">
        <v>637</v>
      </c>
      <c r="H20" s="12" t="s">
        <v>22</v>
      </c>
      <c r="I20" s="20" t="s">
        <v>90</v>
      </c>
    </row>
    <row r="21" customFormat="false" ht="15" hidden="false" customHeight="false" outlineLevel="0" collapsed="false">
      <c r="A21" s="16" t="s">
        <v>1325</v>
      </c>
      <c r="B21" s="33" t="n">
        <v>222.3</v>
      </c>
      <c r="C21" s="16" t="s">
        <v>1319</v>
      </c>
      <c r="D21" s="4" t="s">
        <v>1326</v>
      </c>
      <c r="E21" s="4" t="s">
        <v>1324</v>
      </c>
      <c r="F21" s="16" t="s">
        <v>1270</v>
      </c>
      <c r="G21" s="16" t="s">
        <v>637</v>
      </c>
      <c r="H21" s="12" t="s">
        <v>22</v>
      </c>
      <c r="I21" s="20" t="s">
        <v>90</v>
      </c>
    </row>
    <row r="22" customFormat="false" ht="15" hidden="false" customHeight="false" outlineLevel="0" collapsed="false">
      <c r="A22" s="16" t="s">
        <v>1327</v>
      </c>
      <c r="B22" s="33" t="n">
        <v>222</v>
      </c>
      <c r="C22" s="16" t="s">
        <v>1319</v>
      </c>
      <c r="D22" s="4" t="s">
        <v>1320</v>
      </c>
      <c r="E22" s="4" t="s">
        <v>1321</v>
      </c>
      <c r="F22" s="16" t="s">
        <v>1322</v>
      </c>
      <c r="G22" s="16" t="s">
        <v>637</v>
      </c>
      <c r="H22" s="12" t="s">
        <v>22</v>
      </c>
      <c r="I22" s="20" t="s">
        <v>90</v>
      </c>
    </row>
    <row r="23" customFormat="false" ht="15" hidden="false" customHeight="false" outlineLevel="0" collapsed="false">
      <c r="A23" s="16" t="s">
        <v>1328</v>
      </c>
      <c r="B23" s="33" t="n">
        <v>222.3</v>
      </c>
      <c r="C23" s="16" t="s">
        <v>1319</v>
      </c>
      <c r="D23" s="4" t="s">
        <v>1320</v>
      </c>
      <c r="E23" s="4" t="s">
        <v>1324</v>
      </c>
      <c r="F23" s="16" t="s">
        <v>1329</v>
      </c>
      <c r="G23" s="16" t="s">
        <v>637</v>
      </c>
      <c r="H23" s="12" t="s">
        <v>22</v>
      </c>
      <c r="I23" s="20" t="s">
        <v>90</v>
      </c>
    </row>
    <row r="24" customFormat="false" ht="15" hidden="false" customHeight="false" outlineLevel="0" collapsed="false">
      <c r="A24" s="16" t="s">
        <v>1330</v>
      </c>
      <c r="B24" s="33" t="n">
        <v>230.2</v>
      </c>
      <c r="C24" s="16" t="s">
        <v>1331</v>
      </c>
      <c r="D24" s="4" t="s">
        <v>1320</v>
      </c>
      <c r="E24" s="4" t="s">
        <v>1332</v>
      </c>
      <c r="F24" s="16" t="s">
        <v>1333</v>
      </c>
      <c r="G24" s="16" t="s">
        <v>626</v>
      </c>
      <c r="H24" s="12" t="s">
        <v>22</v>
      </c>
      <c r="I24" s="20" t="s">
        <v>90</v>
      </c>
    </row>
    <row r="25" customFormat="false" ht="15" hidden="false" customHeight="false" outlineLevel="0" collapsed="false">
      <c r="A25" s="16" t="s">
        <v>1334</v>
      </c>
      <c r="B25" s="33" t="n">
        <v>230</v>
      </c>
      <c r="C25" s="16" t="s">
        <v>1331</v>
      </c>
      <c r="D25" s="4" t="s">
        <v>1320</v>
      </c>
      <c r="E25" s="4" t="s">
        <v>1335</v>
      </c>
      <c r="F25" s="16" t="s">
        <v>1336</v>
      </c>
      <c r="G25" s="16" t="s">
        <v>626</v>
      </c>
      <c r="H25" s="12" t="s">
        <v>22</v>
      </c>
      <c r="I25" s="20" t="s">
        <v>90</v>
      </c>
    </row>
    <row r="26" customFormat="false" ht="15" hidden="false" customHeight="false" outlineLevel="0" collapsed="false">
      <c r="A26" s="16" t="s">
        <v>1337</v>
      </c>
      <c r="B26" s="33" t="n">
        <v>230</v>
      </c>
      <c r="C26" s="16" t="s">
        <v>1331</v>
      </c>
      <c r="D26" s="4" t="s">
        <v>1320</v>
      </c>
      <c r="E26" s="4" t="s">
        <v>1338</v>
      </c>
      <c r="F26" s="16" t="s">
        <v>1339</v>
      </c>
      <c r="G26" s="16" t="s">
        <v>626</v>
      </c>
      <c r="H26" s="12" t="s">
        <v>22</v>
      </c>
      <c r="I26" s="20" t="s">
        <v>90</v>
      </c>
    </row>
    <row r="27" customFormat="false" ht="15" hidden="false" customHeight="false" outlineLevel="0" collapsed="false">
      <c r="A27" s="16" t="s">
        <v>1340</v>
      </c>
      <c r="B27" s="33" t="n">
        <v>256.8</v>
      </c>
      <c r="C27" s="16" t="s">
        <v>1341</v>
      </c>
      <c r="D27" s="4" t="s">
        <v>1342</v>
      </c>
      <c r="E27" s="4" t="s">
        <v>1343</v>
      </c>
      <c r="F27" s="16" t="s">
        <v>1344</v>
      </c>
      <c r="G27" s="16" t="s">
        <v>257</v>
      </c>
      <c r="H27" s="12" t="s">
        <v>22</v>
      </c>
      <c r="I27" s="20" t="s">
        <v>90</v>
      </c>
    </row>
    <row r="28" customFormat="false" ht="15" hidden="false" customHeight="false" outlineLevel="0" collapsed="false">
      <c r="A28" s="16" t="s">
        <v>1345</v>
      </c>
      <c r="B28" s="33" t="n">
        <v>257</v>
      </c>
      <c r="C28" s="16" t="s">
        <v>1341</v>
      </c>
      <c r="D28" s="4" t="s">
        <v>1346</v>
      </c>
      <c r="E28" s="4" t="s">
        <v>1347</v>
      </c>
      <c r="F28" s="16" t="s">
        <v>1348</v>
      </c>
      <c r="G28" s="16" t="s">
        <v>257</v>
      </c>
      <c r="H28" s="12" t="s">
        <v>22</v>
      </c>
      <c r="I28" s="20" t="s">
        <v>90</v>
      </c>
    </row>
    <row r="29" customFormat="false" ht="15" hidden="false" customHeight="false" outlineLevel="0" collapsed="false">
      <c r="A29" s="16" t="s">
        <v>1349</v>
      </c>
      <c r="B29" s="33" t="n">
        <v>261</v>
      </c>
      <c r="C29" s="16" t="s">
        <v>1350</v>
      </c>
      <c r="D29" s="4" t="s">
        <v>1351</v>
      </c>
      <c r="E29" s="4" t="s">
        <v>1352</v>
      </c>
      <c r="F29" s="16" t="s">
        <v>1353</v>
      </c>
      <c r="G29" s="16" t="s">
        <v>357</v>
      </c>
      <c r="H29" s="10" t="s">
        <v>18</v>
      </c>
      <c r="I29" s="20" t="s">
        <v>90</v>
      </c>
    </row>
    <row r="30" customFormat="false" ht="15" hidden="false" customHeight="false" outlineLevel="0" collapsed="false">
      <c r="A30" s="16" t="s">
        <v>1354</v>
      </c>
      <c r="B30" s="33" t="n">
        <v>261</v>
      </c>
      <c r="C30" s="16" t="s">
        <v>1350</v>
      </c>
      <c r="D30" s="4" t="s">
        <v>1351</v>
      </c>
      <c r="E30" s="4" t="s">
        <v>1355</v>
      </c>
      <c r="F30" s="16" t="s">
        <v>1356</v>
      </c>
      <c r="G30" s="16" t="s">
        <v>357</v>
      </c>
      <c r="H30" s="10" t="s">
        <v>18</v>
      </c>
      <c r="I30" s="20" t="s">
        <v>90</v>
      </c>
    </row>
    <row r="31" customFormat="false" ht="29.85" hidden="false" customHeight="false" outlineLevel="0" collapsed="false">
      <c r="A31" s="16" t="s">
        <v>1357</v>
      </c>
      <c r="B31" s="33" t="n">
        <v>326.87</v>
      </c>
      <c r="C31" s="16" t="s">
        <v>1358</v>
      </c>
      <c r="D31" s="4" t="s">
        <v>1359</v>
      </c>
      <c r="E31" s="4" t="s">
        <v>1360</v>
      </c>
      <c r="F31" s="16" t="s">
        <v>1361</v>
      </c>
      <c r="G31" s="16" t="s">
        <v>326</v>
      </c>
      <c r="H31" s="10" t="s">
        <v>18</v>
      </c>
      <c r="I31" s="20" t="s">
        <v>90</v>
      </c>
    </row>
    <row r="32" customFormat="false" ht="15" hidden="false" customHeight="false" outlineLevel="0" collapsed="false">
      <c r="A32" s="16" t="s">
        <v>1362</v>
      </c>
      <c r="B32" s="33" t="n">
        <v>326.9</v>
      </c>
      <c r="C32" s="16" t="s">
        <v>1358</v>
      </c>
      <c r="D32" s="4" t="s">
        <v>1363</v>
      </c>
      <c r="E32" s="4" t="s">
        <v>1364</v>
      </c>
      <c r="F32" s="16" t="s">
        <v>1365</v>
      </c>
      <c r="G32" s="16" t="s">
        <v>326</v>
      </c>
      <c r="H32" s="10" t="s">
        <v>18</v>
      </c>
      <c r="I32" s="20" t="s">
        <v>90</v>
      </c>
    </row>
    <row r="33" customFormat="false" ht="15" hidden="false" customHeight="false" outlineLevel="0" collapsed="false">
      <c r="A33" s="16" t="s">
        <v>1366</v>
      </c>
      <c r="B33" s="33" t="n">
        <v>326.9</v>
      </c>
      <c r="C33" s="16" t="s">
        <v>1358</v>
      </c>
      <c r="D33" s="4" t="s">
        <v>1367</v>
      </c>
      <c r="E33" s="4" t="s">
        <v>1368</v>
      </c>
      <c r="F33" s="16" t="s">
        <v>1369</v>
      </c>
      <c r="G33" s="16" t="s">
        <v>326</v>
      </c>
      <c r="H33" s="10" t="s">
        <v>18</v>
      </c>
      <c r="I33" s="20" t="s">
        <v>90</v>
      </c>
    </row>
    <row r="34" customFormat="false" ht="29.85" hidden="false" customHeight="false" outlineLevel="0" collapsed="false">
      <c r="A34" s="16" t="s">
        <v>1370</v>
      </c>
      <c r="B34" s="33" t="n">
        <v>300</v>
      </c>
      <c r="C34" s="16" t="s">
        <v>80</v>
      </c>
      <c r="D34" s="4" t="s">
        <v>1371</v>
      </c>
      <c r="E34" s="4" t="s">
        <v>1372</v>
      </c>
      <c r="F34" s="16" t="s">
        <v>1373</v>
      </c>
      <c r="G34" s="16" t="s">
        <v>76</v>
      </c>
      <c r="H34" s="10" t="s">
        <v>18</v>
      </c>
      <c r="I34" s="20" t="s">
        <v>90</v>
      </c>
    </row>
    <row r="35" customFormat="false" ht="15" hidden="false" customHeight="false" outlineLevel="0" collapsed="false">
      <c r="A35" s="16" t="s">
        <v>1374</v>
      </c>
      <c r="B35" s="33" t="n">
        <v>261.4</v>
      </c>
      <c r="C35" s="16" t="s">
        <v>447</v>
      </c>
      <c r="D35" s="4" t="s">
        <v>1375</v>
      </c>
      <c r="E35" s="4" t="s">
        <v>1376</v>
      </c>
      <c r="F35" s="16" t="s">
        <v>1377</v>
      </c>
      <c r="G35" s="16" t="s">
        <v>445</v>
      </c>
      <c r="H35" s="11" t="s">
        <v>20</v>
      </c>
      <c r="I35" s="20" t="s">
        <v>90</v>
      </c>
    </row>
    <row r="36" customFormat="false" ht="15" hidden="false" customHeight="false" outlineLevel="0" collapsed="false">
      <c r="A36" s="16" t="s">
        <v>1378</v>
      </c>
      <c r="B36" s="33" t="n">
        <v>261</v>
      </c>
      <c r="C36" s="16" t="s">
        <v>447</v>
      </c>
      <c r="D36" s="4" t="s">
        <v>1375</v>
      </c>
      <c r="E36" s="4" t="s">
        <v>1379</v>
      </c>
      <c r="F36" s="16" t="s">
        <v>1377</v>
      </c>
      <c r="G36" s="16" t="s">
        <v>445</v>
      </c>
      <c r="H36" s="11" t="s">
        <v>20</v>
      </c>
      <c r="I36" s="20" t="s">
        <v>90</v>
      </c>
    </row>
    <row r="37" customFormat="false" ht="15" hidden="false" customHeight="false" outlineLevel="0" collapsed="false">
      <c r="A37" s="16" t="s">
        <v>1380</v>
      </c>
      <c r="B37" s="33" t="n">
        <v>261.4</v>
      </c>
      <c r="C37" s="16" t="s">
        <v>447</v>
      </c>
      <c r="D37" s="4" t="s">
        <v>1381</v>
      </c>
      <c r="E37" s="4" t="s">
        <v>1382</v>
      </c>
      <c r="F37" s="16" t="s">
        <v>1373</v>
      </c>
      <c r="G37" s="16" t="s">
        <v>445</v>
      </c>
      <c r="H37" s="11" t="s">
        <v>20</v>
      </c>
      <c r="I37" s="20" t="s">
        <v>90</v>
      </c>
    </row>
    <row r="38" customFormat="false" ht="15" hidden="false" customHeight="false" outlineLevel="0" collapsed="false">
      <c r="A38" s="16" t="s">
        <v>1383</v>
      </c>
      <c r="B38" s="33" t="n">
        <v>261.4</v>
      </c>
      <c r="C38" s="16" t="s">
        <v>447</v>
      </c>
      <c r="D38" s="4" t="s">
        <v>1375</v>
      </c>
      <c r="E38" s="4" t="s">
        <v>1384</v>
      </c>
      <c r="F38" s="16" t="s">
        <v>1377</v>
      </c>
      <c r="G38" s="16" t="s">
        <v>445</v>
      </c>
      <c r="H38" s="11" t="s">
        <v>20</v>
      </c>
      <c r="I38" s="20" t="s">
        <v>90</v>
      </c>
    </row>
    <row r="39" customFormat="false" ht="15" hidden="false" customHeight="false" outlineLevel="0" collapsed="false">
      <c r="A39" s="16" t="s">
        <v>1385</v>
      </c>
      <c r="B39" s="33" t="n">
        <v>261</v>
      </c>
      <c r="C39" s="16" t="s">
        <v>447</v>
      </c>
      <c r="D39" s="4" t="s">
        <v>1375</v>
      </c>
      <c r="E39" s="4" t="s">
        <v>1379</v>
      </c>
      <c r="F39" s="16" t="s">
        <v>1377</v>
      </c>
      <c r="G39" s="16" t="s">
        <v>445</v>
      </c>
      <c r="H39" s="11" t="s">
        <v>20</v>
      </c>
      <c r="I39" s="20" t="s">
        <v>90</v>
      </c>
    </row>
    <row r="40" customFormat="false" ht="15" hidden="false" customHeight="false" outlineLevel="0" collapsed="false">
      <c r="A40" s="16" t="s">
        <v>1386</v>
      </c>
      <c r="B40" s="33" t="n">
        <v>261.4</v>
      </c>
      <c r="C40" s="16" t="s">
        <v>447</v>
      </c>
      <c r="D40" s="4" t="s">
        <v>1375</v>
      </c>
      <c r="E40" s="4" t="s">
        <v>1387</v>
      </c>
      <c r="F40" s="16" t="s">
        <v>1373</v>
      </c>
      <c r="G40" s="16" t="s">
        <v>445</v>
      </c>
      <c r="H40" s="11" t="s">
        <v>20</v>
      </c>
      <c r="I40" s="20" t="s">
        <v>90</v>
      </c>
    </row>
    <row r="41" customFormat="false" ht="15" hidden="false" customHeight="false" outlineLevel="0" collapsed="false">
      <c r="A41" s="16" t="s">
        <v>1388</v>
      </c>
      <c r="B41" s="33" t="n">
        <v>261.4</v>
      </c>
      <c r="C41" s="16" t="s">
        <v>447</v>
      </c>
      <c r="D41" s="4" t="s">
        <v>1381</v>
      </c>
      <c r="E41" s="4" t="s">
        <v>1382</v>
      </c>
      <c r="F41" s="16" t="s">
        <v>1373</v>
      </c>
      <c r="G41" s="16" t="s">
        <v>445</v>
      </c>
      <c r="H41" s="11" t="s">
        <v>20</v>
      </c>
      <c r="I41" s="20" t="s">
        <v>90</v>
      </c>
    </row>
    <row r="42" customFormat="false" ht="15" hidden="false" customHeight="false" outlineLevel="0" collapsed="false">
      <c r="A42" s="16" t="s">
        <v>1389</v>
      </c>
      <c r="B42" s="33" t="n">
        <v>261.4</v>
      </c>
      <c r="C42" s="16" t="s">
        <v>447</v>
      </c>
      <c r="D42" s="4" t="s">
        <v>1375</v>
      </c>
      <c r="E42" s="4" t="s">
        <v>1390</v>
      </c>
      <c r="F42" s="16" t="s">
        <v>1377</v>
      </c>
      <c r="G42" s="16" t="s">
        <v>445</v>
      </c>
      <c r="H42" s="11" t="s">
        <v>20</v>
      </c>
      <c r="I42" s="20" t="s">
        <v>90</v>
      </c>
    </row>
    <row r="43" customFormat="false" ht="15" hidden="false" customHeight="false" outlineLevel="0" collapsed="false">
      <c r="A43" s="16" t="s">
        <v>1391</v>
      </c>
      <c r="B43" s="33" t="n">
        <v>261.4</v>
      </c>
      <c r="C43" s="16" t="s">
        <v>447</v>
      </c>
      <c r="D43" s="4" t="s">
        <v>1375</v>
      </c>
      <c r="E43" s="4" t="s">
        <v>1392</v>
      </c>
      <c r="F43" s="16" t="s">
        <v>1377</v>
      </c>
      <c r="G43" s="16" t="s">
        <v>445</v>
      </c>
      <c r="H43" s="11" t="s">
        <v>20</v>
      </c>
      <c r="I43" s="20" t="s">
        <v>90</v>
      </c>
    </row>
    <row r="44" customFormat="false" ht="15" hidden="false" customHeight="false" outlineLevel="0" collapsed="false">
      <c r="A44" s="16" t="s">
        <v>1393</v>
      </c>
      <c r="B44" s="33" t="n">
        <v>261.4</v>
      </c>
      <c r="C44" s="16" t="s">
        <v>1394</v>
      </c>
      <c r="D44" s="4" t="s">
        <v>1375</v>
      </c>
      <c r="E44" s="4" t="s">
        <v>1376</v>
      </c>
      <c r="F44" s="16" t="s">
        <v>1377</v>
      </c>
      <c r="G44" s="16" t="s">
        <v>445</v>
      </c>
      <c r="H44" s="11" t="s">
        <v>20</v>
      </c>
      <c r="I44" s="20" t="s">
        <v>90</v>
      </c>
    </row>
    <row r="45" customFormat="false" ht="15" hidden="false" customHeight="false" outlineLevel="0" collapsed="false">
      <c r="A45" s="16" t="s">
        <v>1395</v>
      </c>
      <c r="B45" s="33" t="n">
        <v>261</v>
      </c>
      <c r="C45" s="16" t="s">
        <v>447</v>
      </c>
      <c r="D45" s="4" t="s">
        <v>1375</v>
      </c>
      <c r="E45" s="4" t="s">
        <v>1396</v>
      </c>
      <c r="F45" s="16" t="s">
        <v>1377</v>
      </c>
      <c r="G45" s="16" t="s">
        <v>445</v>
      </c>
      <c r="H45" s="11" t="s">
        <v>20</v>
      </c>
      <c r="I45" s="20" t="s">
        <v>90</v>
      </c>
    </row>
    <row r="46" customFormat="false" ht="15" hidden="false" customHeight="false" outlineLevel="0" collapsed="false">
      <c r="A46" s="16" t="s">
        <v>1397</v>
      </c>
      <c r="B46" s="33" t="n">
        <v>266.8</v>
      </c>
      <c r="C46" s="16" t="s">
        <v>422</v>
      </c>
      <c r="D46" s="4" t="s">
        <v>1375</v>
      </c>
      <c r="E46" s="4" t="s">
        <v>1398</v>
      </c>
      <c r="F46" s="16" t="s">
        <v>1399</v>
      </c>
      <c r="G46" s="16" t="s">
        <v>419</v>
      </c>
      <c r="H46" s="11" t="s">
        <v>20</v>
      </c>
      <c r="I46" s="20" t="s">
        <v>90</v>
      </c>
    </row>
    <row r="47" customFormat="false" ht="15" hidden="false" customHeight="false" outlineLevel="0" collapsed="false">
      <c r="A47" s="16" t="s">
        <v>1400</v>
      </c>
      <c r="B47" s="33" t="n">
        <v>303</v>
      </c>
      <c r="C47" s="16" t="s">
        <v>97</v>
      </c>
      <c r="D47" s="4" t="s">
        <v>1401</v>
      </c>
      <c r="E47" s="4" t="s">
        <v>1402</v>
      </c>
      <c r="F47" s="16" t="s">
        <v>1403</v>
      </c>
      <c r="G47" s="16" t="s">
        <v>93</v>
      </c>
      <c r="H47" s="11" t="s">
        <v>20</v>
      </c>
      <c r="I47" s="20" t="s">
        <v>90</v>
      </c>
    </row>
    <row r="48" customFormat="false" ht="15" hidden="false" customHeight="false" outlineLevel="0" collapsed="false">
      <c r="A48" s="16" t="s">
        <v>1404</v>
      </c>
      <c r="B48" s="33" t="n">
        <v>302</v>
      </c>
      <c r="C48" s="16" t="s">
        <v>97</v>
      </c>
      <c r="D48" s="4" t="s">
        <v>1401</v>
      </c>
      <c r="E48" s="4" t="s">
        <v>1405</v>
      </c>
      <c r="F48" s="16" t="s">
        <v>1403</v>
      </c>
      <c r="G48" s="16" t="s">
        <v>93</v>
      </c>
      <c r="H48" s="11" t="s">
        <v>20</v>
      </c>
      <c r="I48" s="20" t="s">
        <v>90</v>
      </c>
    </row>
    <row r="49" customFormat="false" ht="15" hidden="false" customHeight="false" outlineLevel="0" collapsed="false">
      <c r="A49" s="16" t="s">
        <v>1406</v>
      </c>
      <c r="B49" s="33" t="n">
        <v>303</v>
      </c>
      <c r="C49" s="16" t="s">
        <v>97</v>
      </c>
      <c r="D49" s="4" t="s">
        <v>1401</v>
      </c>
      <c r="E49" s="4" t="s">
        <v>1407</v>
      </c>
      <c r="F49" s="16" t="s">
        <v>1403</v>
      </c>
      <c r="G49" s="16" t="s">
        <v>93</v>
      </c>
      <c r="H49" s="11" t="s">
        <v>20</v>
      </c>
      <c r="I49" s="20" t="s">
        <v>90</v>
      </c>
    </row>
    <row r="50" customFormat="false" ht="15" hidden="false" customHeight="false" outlineLevel="0" collapsed="false">
      <c r="A50" s="16" t="s">
        <v>1408</v>
      </c>
      <c r="B50" s="33" t="n">
        <v>303</v>
      </c>
      <c r="C50" s="16" t="s">
        <v>97</v>
      </c>
      <c r="D50" s="4" t="s">
        <v>1401</v>
      </c>
      <c r="E50" s="4" t="s">
        <v>1409</v>
      </c>
      <c r="F50" s="16" t="s">
        <v>1403</v>
      </c>
      <c r="G50" s="16" t="s">
        <v>93</v>
      </c>
      <c r="H50" s="11" t="s">
        <v>20</v>
      </c>
      <c r="I50" s="20" t="s">
        <v>90</v>
      </c>
    </row>
    <row r="51" customFormat="false" ht="15" hidden="false" customHeight="false" outlineLevel="0" collapsed="false">
      <c r="A51" s="16" t="s">
        <v>1410</v>
      </c>
      <c r="B51" s="33" t="n">
        <v>253</v>
      </c>
      <c r="C51" s="16" t="s">
        <v>156</v>
      </c>
      <c r="D51" s="4" t="s">
        <v>1411</v>
      </c>
      <c r="E51" s="4" t="s">
        <v>1412</v>
      </c>
      <c r="F51" s="16" t="s">
        <v>1413</v>
      </c>
      <c r="G51" s="16" t="s">
        <v>153</v>
      </c>
      <c r="H51" s="11" t="s">
        <v>20</v>
      </c>
      <c r="I51" s="20" t="s">
        <v>90</v>
      </c>
    </row>
    <row r="52" customFormat="false" ht="15" hidden="false" customHeight="false" outlineLevel="0" collapsed="false">
      <c r="A52" s="16" t="s">
        <v>1414</v>
      </c>
      <c r="B52" s="33" t="n">
        <v>283</v>
      </c>
      <c r="C52" s="16" t="s">
        <v>124</v>
      </c>
      <c r="D52" s="4" t="s">
        <v>1415</v>
      </c>
      <c r="E52" s="4" t="s">
        <v>1416</v>
      </c>
      <c r="F52" s="16" t="s">
        <v>1417</v>
      </c>
      <c r="G52" s="16" t="s">
        <v>120</v>
      </c>
      <c r="H52" s="11" t="s">
        <v>20</v>
      </c>
      <c r="I52" s="20" t="s">
        <v>90</v>
      </c>
    </row>
    <row r="53" customFormat="false" ht="15" hidden="false" customHeight="false" outlineLevel="0" collapsed="false">
      <c r="A53" s="16" t="s">
        <v>1418</v>
      </c>
      <c r="B53" s="33" t="n">
        <v>282.1</v>
      </c>
      <c r="C53" s="16" t="s">
        <v>397</v>
      </c>
      <c r="D53" s="4" t="s">
        <v>1281</v>
      </c>
      <c r="E53" s="4" t="s">
        <v>1419</v>
      </c>
      <c r="F53" s="16" t="s">
        <v>1420</v>
      </c>
      <c r="G53" s="16" t="s">
        <v>395</v>
      </c>
      <c r="H53" s="11" t="s">
        <v>20</v>
      </c>
      <c r="I53" s="20" t="s">
        <v>90</v>
      </c>
    </row>
    <row r="54" customFormat="false" ht="15" hidden="false" customHeight="false" outlineLevel="0" collapsed="false">
      <c r="A54" s="16" t="s">
        <v>1421</v>
      </c>
      <c r="B54" s="33" t="n">
        <v>282.1</v>
      </c>
      <c r="C54" s="16" t="s">
        <v>397</v>
      </c>
      <c r="D54" s="4" t="s">
        <v>1281</v>
      </c>
      <c r="E54" s="4" t="s">
        <v>1419</v>
      </c>
      <c r="F54" s="16" t="s">
        <v>1422</v>
      </c>
      <c r="G54" s="16" t="s">
        <v>395</v>
      </c>
      <c r="H54" s="11" t="s">
        <v>20</v>
      </c>
      <c r="I54" s="20" t="s">
        <v>90</v>
      </c>
    </row>
    <row r="55" customFormat="false" ht="15" hidden="false" customHeight="false" outlineLevel="0" collapsed="false">
      <c r="A55" s="16" t="s">
        <v>1423</v>
      </c>
      <c r="B55" s="33" t="n">
        <v>282</v>
      </c>
      <c r="C55" s="16" t="s">
        <v>397</v>
      </c>
      <c r="D55" s="4" t="s">
        <v>1281</v>
      </c>
      <c r="E55" s="4" t="s">
        <v>1424</v>
      </c>
      <c r="F55" s="16" t="s">
        <v>1422</v>
      </c>
      <c r="G55" s="16" t="s">
        <v>395</v>
      </c>
      <c r="H55" s="11" t="s">
        <v>20</v>
      </c>
      <c r="I55" s="20" t="s">
        <v>90</v>
      </c>
    </row>
    <row r="56" customFormat="false" ht="15" hidden="false" customHeight="false" outlineLevel="0" collapsed="false">
      <c r="A56" s="16" t="s">
        <v>1425</v>
      </c>
      <c r="B56" s="33" t="n">
        <v>265.9</v>
      </c>
      <c r="C56" s="16" t="s">
        <v>435</v>
      </c>
      <c r="D56" s="4" t="s">
        <v>1426</v>
      </c>
      <c r="E56" s="4" t="s">
        <v>1427</v>
      </c>
      <c r="F56" s="16" t="s">
        <v>1428</v>
      </c>
      <c r="G56" s="16" t="s">
        <v>432</v>
      </c>
      <c r="H56" s="11" t="s">
        <v>20</v>
      </c>
      <c r="I56" s="20" t="s">
        <v>90</v>
      </c>
    </row>
    <row r="57" customFormat="false" ht="15" hidden="false" customHeight="false" outlineLevel="0" collapsed="false">
      <c r="A57" s="16" t="s">
        <v>1429</v>
      </c>
      <c r="B57" s="33" t="n">
        <v>255.2</v>
      </c>
      <c r="C57" s="16" t="s">
        <v>137</v>
      </c>
      <c r="D57" s="4" t="s">
        <v>1430</v>
      </c>
      <c r="E57" s="4" t="s">
        <v>1431</v>
      </c>
      <c r="F57" s="16" t="s">
        <v>1432</v>
      </c>
      <c r="G57" s="16" t="s">
        <v>134</v>
      </c>
      <c r="H57" s="11" t="s">
        <v>20</v>
      </c>
      <c r="I57" s="20" t="s">
        <v>90</v>
      </c>
    </row>
    <row r="58" customFormat="false" ht="15" hidden="false" customHeight="false" outlineLevel="0" collapsed="false">
      <c r="A58" s="16" t="s">
        <v>1433</v>
      </c>
      <c r="B58" s="33" t="n">
        <v>226.3</v>
      </c>
      <c r="C58" s="16" t="s">
        <v>137</v>
      </c>
      <c r="D58" s="4" t="s">
        <v>1430</v>
      </c>
      <c r="E58" s="4" t="s">
        <v>1434</v>
      </c>
      <c r="F58" s="16" t="s">
        <v>1435</v>
      </c>
      <c r="G58" s="16" t="s">
        <v>134</v>
      </c>
      <c r="H58" s="11" t="s">
        <v>20</v>
      </c>
      <c r="I58" s="20" t="s">
        <v>90</v>
      </c>
    </row>
    <row r="59" customFormat="false" ht="15" hidden="false" customHeight="false" outlineLevel="0" collapsed="false">
      <c r="A59" s="16" t="s">
        <v>1436</v>
      </c>
      <c r="B59" s="33" t="n">
        <v>255</v>
      </c>
      <c r="C59" s="16" t="s">
        <v>137</v>
      </c>
      <c r="D59" s="4" t="s">
        <v>1430</v>
      </c>
      <c r="E59" s="4" t="s">
        <v>1437</v>
      </c>
      <c r="F59" s="16" t="s">
        <v>1435</v>
      </c>
      <c r="G59" s="16" t="s">
        <v>134</v>
      </c>
      <c r="H59" s="11" t="s">
        <v>20</v>
      </c>
      <c r="I59" s="20" t="s">
        <v>90</v>
      </c>
    </row>
    <row r="60" customFormat="false" ht="15" hidden="false" customHeight="false" outlineLevel="0" collapsed="false">
      <c r="A60" s="16" t="s">
        <v>1438</v>
      </c>
      <c r="B60" s="33" t="n">
        <v>226</v>
      </c>
      <c r="C60" s="16" t="s">
        <v>137</v>
      </c>
      <c r="D60" s="4" t="s">
        <v>1439</v>
      </c>
      <c r="E60" s="4" t="s">
        <v>1440</v>
      </c>
      <c r="F60" s="16" t="s">
        <v>1435</v>
      </c>
      <c r="G60" s="16" t="s">
        <v>134</v>
      </c>
      <c r="H60" s="11" t="s">
        <v>20</v>
      </c>
      <c r="I60" s="20" t="s">
        <v>90</v>
      </c>
    </row>
    <row r="61" customFormat="false" ht="15" hidden="false" customHeight="false" outlineLevel="0" collapsed="false">
      <c r="A61" s="16" t="s">
        <v>1441</v>
      </c>
      <c r="B61" s="33" t="n">
        <v>255</v>
      </c>
      <c r="C61" s="16" t="s">
        <v>1394</v>
      </c>
      <c r="D61" s="4" t="s">
        <v>1442</v>
      </c>
      <c r="E61" s="4" t="s">
        <v>1443</v>
      </c>
      <c r="F61" s="16" t="s">
        <v>1317</v>
      </c>
      <c r="G61" s="16" t="s">
        <v>185</v>
      </c>
      <c r="H61" s="12" t="s">
        <v>22</v>
      </c>
      <c r="I61" s="20" t="s">
        <v>90</v>
      </c>
    </row>
    <row r="62" customFormat="false" ht="15" hidden="false" customHeight="false" outlineLevel="0" collapsed="false">
      <c r="A62" s="16" t="s">
        <v>1444</v>
      </c>
      <c r="B62" s="33" t="n">
        <v>235.7</v>
      </c>
      <c r="C62" s="16" t="s">
        <v>1394</v>
      </c>
      <c r="D62" s="4" t="s">
        <v>1430</v>
      </c>
      <c r="E62" s="4" t="s">
        <v>1445</v>
      </c>
      <c r="F62" s="16" t="s">
        <v>1446</v>
      </c>
      <c r="G62" s="16" t="s">
        <v>185</v>
      </c>
      <c r="H62" s="12" t="s">
        <v>22</v>
      </c>
      <c r="I62" s="20" t="s">
        <v>90</v>
      </c>
    </row>
    <row r="63" customFormat="false" ht="15" hidden="false" customHeight="false" outlineLevel="0" collapsed="false">
      <c r="A63" s="16" t="s">
        <v>1447</v>
      </c>
      <c r="B63" s="33" t="n">
        <v>230</v>
      </c>
      <c r="C63" s="16" t="s">
        <v>1394</v>
      </c>
      <c r="D63" s="4" t="s">
        <v>1430</v>
      </c>
      <c r="E63" s="4" t="s">
        <v>1448</v>
      </c>
      <c r="F63" s="16" t="s">
        <v>1449</v>
      </c>
      <c r="G63" s="16" t="s">
        <v>185</v>
      </c>
      <c r="H63" s="12" t="s">
        <v>22</v>
      </c>
      <c r="I63" s="20" t="s">
        <v>90</v>
      </c>
    </row>
    <row r="64" customFormat="false" ht="15" hidden="false" customHeight="false" outlineLevel="0" collapsed="false">
      <c r="A64" s="16" t="s">
        <v>1450</v>
      </c>
      <c r="B64" s="33" t="n">
        <v>235.7</v>
      </c>
      <c r="C64" s="16" t="s">
        <v>1394</v>
      </c>
      <c r="D64" s="4" t="s">
        <v>1430</v>
      </c>
      <c r="E64" s="4" t="s">
        <v>1451</v>
      </c>
      <c r="F64" s="16" t="s">
        <v>1446</v>
      </c>
      <c r="G64" s="16" t="s">
        <v>185</v>
      </c>
      <c r="H64" s="12" t="s">
        <v>22</v>
      </c>
      <c r="I64" s="20" t="s">
        <v>90</v>
      </c>
    </row>
    <row r="65" customFormat="false" ht="15" hidden="false" customHeight="false" outlineLevel="0" collapsed="false">
      <c r="A65" s="16" t="s">
        <v>1452</v>
      </c>
      <c r="B65" s="33" t="n">
        <v>227.2</v>
      </c>
      <c r="C65" s="16" t="s">
        <v>1394</v>
      </c>
      <c r="D65" s="4" t="s">
        <v>1430</v>
      </c>
      <c r="E65" s="4" t="s">
        <v>1453</v>
      </c>
      <c r="F65" s="16" t="s">
        <v>1317</v>
      </c>
      <c r="G65" s="16" t="s">
        <v>185</v>
      </c>
      <c r="H65" s="12" t="s">
        <v>22</v>
      </c>
      <c r="I65" s="20" t="s">
        <v>90</v>
      </c>
    </row>
    <row r="66" customFormat="false" ht="15" hidden="false" customHeight="false" outlineLevel="0" collapsed="false">
      <c r="A66" s="16" t="s">
        <v>1454</v>
      </c>
      <c r="B66" s="33" t="n">
        <v>227.2</v>
      </c>
      <c r="C66" s="16" t="s">
        <v>1394</v>
      </c>
      <c r="D66" s="4" t="s">
        <v>1455</v>
      </c>
      <c r="E66" s="4" t="s">
        <v>1456</v>
      </c>
      <c r="F66" s="16" t="s">
        <v>1446</v>
      </c>
      <c r="G66" s="16" t="s">
        <v>185</v>
      </c>
      <c r="H66" s="12" t="s">
        <v>22</v>
      </c>
      <c r="I66" s="20" t="s">
        <v>90</v>
      </c>
    </row>
    <row r="67" customFormat="false" ht="15" hidden="false" customHeight="false" outlineLevel="0" collapsed="false">
      <c r="A67" s="16" t="s">
        <v>1457</v>
      </c>
      <c r="B67" s="33" t="n">
        <v>227.2</v>
      </c>
      <c r="C67" s="16" t="s">
        <v>1394</v>
      </c>
      <c r="D67" s="4" t="s">
        <v>1458</v>
      </c>
      <c r="E67" s="4" t="s">
        <v>1459</v>
      </c>
      <c r="F67" s="16" t="s">
        <v>1446</v>
      </c>
      <c r="G67" s="16" t="s">
        <v>185</v>
      </c>
      <c r="H67" s="12" t="s">
        <v>22</v>
      </c>
      <c r="I67" s="20" t="s">
        <v>90</v>
      </c>
    </row>
    <row r="68" customFormat="false" ht="15" hidden="false" customHeight="false" outlineLevel="0" collapsed="false">
      <c r="A68" s="16" t="s">
        <v>1460</v>
      </c>
      <c r="B68" s="33" t="n">
        <v>227.2</v>
      </c>
      <c r="C68" s="16" t="s">
        <v>1394</v>
      </c>
      <c r="D68" s="4" t="s">
        <v>1430</v>
      </c>
      <c r="E68" s="4" t="s">
        <v>1461</v>
      </c>
      <c r="F68" s="16" t="s">
        <v>1446</v>
      </c>
      <c r="G68" s="16" t="s">
        <v>185</v>
      </c>
      <c r="H68" s="12" t="s">
        <v>22</v>
      </c>
      <c r="I68" s="20" t="s">
        <v>90</v>
      </c>
    </row>
    <row r="69" customFormat="false" ht="15" hidden="false" customHeight="false" outlineLevel="0" collapsed="false">
      <c r="A69" s="16" t="s">
        <v>1462</v>
      </c>
      <c r="B69" s="33" t="n">
        <v>236</v>
      </c>
      <c r="C69" s="16" t="s">
        <v>1394</v>
      </c>
      <c r="D69" s="4" t="s">
        <v>1430</v>
      </c>
      <c r="E69" s="4" t="s">
        <v>1463</v>
      </c>
      <c r="F69" s="16" t="s">
        <v>1446</v>
      </c>
      <c r="G69" s="16" t="s">
        <v>185</v>
      </c>
      <c r="H69" s="12" t="s">
        <v>22</v>
      </c>
      <c r="I69" s="20" t="s">
        <v>90</v>
      </c>
    </row>
    <row r="70" customFormat="false" ht="15" hidden="false" customHeight="false" outlineLevel="0" collapsed="false">
      <c r="A70" s="16" t="s">
        <v>1464</v>
      </c>
      <c r="B70" s="33" t="n">
        <v>353.2</v>
      </c>
      <c r="C70" s="16" t="s">
        <v>435</v>
      </c>
      <c r="D70" s="4" t="s">
        <v>1465</v>
      </c>
      <c r="E70" s="4" t="s">
        <v>1466</v>
      </c>
      <c r="F70" s="16" t="s">
        <v>1467</v>
      </c>
      <c r="G70" s="16" t="s">
        <v>502</v>
      </c>
      <c r="H70" s="12" t="s">
        <v>22</v>
      </c>
      <c r="I70" s="20" t="s">
        <v>90</v>
      </c>
    </row>
    <row r="71" customFormat="false" ht="15" hidden="false" customHeight="false" outlineLevel="0" collapsed="false">
      <c r="A71" s="16" t="s">
        <v>1468</v>
      </c>
      <c r="B71" s="33" t="n">
        <v>306.6</v>
      </c>
      <c r="C71" s="16" t="s">
        <v>818</v>
      </c>
      <c r="D71" s="4" t="s">
        <v>1469</v>
      </c>
      <c r="E71" s="4" t="s">
        <v>1470</v>
      </c>
      <c r="F71" s="16" t="s">
        <v>1471</v>
      </c>
      <c r="G71" s="16" t="s">
        <v>815</v>
      </c>
      <c r="H71" s="12" t="s">
        <v>22</v>
      </c>
      <c r="I71" s="20" t="s">
        <v>90</v>
      </c>
    </row>
    <row r="72" customFormat="false" ht="15" hidden="false" customHeight="false" outlineLevel="0" collapsed="false">
      <c r="A72" s="16" t="s">
        <v>1472</v>
      </c>
      <c r="B72" s="33" t="n">
        <v>306</v>
      </c>
      <c r="C72" s="16" t="s">
        <v>818</v>
      </c>
      <c r="D72" s="4" t="s">
        <v>1469</v>
      </c>
      <c r="E72" s="4" t="s">
        <v>1473</v>
      </c>
      <c r="F72" s="16" t="s">
        <v>1474</v>
      </c>
      <c r="G72" s="16" t="s">
        <v>815</v>
      </c>
      <c r="H72" s="12" t="s">
        <v>22</v>
      </c>
      <c r="I72" s="20" t="s">
        <v>90</v>
      </c>
    </row>
    <row r="73" customFormat="false" ht="15" hidden="false" customHeight="false" outlineLevel="0" collapsed="false">
      <c r="A73" s="16" t="s">
        <v>1475</v>
      </c>
      <c r="B73" s="33" t="n">
        <v>306.5</v>
      </c>
      <c r="C73" s="16" t="s">
        <v>766</v>
      </c>
      <c r="D73" s="4" t="s">
        <v>1476</v>
      </c>
      <c r="E73" s="4" t="s">
        <v>1477</v>
      </c>
      <c r="F73" s="16" t="s">
        <v>1478</v>
      </c>
      <c r="G73" s="16" t="s">
        <v>922</v>
      </c>
      <c r="H73" s="12" t="s">
        <v>22</v>
      </c>
      <c r="I73" s="20" t="s">
        <v>90</v>
      </c>
    </row>
    <row r="74" customFormat="false" ht="15" hidden="false" customHeight="false" outlineLevel="0" collapsed="false">
      <c r="A74" s="16" t="s">
        <v>1479</v>
      </c>
      <c r="B74" s="33" t="n">
        <v>306</v>
      </c>
      <c r="C74" s="16" t="s">
        <v>766</v>
      </c>
      <c r="D74" s="4" t="s">
        <v>1476</v>
      </c>
      <c r="E74" s="4" t="s">
        <v>1480</v>
      </c>
      <c r="F74" s="16" t="s">
        <v>1481</v>
      </c>
      <c r="G74" s="16" t="s">
        <v>922</v>
      </c>
      <c r="H74" s="12" t="s">
        <v>22</v>
      </c>
      <c r="I74" s="20" t="s">
        <v>90</v>
      </c>
    </row>
    <row r="75" customFormat="false" ht="15" hidden="false" customHeight="false" outlineLevel="0" collapsed="false">
      <c r="A75" s="16" t="s">
        <v>1482</v>
      </c>
      <c r="B75" s="33" t="n">
        <v>306.5</v>
      </c>
      <c r="C75" s="16" t="s">
        <v>766</v>
      </c>
      <c r="D75" s="4" t="s">
        <v>1476</v>
      </c>
      <c r="E75" s="4" t="s">
        <v>1483</v>
      </c>
      <c r="F75" s="16" t="s">
        <v>1481</v>
      </c>
      <c r="G75" s="16" t="s">
        <v>922</v>
      </c>
      <c r="H75" s="12" t="s">
        <v>22</v>
      </c>
      <c r="I75" s="20" t="s">
        <v>90</v>
      </c>
    </row>
    <row r="76" customFormat="false" ht="15" hidden="false" customHeight="false" outlineLevel="0" collapsed="false">
      <c r="A76" s="16" t="s">
        <v>1484</v>
      </c>
      <c r="B76" s="33" t="n">
        <v>306</v>
      </c>
      <c r="C76" s="16" t="s">
        <v>766</v>
      </c>
      <c r="D76" s="4" t="s">
        <v>1476</v>
      </c>
      <c r="E76" s="4" t="s">
        <v>1485</v>
      </c>
      <c r="F76" s="16" t="s">
        <v>1486</v>
      </c>
      <c r="G76" s="16" t="s">
        <v>922</v>
      </c>
      <c r="H76" s="12" t="s">
        <v>22</v>
      </c>
      <c r="I76" s="20" t="s">
        <v>90</v>
      </c>
    </row>
    <row r="77" customFormat="false" ht="15" hidden="false" customHeight="false" outlineLevel="0" collapsed="false">
      <c r="A77" s="16" t="s">
        <v>1487</v>
      </c>
      <c r="B77" s="33" t="n">
        <v>308.7</v>
      </c>
      <c r="C77" s="16" t="s">
        <v>649</v>
      </c>
      <c r="D77" s="4" t="s">
        <v>1488</v>
      </c>
      <c r="E77" s="4" t="s">
        <v>1489</v>
      </c>
      <c r="F77" s="16" t="s">
        <v>1490</v>
      </c>
      <c r="G77" s="16" t="s">
        <v>748</v>
      </c>
      <c r="H77" s="12" t="s">
        <v>22</v>
      </c>
      <c r="I77" s="20" t="s">
        <v>90</v>
      </c>
    </row>
    <row r="78" customFormat="false" ht="15" hidden="false" customHeight="false" outlineLevel="0" collapsed="false">
      <c r="A78" s="16" t="s">
        <v>1491</v>
      </c>
      <c r="B78" s="33" t="n">
        <v>243</v>
      </c>
      <c r="C78" s="16" t="s">
        <v>167</v>
      </c>
      <c r="D78" s="4" t="s">
        <v>1492</v>
      </c>
      <c r="E78" s="4" t="s">
        <v>1493</v>
      </c>
      <c r="F78" s="16" t="s">
        <v>1494</v>
      </c>
      <c r="G78" s="16" t="s">
        <v>164</v>
      </c>
      <c r="H78" s="11" t="s">
        <v>20</v>
      </c>
      <c r="I78" s="20" t="s">
        <v>90</v>
      </c>
    </row>
    <row r="79" customFormat="false" ht="15" hidden="false" customHeight="false" outlineLevel="0" collapsed="false">
      <c r="A79" s="16" t="s">
        <v>1495</v>
      </c>
      <c r="B79" s="33" t="n">
        <v>221</v>
      </c>
      <c r="C79" s="16" t="s">
        <v>97</v>
      </c>
      <c r="D79" s="4" t="s">
        <v>1496</v>
      </c>
      <c r="E79" s="4" t="s">
        <v>1497</v>
      </c>
      <c r="F79" s="16" t="s">
        <v>1498</v>
      </c>
      <c r="G79" s="16" t="s">
        <v>238</v>
      </c>
      <c r="H79" s="12" t="s">
        <v>22</v>
      </c>
      <c r="I79" s="20" t="s">
        <v>90</v>
      </c>
    </row>
    <row r="80" customFormat="false" ht="15" hidden="false" customHeight="false" outlineLevel="0" collapsed="false">
      <c r="A80" s="16" t="s">
        <v>1499</v>
      </c>
      <c r="B80" s="33" t="n">
        <v>225</v>
      </c>
      <c r="C80" s="16" t="s">
        <v>167</v>
      </c>
      <c r="D80" s="4" t="s">
        <v>1500</v>
      </c>
      <c r="E80" s="4" t="s">
        <v>1501</v>
      </c>
      <c r="F80" s="16" t="s">
        <v>1502</v>
      </c>
      <c r="G80" s="16" t="s">
        <v>565</v>
      </c>
      <c r="H80" s="12" t="s">
        <v>22</v>
      </c>
      <c r="I80" s="20" t="s">
        <v>90</v>
      </c>
    </row>
    <row r="81" customFormat="false" ht="15" hidden="false" customHeight="false" outlineLevel="0" collapsed="false">
      <c r="A81" s="16" t="s">
        <v>1503</v>
      </c>
      <c r="B81" s="33" t="n">
        <v>225.8</v>
      </c>
      <c r="C81" s="16" t="s">
        <v>167</v>
      </c>
      <c r="D81" s="4" t="s">
        <v>1500</v>
      </c>
      <c r="E81" s="4" t="s">
        <v>1504</v>
      </c>
      <c r="F81" s="16" t="s">
        <v>1283</v>
      </c>
      <c r="G81" s="16" t="s">
        <v>565</v>
      </c>
      <c r="H81" s="12" t="s">
        <v>22</v>
      </c>
      <c r="I81" s="20" t="s">
        <v>90</v>
      </c>
    </row>
    <row r="82" customFormat="false" ht="15" hidden="false" customHeight="false" outlineLevel="0" collapsed="false">
      <c r="A82" s="16" t="s">
        <v>1505</v>
      </c>
      <c r="B82" s="33" t="n">
        <v>225.8</v>
      </c>
      <c r="C82" s="16" t="s">
        <v>167</v>
      </c>
      <c r="D82" s="4" t="s">
        <v>1500</v>
      </c>
      <c r="E82" s="4" t="s">
        <v>1506</v>
      </c>
      <c r="F82" s="16" t="s">
        <v>1502</v>
      </c>
      <c r="G82" s="16" t="s">
        <v>565</v>
      </c>
      <c r="H82" s="12" t="s">
        <v>22</v>
      </c>
      <c r="I82" s="20" t="s">
        <v>90</v>
      </c>
    </row>
    <row r="83" customFormat="false" ht="15" hidden="false" customHeight="false" outlineLevel="0" collapsed="false">
      <c r="A83" s="16" t="s">
        <v>1507</v>
      </c>
      <c r="B83" s="33" t="n">
        <v>225.8</v>
      </c>
      <c r="C83" s="16" t="s">
        <v>167</v>
      </c>
      <c r="D83" s="4" t="s">
        <v>1500</v>
      </c>
      <c r="E83" s="4" t="s">
        <v>1508</v>
      </c>
      <c r="F83" s="16" t="s">
        <v>1502</v>
      </c>
      <c r="G83" s="16" t="s">
        <v>565</v>
      </c>
      <c r="H83" s="12" t="s">
        <v>22</v>
      </c>
      <c r="I83" s="20" t="s">
        <v>90</v>
      </c>
    </row>
    <row r="84" customFormat="false" ht="15" hidden="false" customHeight="false" outlineLevel="0" collapsed="false">
      <c r="A84" s="16" t="s">
        <v>1509</v>
      </c>
      <c r="B84" s="33" t="n">
        <v>225.8</v>
      </c>
      <c r="C84" s="16" t="s">
        <v>167</v>
      </c>
      <c r="D84" s="4" t="s">
        <v>1500</v>
      </c>
      <c r="E84" s="4" t="s">
        <v>1504</v>
      </c>
      <c r="F84" s="16" t="s">
        <v>1502</v>
      </c>
      <c r="G84" s="16" t="s">
        <v>565</v>
      </c>
      <c r="H84" s="12" t="s">
        <v>22</v>
      </c>
      <c r="I84" s="20" t="s">
        <v>90</v>
      </c>
    </row>
    <row r="85" customFormat="false" ht="15" hidden="false" customHeight="false" outlineLevel="0" collapsed="false">
      <c r="A85" s="16" t="s">
        <v>1510</v>
      </c>
      <c r="B85" s="33" t="n">
        <v>225</v>
      </c>
      <c r="C85" s="16" t="s">
        <v>167</v>
      </c>
      <c r="D85" s="4" t="s">
        <v>1511</v>
      </c>
      <c r="E85" s="4" t="s">
        <v>1512</v>
      </c>
      <c r="F85" s="16" t="s">
        <v>1513</v>
      </c>
      <c r="G85" s="16" t="s">
        <v>565</v>
      </c>
      <c r="H85" s="12" t="s">
        <v>22</v>
      </c>
      <c r="I85" s="20" t="s">
        <v>90</v>
      </c>
    </row>
    <row r="86" customFormat="false" ht="15" hidden="false" customHeight="false" outlineLevel="0" collapsed="false">
      <c r="A86" s="16" t="s">
        <v>1514</v>
      </c>
      <c r="B86" s="33" t="n">
        <v>225</v>
      </c>
      <c r="C86" s="16" t="s">
        <v>167</v>
      </c>
      <c r="D86" s="4" t="s">
        <v>1515</v>
      </c>
      <c r="E86" s="4" t="s">
        <v>1512</v>
      </c>
      <c r="F86" s="16" t="s">
        <v>1283</v>
      </c>
      <c r="G86" s="16" t="s">
        <v>565</v>
      </c>
      <c r="H86" s="12" t="s">
        <v>22</v>
      </c>
      <c r="I86" s="20" t="s">
        <v>90</v>
      </c>
    </row>
    <row r="87" customFormat="false" ht="15" hidden="false" customHeight="false" outlineLevel="0" collapsed="false">
      <c r="A87" s="16" t="s">
        <v>1516</v>
      </c>
      <c r="B87" s="33" t="n">
        <v>225</v>
      </c>
      <c r="C87" s="16" t="s">
        <v>167</v>
      </c>
      <c r="D87" s="4" t="s">
        <v>1500</v>
      </c>
      <c r="E87" s="4" t="s">
        <v>1501</v>
      </c>
      <c r="F87" s="16" t="s">
        <v>1502</v>
      </c>
      <c r="G87" s="16" t="s">
        <v>565</v>
      </c>
      <c r="H87" s="12" t="s">
        <v>22</v>
      </c>
      <c r="I87" s="20" t="s">
        <v>90</v>
      </c>
    </row>
    <row r="88" customFormat="false" ht="15" hidden="false" customHeight="false" outlineLevel="0" collapsed="false">
      <c r="A88" s="16" t="s">
        <v>1517</v>
      </c>
      <c r="B88" s="33" t="n">
        <v>225.8</v>
      </c>
      <c r="C88" s="16" t="s">
        <v>167</v>
      </c>
      <c r="D88" s="4" t="s">
        <v>1511</v>
      </c>
      <c r="E88" s="4" t="s">
        <v>1512</v>
      </c>
      <c r="F88" s="16" t="s">
        <v>1518</v>
      </c>
      <c r="G88" s="16" t="s">
        <v>565</v>
      </c>
      <c r="H88" s="12" t="s">
        <v>22</v>
      </c>
      <c r="I88" s="20" t="s">
        <v>90</v>
      </c>
    </row>
    <row r="89" customFormat="false" ht="15" hidden="false" customHeight="false" outlineLevel="0" collapsed="false">
      <c r="A89" s="16" t="s">
        <v>1519</v>
      </c>
      <c r="B89" s="33" t="n">
        <v>225</v>
      </c>
      <c r="C89" s="16" t="s">
        <v>167</v>
      </c>
      <c r="D89" s="4" t="s">
        <v>1500</v>
      </c>
      <c r="E89" s="4" t="s">
        <v>1520</v>
      </c>
      <c r="F89" s="16" t="s">
        <v>1502</v>
      </c>
      <c r="G89" s="16" t="s">
        <v>565</v>
      </c>
      <c r="H89" s="12" t="s">
        <v>22</v>
      </c>
      <c r="I89" s="20" t="s">
        <v>90</v>
      </c>
    </row>
    <row r="90" customFormat="false" ht="15" hidden="false" customHeight="false" outlineLevel="0" collapsed="false">
      <c r="A90" s="16" t="s">
        <v>1521</v>
      </c>
      <c r="B90" s="33" t="n">
        <v>254</v>
      </c>
      <c r="C90" s="16" t="s">
        <v>148</v>
      </c>
      <c r="D90" s="4" t="s">
        <v>1522</v>
      </c>
      <c r="E90" s="4" t="s">
        <v>1523</v>
      </c>
      <c r="F90" s="16" t="s">
        <v>1524</v>
      </c>
      <c r="G90" s="16" t="s">
        <v>146</v>
      </c>
      <c r="H90" s="11" t="s">
        <v>20</v>
      </c>
      <c r="I90" s="20" t="s">
        <v>90</v>
      </c>
    </row>
    <row r="91" customFormat="false" ht="15" hidden="false" customHeight="false" outlineLevel="0" collapsed="false">
      <c r="A91" s="16" t="s">
        <v>1525</v>
      </c>
      <c r="B91" s="33" t="n">
        <v>250</v>
      </c>
      <c r="C91" s="16" t="s">
        <v>792</v>
      </c>
      <c r="D91" s="4" t="s">
        <v>1522</v>
      </c>
      <c r="E91" s="4" t="s">
        <v>1526</v>
      </c>
      <c r="F91" s="16" t="s">
        <v>1527</v>
      </c>
      <c r="G91" s="16" t="s">
        <v>146</v>
      </c>
      <c r="H91" s="11" t="s">
        <v>20</v>
      </c>
      <c r="I91" s="20" t="s">
        <v>90</v>
      </c>
    </row>
    <row r="92" customFormat="false" ht="15" hidden="false" customHeight="false" outlineLevel="0" collapsed="false">
      <c r="A92" s="16" t="s">
        <v>1528</v>
      </c>
      <c r="B92" s="33" t="n">
        <v>254</v>
      </c>
      <c r="C92" s="16" t="s">
        <v>148</v>
      </c>
      <c r="D92" s="4" t="s">
        <v>1522</v>
      </c>
      <c r="E92" s="4" t="s">
        <v>1529</v>
      </c>
      <c r="F92" s="16" t="s">
        <v>1524</v>
      </c>
      <c r="G92" s="16" t="s">
        <v>146</v>
      </c>
      <c r="H92" s="11" t="s">
        <v>20</v>
      </c>
      <c r="I92" s="20" t="s">
        <v>90</v>
      </c>
    </row>
    <row r="93" customFormat="false" ht="15" hidden="false" customHeight="false" outlineLevel="0" collapsed="false">
      <c r="A93" s="16" t="s">
        <v>1530</v>
      </c>
      <c r="B93" s="33" t="n">
        <v>254</v>
      </c>
      <c r="C93" s="16" t="s">
        <v>148</v>
      </c>
      <c r="D93" s="4" t="s">
        <v>1522</v>
      </c>
      <c r="E93" s="4" t="s">
        <v>1531</v>
      </c>
      <c r="F93" s="16" t="s">
        <v>1524</v>
      </c>
      <c r="G93" s="16" t="s">
        <v>146</v>
      </c>
      <c r="H93" s="11" t="s">
        <v>20</v>
      </c>
      <c r="I93" s="20" t="s">
        <v>90</v>
      </c>
    </row>
    <row r="94" customFormat="false" ht="15" hidden="false" customHeight="false" outlineLevel="0" collapsed="false">
      <c r="A94" s="16" t="s">
        <v>1532</v>
      </c>
      <c r="B94" s="33" t="n">
        <v>254</v>
      </c>
      <c r="C94" s="16" t="s">
        <v>148</v>
      </c>
      <c r="D94" s="4" t="s">
        <v>1533</v>
      </c>
      <c r="E94" s="4" t="s">
        <v>1534</v>
      </c>
      <c r="F94" s="16" t="s">
        <v>1527</v>
      </c>
      <c r="G94" s="16" t="s">
        <v>146</v>
      </c>
      <c r="H94" s="11" t="s">
        <v>20</v>
      </c>
      <c r="I94" s="20" t="s">
        <v>90</v>
      </c>
    </row>
    <row r="95" customFormat="false" ht="15" hidden="false" customHeight="false" outlineLevel="0" collapsed="false">
      <c r="A95" s="16" t="s">
        <v>1535</v>
      </c>
      <c r="B95" s="33" t="n">
        <v>253.2</v>
      </c>
      <c r="C95" s="16" t="s">
        <v>649</v>
      </c>
      <c r="D95" s="4" t="s">
        <v>1536</v>
      </c>
      <c r="E95" s="4" t="s">
        <v>1537</v>
      </c>
      <c r="F95" s="16" t="s">
        <v>1538</v>
      </c>
      <c r="G95" s="16" t="s">
        <v>646</v>
      </c>
      <c r="H95" s="12" t="s">
        <v>22</v>
      </c>
      <c r="I95" s="20" t="s">
        <v>90</v>
      </c>
    </row>
    <row r="96" customFormat="false" ht="15" hidden="false" customHeight="false" outlineLevel="0" collapsed="false">
      <c r="A96" s="16" t="s">
        <v>1539</v>
      </c>
      <c r="B96" s="33" t="n">
        <v>285</v>
      </c>
      <c r="C96" s="16" t="s">
        <v>111</v>
      </c>
      <c r="D96" s="4" t="s">
        <v>1522</v>
      </c>
      <c r="E96" s="4" t="s">
        <v>1523</v>
      </c>
      <c r="F96" s="16" t="s">
        <v>1540</v>
      </c>
      <c r="G96" s="16" t="s">
        <v>108</v>
      </c>
      <c r="H96" s="11" t="s">
        <v>20</v>
      </c>
      <c r="I96" s="20" t="s">
        <v>90</v>
      </c>
    </row>
    <row r="97" customFormat="false" ht="15" hidden="false" customHeight="false" outlineLevel="0" collapsed="false">
      <c r="A97" s="16" t="s">
        <v>1541</v>
      </c>
      <c r="B97" s="33" t="n">
        <v>285</v>
      </c>
      <c r="C97" s="16" t="s">
        <v>111</v>
      </c>
      <c r="D97" s="4" t="s">
        <v>1533</v>
      </c>
      <c r="E97" s="4" t="s">
        <v>1534</v>
      </c>
      <c r="F97" s="16" t="s">
        <v>1542</v>
      </c>
      <c r="G97" s="16" t="s">
        <v>108</v>
      </c>
      <c r="H97" s="11" t="s">
        <v>20</v>
      </c>
      <c r="I97" s="20" t="s">
        <v>90</v>
      </c>
    </row>
    <row r="98" customFormat="false" ht="26.85" hidden="false" customHeight="false" outlineLevel="0" collapsed="false">
      <c r="A98" s="16" t="s">
        <v>1543</v>
      </c>
      <c r="B98" s="33" t="n">
        <v>257</v>
      </c>
      <c r="C98" s="16" t="s">
        <v>1544</v>
      </c>
      <c r="D98" s="4" t="s">
        <v>1545</v>
      </c>
      <c r="E98" s="4" t="s">
        <v>1347</v>
      </c>
      <c r="F98" s="16" t="s">
        <v>1546</v>
      </c>
      <c r="G98" s="4" t="s">
        <v>1547</v>
      </c>
      <c r="H98" s="12" t="s">
        <v>22</v>
      </c>
      <c r="I98" s="20" t="s">
        <v>90</v>
      </c>
    </row>
    <row r="99" customFormat="false" ht="15" hidden="false" customHeight="false" outlineLevel="0" collapsed="false">
      <c r="A99" s="16" t="s">
        <v>1548</v>
      </c>
      <c r="B99" s="33" t="n">
        <v>261</v>
      </c>
      <c r="C99" s="16" t="s">
        <v>1549</v>
      </c>
      <c r="D99" s="4" t="s">
        <v>1550</v>
      </c>
      <c r="E99" s="4" t="s">
        <v>1551</v>
      </c>
      <c r="F99" s="16" t="s">
        <v>1552</v>
      </c>
      <c r="G99" s="4" t="s">
        <v>1553</v>
      </c>
      <c r="H99" s="12" t="s">
        <v>22</v>
      </c>
      <c r="I99" s="20" t="s">
        <v>90</v>
      </c>
    </row>
    <row r="100" customFormat="false" ht="15" hidden="false" customHeight="false" outlineLevel="0" collapsed="false">
      <c r="A100" s="16" t="s">
        <v>1554</v>
      </c>
      <c r="B100" s="33" t="n">
        <v>333</v>
      </c>
      <c r="C100" s="16" t="s">
        <v>1555</v>
      </c>
      <c r="D100" s="4" t="s">
        <v>1556</v>
      </c>
      <c r="E100" s="4" t="s">
        <v>1557</v>
      </c>
      <c r="F100" s="16" t="s">
        <v>1558</v>
      </c>
      <c r="G100" s="4" t="s">
        <v>1553</v>
      </c>
      <c r="H100" s="12" t="s">
        <v>22</v>
      </c>
      <c r="I100" s="20" t="s">
        <v>90</v>
      </c>
    </row>
    <row r="101" customFormat="false" ht="15" hidden="false" customHeight="false" outlineLevel="0" collapsed="false">
      <c r="A101" s="16" t="s">
        <v>1559</v>
      </c>
      <c r="B101" s="33" t="n">
        <v>260</v>
      </c>
      <c r="C101" s="16" t="s">
        <v>1549</v>
      </c>
      <c r="D101" s="4" t="s">
        <v>1560</v>
      </c>
      <c r="E101" s="4" t="s">
        <v>1561</v>
      </c>
      <c r="F101" s="16" t="s">
        <v>1562</v>
      </c>
      <c r="G101" s="4" t="s">
        <v>1553</v>
      </c>
      <c r="H101" s="12" t="s">
        <v>22</v>
      </c>
      <c r="I101" s="20" t="s">
        <v>90</v>
      </c>
    </row>
    <row r="102" customFormat="false" ht="15" hidden="false" customHeight="false" outlineLevel="0" collapsed="false">
      <c r="A102" s="16" t="s">
        <v>1563</v>
      </c>
      <c r="B102" s="33" t="n">
        <v>460.5</v>
      </c>
      <c r="C102" s="16" t="s">
        <v>1549</v>
      </c>
      <c r="D102" s="4" t="s">
        <v>1560</v>
      </c>
      <c r="E102" s="4" t="s">
        <v>1564</v>
      </c>
      <c r="F102" s="16" t="s">
        <v>1565</v>
      </c>
      <c r="G102" s="4" t="s">
        <v>1553</v>
      </c>
      <c r="H102" s="12" t="s">
        <v>22</v>
      </c>
      <c r="I102" s="20" t="s">
        <v>90</v>
      </c>
    </row>
    <row r="103" customFormat="false" ht="15" hidden="false" customHeight="false" outlineLevel="0" collapsed="false">
      <c r="A103" s="16" t="s">
        <v>1566</v>
      </c>
      <c r="B103" s="33" t="n">
        <v>356.45</v>
      </c>
      <c r="C103" s="16" t="s">
        <v>1567</v>
      </c>
      <c r="D103" s="4" t="s">
        <v>1568</v>
      </c>
      <c r="E103" s="4" t="s">
        <v>1569</v>
      </c>
      <c r="F103" s="16" t="s">
        <v>1570</v>
      </c>
      <c r="G103" s="4" t="s">
        <v>1553</v>
      </c>
      <c r="H103" s="12" t="s">
        <v>22</v>
      </c>
      <c r="I103" s="20" t="s">
        <v>90</v>
      </c>
    </row>
    <row r="104" customFormat="false" ht="15" hidden="false" customHeight="false" outlineLevel="0" collapsed="false">
      <c r="A104" s="16" t="s">
        <v>1571</v>
      </c>
      <c r="B104" s="33" t="n">
        <v>333</v>
      </c>
      <c r="C104" s="16" t="s">
        <v>1555</v>
      </c>
      <c r="D104" s="4" t="s">
        <v>1556</v>
      </c>
      <c r="E104" s="4" t="s">
        <v>1572</v>
      </c>
      <c r="F104" s="16" t="s">
        <v>1322</v>
      </c>
      <c r="G104" s="4" t="s">
        <v>1553</v>
      </c>
      <c r="H104" s="12" t="s">
        <v>22</v>
      </c>
      <c r="I104" s="20" t="s">
        <v>90</v>
      </c>
    </row>
    <row r="105" customFormat="false" ht="15" hidden="false" customHeight="false" outlineLevel="0" collapsed="false">
      <c r="A105" s="16" t="s">
        <v>1573</v>
      </c>
      <c r="B105" s="33" t="n">
        <v>356.5</v>
      </c>
      <c r="C105" s="16" t="s">
        <v>1574</v>
      </c>
      <c r="D105" s="4" t="s">
        <v>1568</v>
      </c>
      <c r="E105" s="4" t="s">
        <v>1569</v>
      </c>
      <c r="F105" s="16" t="s">
        <v>1575</v>
      </c>
      <c r="G105" s="4" t="s">
        <v>1553</v>
      </c>
      <c r="H105" s="12" t="s">
        <v>22</v>
      </c>
      <c r="I105" s="20" t="s">
        <v>90</v>
      </c>
    </row>
    <row r="106" customFormat="false" ht="15" hidden="false" customHeight="false" outlineLevel="0" collapsed="false">
      <c r="A106" s="16" t="s">
        <v>1576</v>
      </c>
      <c r="B106" s="33" t="n">
        <v>261</v>
      </c>
      <c r="C106" s="16" t="s">
        <v>1549</v>
      </c>
      <c r="D106" s="4" t="s">
        <v>1550</v>
      </c>
      <c r="E106" s="4" t="s">
        <v>1551</v>
      </c>
      <c r="F106" s="16" t="s">
        <v>1552</v>
      </c>
      <c r="G106" s="4" t="s">
        <v>1553</v>
      </c>
      <c r="H106" s="12" t="s">
        <v>22</v>
      </c>
      <c r="I106" s="20" t="s">
        <v>90</v>
      </c>
    </row>
    <row r="107" customFormat="false" ht="15" hidden="false" customHeight="false" outlineLevel="0" collapsed="false">
      <c r="A107" s="16" t="s">
        <v>1577</v>
      </c>
      <c r="B107" s="33" t="n">
        <v>460</v>
      </c>
      <c r="C107" s="16" t="s">
        <v>1549</v>
      </c>
      <c r="D107" s="4" t="s">
        <v>1560</v>
      </c>
      <c r="E107" s="4" t="s">
        <v>1578</v>
      </c>
      <c r="F107" s="16" t="s">
        <v>1579</v>
      </c>
      <c r="G107" s="4" t="s">
        <v>1553</v>
      </c>
      <c r="H107" s="12" t="s">
        <v>22</v>
      </c>
      <c r="I107" s="20" t="s">
        <v>90</v>
      </c>
    </row>
    <row r="108" customFormat="false" ht="15" hidden="false" customHeight="false" outlineLevel="0" collapsed="false">
      <c r="A108" s="16" t="s">
        <v>1580</v>
      </c>
      <c r="B108" s="33" t="n">
        <v>265</v>
      </c>
      <c r="C108" s="16" t="s">
        <v>1581</v>
      </c>
      <c r="D108" s="4" t="s">
        <v>1582</v>
      </c>
      <c r="E108" s="4" t="s">
        <v>1583</v>
      </c>
      <c r="F108" s="16" t="s">
        <v>1584</v>
      </c>
      <c r="G108" s="4" t="s">
        <v>1585</v>
      </c>
      <c r="H108" s="12" t="s">
        <v>22</v>
      </c>
      <c r="I108" s="20" t="s">
        <v>90</v>
      </c>
    </row>
    <row r="109" customFormat="false" ht="15" hidden="false" customHeight="false" outlineLevel="0" collapsed="false">
      <c r="A109" s="16" t="s">
        <v>1586</v>
      </c>
      <c r="B109" s="33" t="n">
        <v>221</v>
      </c>
      <c r="C109" s="16" t="s">
        <v>97</v>
      </c>
      <c r="D109" s="4" t="s">
        <v>1496</v>
      </c>
      <c r="E109" s="4" t="s">
        <v>1587</v>
      </c>
      <c r="F109" s="16" t="s">
        <v>1588</v>
      </c>
      <c r="G109" s="4" t="s">
        <v>1589</v>
      </c>
      <c r="H109" s="12" t="s">
        <v>22</v>
      </c>
      <c r="I109" s="20" t="s">
        <v>90</v>
      </c>
    </row>
    <row r="110" customFormat="false" ht="15" hidden="false" customHeight="false" outlineLevel="0" collapsed="false">
      <c r="A110" s="16" t="s">
        <v>1590</v>
      </c>
      <c r="B110" s="33" t="n">
        <v>221</v>
      </c>
      <c r="C110" s="16" t="s">
        <v>1591</v>
      </c>
      <c r="D110" s="4" t="s">
        <v>1592</v>
      </c>
      <c r="E110" s="4" t="s">
        <v>1593</v>
      </c>
      <c r="F110" s="16" t="s">
        <v>1594</v>
      </c>
      <c r="G110" s="4" t="s">
        <v>1589</v>
      </c>
      <c r="H110" s="12" t="s">
        <v>22</v>
      </c>
      <c r="I110" s="20" t="s">
        <v>90</v>
      </c>
    </row>
    <row r="111" customFormat="false" ht="15" hidden="false" customHeight="false" outlineLevel="0" collapsed="false">
      <c r="A111" s="16" t="s">
        <v>1595</v>
      </c>
      <c r="B111" s="33" t="n">
        <v>228</v>
      </c>
      <c r="C111" s="16" t="s">
        <v>435</v>
      </c>
      <c r="D111" s="4" t="s">
        <v>1596</v>
      </c>
      <c r="E111" s="4" t="s">
        <v>1597</v>
      </c>
      <c r="F111" s="16" t="s">
        <v>1598</v>
      </c>
      <c r="G111" s="4" t="s">
        <v>1599</v>
      </c>
      <c r="H111" s="12" t="s">
        <v>22</v>
      </c>
      <c r="I111" s="20" t="s">
        <v>90</v>
      </c>
    </row>
    <row r="112" customFormat="false" ht="15" hidden="false" customHeight="false" outlineLevel="0" collapsed="false">
      <c r="A112" s="16" t="s">
        <v>1600</v>
      </c>
      <c r="B112" s="33" t="n">
        <v>228</v>
      </c>
      <c r="C112" s="16" t="s">
        <v>435</v>
      </c>
      <c r="D112" s="4" t="s">
        <v>1596</v>
      </c>
      <c r="E112" s="4" t="s">
        <v>1597</v>
      </c>
      <c r="F112" s="16" t="s">
        <v>1598</v>
      </c>
      <c r="G112" s="4" t="s">
        <v>1599</v>
      </c>
      <c r="H112" s="12" t="s">
        <v>22</v>
      </c>
      <c r="I112" s="20" t="s">
        <v>90</v>
      </c>
    </row>
    <row r="113" customFormat="false" ht="15" hidden="false" customHeight="false" outlineLevel="0" collapsed="false">
      <c r="A113" s="16" t="s">
        <v>1601</v>
      </c>
      <c r="B113" s="33" t="n">
        <v>228</v>
      </c>
      <c r="C113" s="16" t="s">
        <v>249</v>
      </c>
      <c r="D113" s="4" t="s">
        <v>1596</v>
      </c>
      <c r="E113" s="4" t="s">
        <v>1602</v>
      </c>
      <c r="F113" s="16" t="s">
        <v>1603</v>
      </c>
      <c r="G113" s="4" t="s">
        <v>1599</v>
      </c>
      <c r="H113" s="12" t="s">
        <v>22</v>
      </c>
      <c r="I113" s="20" t="s">
        <v>90</v>
      </c>
    </row>
    <row r="114" customFormat="false" ht="15" hidden="false" customHeight="false" outlineLevel="0" collapsed="false">
      <c r="A114" s="16" t="s">
        <v>1604</v>
      </c>
      <c r="B114" s="33" t="n">
        <v>233.6</v>
      </c>
      <c r="C114" s="16" t="s">
        <v>270</v>
      </c>
      <c r="D114" s="4" t="s">
        <v>1320</v>
      </c>
      <c r="E114" s="4" t="s">
        <v>1605</v>
      </c>
      <c r="F114" s="16" t="s">
        <v>1606</v>
      </c>
      <c r="G114" s="4" t="s">
        <v>1607</v>
      </c>
      <c r="H114" s="12" t="s">
        <v>22</v>
      </c>
      <c r="I114" s="20" t="s">
        <v>90</v>
      </c>
    </row>
    <row r="115" customFormat="false" ht="15" hidden="false" customHeight="false" outlineLevel="0" collapsed="false">
      <c r="A115" s="16" t="s">
        <v>1608</v>
      </c>
      <c r="B115" s="33" t="n">
        <v>234</v>
      </c>
      <c r="C115" s="16" t="s">
        <v>270</v>
      </c>
      <c r="D115" s="4" t="s">
        <v>1320</v>
      </c>
      <c r="E115" s="4" t="s">
        <v>1609</v>
      </c>
      <c r="F115" s="16" t="s">
        <v>1606</v>
      </c>
      <c r="G115" s="4" t="s">
        <v>1607</v>
      </c>
      <c r="H115" s="12" t="s">
        <v>22</v>
      </c>
      <c r="I115" s="20" t="s">
        <v>90</v>
      </c>
    </row>
    <row r="116" customFormat="false" ht="15" hidden="false" customHeight="false" outlineLevel="0" collapsed="false">
      <c r="A116" s="16" t="s">
        <v>1610</v>
      </c>
      <c r="B116" s="33" t="n">
        <v>224.2</v>
      </c>
      <c r="C116" s="16" t="s">
        <v>848</v>
      </c>
      <c r="D116" s="4" t="s">
        <v>1268</v>
      </c>
      <c r="E116" s="4" t="s">
        <v>1611</v>
      </c>
      <c r="F116" s="16" t="s">
        <v>1584</v>
      </c>
      <c r="G116" s="16" t="s">
        <v>845</v>
      </c>
      <c r="H116" s="12" t="s">
        <v>22</v>
      </c>
      <c r="I116" s="20" t="s">
        <v>90</v>
      </c>
    </row>
    <row r="117" customFormat="false" ht="15" hidden="false" customHeight="false" outlineLevel="0" collapsed="false">
      <c r="A117" s="16" t="s">
        <v>1612</v>
      </c>
      <c r="B117" s="33" t="n">
        <v>224</v>
      </c>
      <c r="C117" s="16" t="s">
        <v>848</v>
      </c>
      <c r="D117" s="4" t="s">
        <v>1268</v>
      </c>
      <c r="E117" s="4" t="s">
        <v>1613</v>
      </c>
      <c r="F117" s="16" t="s">
        <v>1584</v>
      </c>
      <c r="G117" s="16" t="s">
        <v>845</v>
      </c>
      <c r="H117" s="12" t="s">
        <v>22</v>
      </c>
      <c r="I117" s="20" t="s">
        <v>90</v>
      </c>
    </row>
    <row r="118" customFormat="false" ht="15" hidden="false" customHeight="false" outlineLevel="0" collapsed="false">
      <c r="A118" s="16" t="s">
        <v>1614</v>
      </c>
      <c r="B118" s="33" t="n">
        <v>224.2</v>
      </c>
      <c r="C118" s="16" t="s">
        <v>848</v>
      </c>
      <c r="D118" s="4" t="s">
        <v>1268</v>
      </c>
      <c r="E118" s="4" t="s">
        <v>1613</v>
      </c>
      <c r="F118" s="16" t="s">
        <v>1584</v>
      </c>
      <c r="G118" s="16" t="s">
        <v>845</v>
      </c>
      <c r="H118" s="12" t="s">
        <v>22</v>
      </c>
      <c r="I118" s="20" t="s">
        <v>90</v>
      </c>
    </row>
    <row r="119" customFormat="false" ht="15" hidden="false" customHeight="false" outlineLevel="0" collapsed="false">
      <c r="A119" s="14" t="s">
        <v>25</v>
      </c>
      <c r="B119" s="15" t="n">
        <f aca="false">COUNTA(A3:A118)</f>
        <v>116</v>
      </c>
    </row>
  </sheetData>
  <hyperlinks>
    <hyperlink ref="I3" r:id="rId1" display="開啟"/>
    <hyperlink ref="I4" r:id="rId2" display="開啟"/>
    <hyperlink ref="I5" r:id="rId3" display="開啟"/>
    <hyperlink ref="I6" r:id="rId4" display="開啟"/>
    <hyperlink ref="I7" r:id="rId5" display="開啟"/>
    <hyperlink ref="I8" r:id="rId6" display="開啟"/>
    <hyperlink ref="I9" r:id="rId7" display="開啟"/>
    <hyperlink ref="I10" r:id="rId8" display="開啟"/>
    <hyperlink ref="I11" r:id="rId9" display="開啟"/>
    <hyperlink ref="I12" r:id="rId10" display="開啟"/>
    <hyperlink ref="I13" r:id="rId11" display="開啟"/>
    <hyperlink ref="I14" r:id="rId12" display="開啟"/>
    <hyperlink ref="I15" r:id="rId13" display="開啟"/>
    <hyperlink ref="I16" r:id="rId14" display="開啟"/>
    <hyperlink ref="I17" r:id="rId15" display="開啟"/>
    <hyperlink ref="I18" r:id="rId16" display="開啟"/>
    <hyperlink ref="I19" r:id="rId17" display="開啟"/>
    <hyperlink ref="I20" r:id="rId18" display="開啟"/>
    <hyperlink ref="I21" r:id="rId19" display="開啟"/>
    <hyperlink ref="I22" r:id="rId20" display="開啟"/>
    <hyperlink ref="I23" r:id="rId21" display="開啟"/>
    <hyperlink ref="I24" r:id="rId22" display="開啟"/>
    <hyperlink ref="I25" r:id="rId23" display="開啟"/>
    <hyperlink ref="I26" r:id="rId24" display="開啟"/>
    <hyperlink ref="I27" r:id="rId25" display="開啟"/>
    <hyperlink ref="I28" r:id="rId26" display="開啟"/>
    <hyperlink ref="I29" r:id="rId27" display="開啟"/>
    <hyperlink ref="I30" r:id="rId28" display="開啟"/>
    <hyperlink ref="I31" r:id="rId29" display="開啟"/>
    <hyperlink ref="I32" r:id="rId30" display="開啟"/>
    <hyperlink ref="I33" r:id="rId31" display="開啟"/>
    <hyperlink ref="I34" r:id="rId32" display="開啟"/>
    <hyperlink ref="I35" r:id="rId33" display="開啟"/>
    <hyperlink ref="I36" r:id="rId34" display="開啟"/>
    <hyperlink ref="I37" r:id="rId35" display="開啟"/>
    <hyperlink ref="I38" r:id="rId36" display="開啟"/>
    <hyperlink ref="I39" r:id="rId37" display="開啟"/>
    <hyperlink ref="I40" r:id="rId38" display="開啟"/>
    <hyperlink ref="I41" r:id="rId39" display="開啟"/>
    <hyperlink ref="I42" r:id="rId40" display="開啟"/>
    <hyperlink ref="I43" r:id="rId41" display="開啟"/>
    <hyperlink ref="I44" r:id="rId42" display="開啟"/>
    <hyperlink ref="I45" r:id="rId43" display="開啟"/>
    <hyperlink ref="I46" r:id="rId44" display="開啟"/>
    <hyperlink ref="I47" r:id="rId45" display="開啟"/>
    <hyperlink ref="I48" r:id="rId46" display="開啟"/>
    <hyperlink ref="I49" r:id="rId47" display="開啟"/>
    <hyperlink ref="I50" r:id="rId48" display="開啟"/>
    <hyperlink ref="I51" r:id="rId49" display="開啟"/>
    <hyperlink ref="I52" r:id="rId50" display="開啟"/>
    <hyperlink ref="I53" r:id="rId51" display="開啟"/>
    <hyperlink ref="I54" r:id="rId52" display="開啟"/>
    <hyperlink ref="I55" r:id="rId53" display="開啟"/>
    <hyperlink ref="I56" r:id="rId54" display="開啟"/>
    <hyperlink ref="I57" r:id="rId55" display="開啟"/>
    <hyperlink ref="I58" r:id="rId56" display="開啟"/>
    <hyperlink ref="I59" r:id="rId57" display="開啟"/>
    <hyperlink ref="I60" r:id="rId58" display="開啟"/>
    <hyperlink ref="I61" r:id="rId59" display="開啟"/>
    <hyperlink ref="I62" r:id="rId60" display="開啟"/>
    <hyperlink ref="I63" r:id="rId61" display="開啟"/>
    <hyperlink ref="I64" r:id="rId62" display="開啟"/>
    <hyperlink ref="I65" r:id="rId63" display="開啟"/>
    <hyperlink ref="I66" r:id="rId64" display="開啟"/>
    <hyperlink ref="I67" r:id="rId65" display="開啟"/>
    <hyperlink ref="I68" r:id="rId66" display="開啟"/>
    <hyperlink ref="I69" r:id="rId67" display="開啟"/>
    <hyperlink ref="I70" r:id="rId68" display="開啟"/>
    <hyperlink ref="I71" r:id="rId69" display="開啟"/>
    <hyperlink ref="I72" r:id="rId70" display="開啟"/>
    <hyperlink ref="I73" r:id="rId71" display="開啟"/>
    <hyperlink ref="I74" r:id="rId72" display="開啟"/>
    <hyperlink ref="I75" r:id="rId73" display="開啟"/>
    <hyperlink ref="I76" r:id="rId74" display="開啟"/>
    <hyperlink ref="I77" r:id="rId75" display="開啟"/>
    <hyperlink ref="I78" r:id="rId76" display="開啟"/>
    <hyperlink ref="I79" r:id="rId77" display="開啟"/>
    <hyperlink ref="I80" r:id="rId78" display="開啟"/>
    <hyperlink ref="I81" r:id="rId79" display="開啟"/>
    <hyperlink ref="I82" r:id="rId80" display="開啟"/>
    <hyperlink ref="I83" r:id="rId81" display="開啟"/>
    <hyperlink ref="I84" r:id="rId82" display="開啟"/>
    <hyperlink ref="I85" r:id="rId83" display="開啟"/>
    <hyperlink ref="I86" r:id="rId84" display="開啟"/>
    <hyperlink ref="I87" r:id="rId85" display="開啟"/>
    <hyperlink ref="I88" r:id="rId86" display="開啟"/>
    <hyperlink ref="I89" r:id="rId87" display="開啟"/>
    <hyperlink ref="I90" r:id="rId88" display="開啟"/>
    <hyperlink ref="I91" r:id="rId89" display="開啟"/>
    <hyperlink ref="I92" r:id="rId90" display="開啟"/>
    <hyperlink ref="I93" r:id="rId91" display="開啟"/>
    <hyperlink ref="I94" r:id="rId92" display="開啟"/>
    <hyperlink ref="I95" r:id="rId93" display="開啟"/>
    <hyperlink ref="I96" r:id="rId94" display="開啟"/>
    <hyperlink ref="I97" r:id="rId95" display="開啟"/>
    <hyperlink ref="I98" r:id="rId96" display="開啟"/>
    <hyperlink ref="I99" r:id="rId97" display="開啟"/>
    <hyperlink ref="I100" r:id="rId98" display="開啟"/>
    <hyperlink ref="I101" r:id="rId99" display="開啟"/>
    <hyperlink ref="I102" r:id="rId100" display="開啟"/>
    <hyperlink ref="I103" r:id="rId101" display="開啟"/>
    <hyperlink ref="I104" r:id="rId102" display="開啟"/>
    <hyperlink ref="I105" r:id="rId103" display="開啟"/>
    <hyperlink ref="I106" r:id="rId104" display="開啟"/>
    <hyperlink ref="I107" r:id="rId105" display="開啟"/>
    <hyperlink ref="I108" r:id="rId106" display="開啟"/>
    <hyperlink ref="I109" r:id="rId107" display="開啟"/>
    <hyperlink ref="I110" r:id="rId108" display="開啟"/>
    <hyperlink ref="I111" r:id="rId109" display="開啟"/>
    <hyperlink ref="I112" r:id="rId110" display="開啟"/>
    <hyperlink ref="I113" r:id="rId111" display="開啟"/>
    <hyperlink ref="I114" r:id="rId112" display="開啟"/>
    <hyperlink ref="I115" r:id="rId113" display="開啟"/>
    <hyperlink ref="I116" r:id="rId114" display="開啟"/>
    <hyperlink ref="I117" r:id="rId115" display="開啟"/>
    <hyperlink ref="I118" r:id="rId116" display="開啟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22"/>
    <col collapsed="false" customWidth="true" hidden="false" outlineLevel="0" max="14" min="14" style="0" width="40"/>
    <col collapsed="false" customWidth="true" hidden="false" outlineLevel="0" max="16" min="15" style="0" width="22"/>
  </cols>
  <sheetData>
    <row r="1" customFormat="false" ht="15" hidden="false" customHeight="false" outlineLevel="0" collapsed="false">
      <c r="A1" s="2" t="s">
        <v>1615</v>
      </c>
    </row>
    <row r="2" customFormat="false" ht="33.75" hidden="false" customHeight="true" outlineLevel="0" collapsed="false">
      <c r="A2" s="3" t="s">
        <v>47</v>
      </c>
      <c r="B2" s="3" t="s">
        <v>987</v>
      </c>
      <c r="C2" s="3" t="s">
        <v>51</v>
      </c>
      <c r="D2" s="3" t="s">
        <v>52</v>
      </c>
      <c r="E2" s="3" t="s">
        <v>1616</v>
      </c>
      <c r="F2" s="3" t="s">
        <v>1617</v>
      </c>
      <c r="G2" s="3" t="s">
        <v>1000</v>
      </c>
      <c r="H2" s="3" t="s">
        <v>55</v>
      </c>
      <c r="I2" s="3" t="s">
        <v>1019</v>
      </c>
      <c r="J2" s="3" t="s">
        <v>1618</v>
      </c>
      <c r="K2" s="3" t="s">
        <v>1619</v>
      </c>
      <c r="L2" s="3" t="s">
        <v>1620</v>
      </c>
      <c r="M2" s="3" t="s">
        <v>1621</v>
      </c>
      <c r="N2" s="3" t="s">
        <v>1622</v>
      </c>
      <c r="O2" s="3" t="s">
        <v>1623</v>
      </c>
      <c r="P2" s="3" t="s">
        <v>1624</v>
      </c>
    </row>
    <row r="3" customFormat="false" ht="29.85" hidden="false" customHeight="false" outlineLevel="0" collapsed="false">
      <c r="A3" s="16" t="s">
        <v>357</v>
      </c>
      <c r="B3" s="4" t="s">
        <v>992</v>
      </c>
      <c r="C3" s="4" t="s">
        <v>1625</v>
      </c>
      <c r="D3" s="16" t="s">
        <v>360</v>
      </c>
      <c r="E3" s="21" t="n">
        <v>260.98</v>
      </c>
      <c r="F3" s="21" t="n">
        <v>228.34</v>
      </c>
      <c r="G3" s="16" t="s">
        <v>1006</v>
      </c>
      <c r="H3" s="23" t="n">
        <v>465849</v>
      </c>
      <c r="I3" s="4" t="s">
        <v>1626</v>
      </c>
      <c r="J3" s="16" t="s">
        <v>1627</v>
      </c>
      <c r="K3" s="16" t="s">
        <v>1628</v>
      </c>
      <c r="L3" s="4" t="s">
        <v>1629</v>
      </c>
      <c r="M3" s="4" t="s">
        <v>1630</v>
      </c>
      <c r="N3" s="4" t="s">
        <v>1631</v>
      </c>
      <c r="O3" s="4" t="s">
        <v>1632</v>
      </c>
      <c r="P3" s="4" t="s">
        <v>1633</v>
      </c>
    </row>
    <row r="4" customFormat="false" ht="29.85" hidden="false" customHeight="false" outlineLevel="0" collapsed="false">
      <c r="A4" s="16" t="s">
        <v>326</v>
      </c>
      <c r="B4" s="4" t="s">
        <v>991</v>
      </c>
      <c r="C4" s="4" t="s">
        <v>1634</v>
      </c>
      <c r="D4" s="16" t="s">
        <v>330</v>
      </c>
      <c r="E4" s="21" t="n">
        <v>326.85</v>
      </c>
      <c r="F4" s="21" t="n">
        <v>253.54</v>
      </c>
      <c r="G4" s="16" t="s">
        <v>1004</v>
      </c>
      <c r="H4" s="23" t="n">
        <v>491000</v>
      </c>
      <c r="I4" s="16" t="s">
        <v>1023</v>
      </c>
      <c r="J4" s="16" t="s">
        <v>1635</v>
      </c>
      <c r="K4" s="16" t="s">
        <v>1636</v>
      </c>
      <c r="L4" s="4" t="s">
        <v>1637</v>
      </c>
      <c r="M4" s="4" t="s">
        <v>1638</v>
      </c>
      <c r="N4" s="4" t="s">
        <v>1639</v>
      </c>
      <c r="O4" s="4" t="s">
        <v>1640</v>
      </c>
      <c r="P4" s="4"/>
    </row>
    <row r="5" customFormat="false" ht="29.85" hidden="false" customHeight="false" outlineLevel="0" collapsed="false">
      <c r="A5" s="16" t="s">
        <v>343</v>
      </c>
      <c r="B5" s="4" t="s">
        <v>1641</v>
      </c>
      <c r="C5" s="4" t="s">
        <v>345</v>
      </c>
      <c r="D5" s="16" t="s">
        <v>346</v>
      </c>
      <c r="E5" s="21" t="n">
        <v>265.82</v>
      </c>
      <c r="F5" s="21" t="n">
        <v>241.8</v>
      </c>
      <c r="G5" s="16" t="s">
        <v>1642</v>
      </c>
      <c r="H5" s="23" t="n">
        <v>502400</v>
      </c>
      <c r="I5" s="16" t="s">
        <v>1643</v>
      </c>
      <c r="J5" s="16" t="s">
        <v>1635</v>
      </c>
      <c r="K5" s="16" t="s">
        <v>1644</v>
      </c>
      <c r="L5" s="4" t="s">
        <v>1645</v>
      </c>
      <c r="M5" s="4" t="s">
        <v>1646</v>
      </c>
      <c r="N5" s="4" t="s">
        <v>1647</v>
      </c>
      <c r="O5" s="4" t="s">
        <v>1648</v>
      </c>
      <c r="P5" s="4"/>
    </row>
    <row r="6" customFormat="false" ht="29.85" hidden="false" customHeight="false" outlineLevel="0" collapsed="false">
      <c r="A6" s="16" t="s">
        <v>173</v>
      </c>
      <c r="B6" s="4" t="s">
        <v>1649</v>
      </c>
      <c r="C6" s="4" t="s">
        <v>1650</v>
      </c>
      <c r="D6" s="16" t="s">
        <v>176</v>
      </c>
      <c r="E6" s="21" t="n">
        <v>220.07</v>
      </c>
      <c r="F6" s="21" t="n">
        <v>207.21</v>
      </c>
      <c r="G6" s="16" t="s">
        <v>1651</v>
      </c>
      <c r="H6" s="23" t="n">
        <v>440140</v>
      </c>
      <c r="I6" s="16" t="s">
        <v>1652</v>
      </c>
      <c r="J6" s="16" t="s">
        <v>1635</v>
      </c>
      <c r="K6" s="16" t="s">
        <v>1653</v>
      </c>
      <c r="L6" s="4" t="s">
        <v>1654</v>
      </c>
      <c r="M6" s="4" t="s">
        <v>1655</v>
      </c>
      <c r="N6" s="4" t="s">
        <v>1656</v>
      </c>
      <c r="O6" s="4" t="s">
        <v>1657</v>
      </c>
      <c r="P6" s="4"/>
    </row>
    <row r="7" customFormat="false" ht="26.85" hidden="false" customHeight="false" outlineLevel="0" collapsed="false">
      <c r="A7" s="16" t="s">
        <v>565</v>
      </c>
      <c r="B7" s="4" t="s">
        <v>1658</v>
      </c>
      <c r="C7" s="4" t="s">
        <v>1659</v>
      </c>
      <c r="D7" s="16" t="s">
        <v>1660</v>
      </c>
      <c r="E7" s="21" t="n">
        <v>225.83</v>
      </c>
      <c r="F7" s="21" t="n">
        <v>201.29</v>
      </c>
      <c r="G7" s="16" t="s">
        <v>1661</v>
      </c>
      <c r="H7" s="23" t="n">
        <v>513892</v>
      </c>
      <c r="I7" s="16" t="s">
        <v>1662</v>
      </c>
      <c r="J7" s="16" t="s">
        <v>1627</v>
      </c>
      <c r="K7" s="4" t="s">
        <v>1663</v>
      </c>
      <c r="L7" s="4" t="s">
        <v>1629</v>
      </c>
      <c r="M7" s="4" t="s">
        <v>1664</v>
      </c>
      <c r="N7" s="4" t="s">
        <v>1665</v>
      </c>
      <c r="O7" s="4" t="s">
        <v>1666</v>
      </c>
      <c r="P7" s="4"/>
    </row>
    <row r="8" customFormat="false" ht="29.85" hidden="false" customHeight="false" outlineLevel="0" collapsed="false">
      <c r="A8" s="16" t="s">
        <v>185</v>
      </c>
      <c r="B8" s="4" t="s">
        <v>1667</v>
      </c>
      <c r="C8" s="4" t="s">
        <v>1668</v>
      </c>
      <c r="D8" s="16" t="s">
        <v>188</v>
      </c>
      <c r="E8" s="21" t="n">
        <v>227.15</v>
      </c>
      <c r="F8" s="21" t="n">
        <v>198.26</v>
      </c>
      <c r="G8" s="16" t="s">
        <v>1669</v>
      </c>
      <c r="H8" s="23" t="n">
        <v>500000</v>
      </c>
      <c r="I8" s="16" t="s">
        <v>1670</v>
      </c>
      <c r="J8" s="16" t="s">
        <v>1635</v>
      </c>
      <c r="K8" s="4" t="s">
        <v>1671</v>
      </c>
      <c r="L8" s="4" t="s">
        <v>1629</v>
      </c>
      <c r="M8" s="4" t="s">
        <v>1672</v>
      </c>
      <c r="N8" s="4" t="s">
        <v>1673</v>
      </c>
      <c r="O8" s="4" t="s">
        <v>1674</v>
      </c>
      <c r="P8" s="4"/>
    </row>
    <row r="9" customFormat="false" ht="29.85" hidden="false" customHeight="false" outlineLevel="0" collapsed="false">
      <c r="A9" s="16" t="s">
        <v>519</v>
      </c>
      <c r="B9" s="4" t="s">
        <v>1675</v>
      </c>
      <c r="C9" s="4" t="s">
        <v>1676</v>
      </c>
      <c r="D9" s="16" t="s">
        <v>1677</v>
      </c>
      <c r="E9" s="4" t="s">
        <v>1678</v>
      </c>
      <c r="F9" s="21" t="n">
        <v>211.38</v>
      </c>
      <c r="G9" s="16" t="s">
        <v>1679</v>
      </c>
      <c r="H9" s="23" t="n">
        <v>401622</v>
      </c>
      <c r="I9" s="16" t="s">
        <v>1680</v>
      </c>
      <c r="J9" s="4" t="s">
        <v>1681</v>
      </c>
      <c r="K9" s="16" t="s">
        <v>1682</v>
      </c>
      <c r="L9" s="4" t="s">
        <v>1683</v>
      </c>
      <c r="M9" s="4" t="s">
        <v>1630</v>
      </c>
      <c r="N9" s="4" t="s">
        <v>1684</v>
      </c>
      <c r="O9" s="4" t="s">
        <v>1666</v>
      </c>
      <c r="P9" s="4" t="s">
        <v>1685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0"/>
    <col collapsed="false" customWidth="true" hidden="false" outlineLevel="0" max="9" min="9" style="0" width="26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2" t="s">
        <v>1686</v>
      </c>
    </row>
    <row r="2" customFormat="false" ht="33.75" hidden="false" customHeight="true" outlineLevel="0" collapsed="false">
      <c r="A2" s="3" t="s">
        <v>1687</v>
      </c>
      <c r="B2" s="3" t="s">
        <v>1688</v>
      </c>
      <c r="C2" s="3" t="s">
        <v>52</v>
      </c>
      <c r="D2" s="3" t="s">
        <v>1689</v>
      </c>
      <c r="E2" s="3" t="s">
        <v>1690</v>
      </c>
      <c r="F2" s="3" t="s">
        <v>1691</v>
      </c>
      <c r="G2" s="3" t="s">
        <v>1692</v>
      </c>
      <c r="H2" s="3" t="s">
        <v>1693</v>
      </c>
      <c r="I2" s="3" t="s">
        <v>1694</v>
      </c>
      <c r="J2" s="3" t="s">
        <v>286</v>
      </c>
    </row>
    <row r="3" customFormat="false" ht="15" hidden="false" customHeight="false" outlineLevel="0" collapsed="false">
      <c r="A3" s="4" t="n">
        <v>1</v>
      </c>
      <c r="B3" s="4" t="s">
        <v>1695</v>
      </c>
      <c r="C3" s="4" t="n">
        <v>5</v>
      </c>
      <c r="D3" s="31" t="n">
        <v>261</v>
      </c>
      <c r="E3" s="23" t="n">
        <v>443000</v>
      </c>
      <c r="F3" s="23" t="n">
        <v>1700</v>
      </c>
      <c r="G3" s="24" t="n">
        <f aca="false">E3*(1+0_條件與假設!$B$9)</f>
        <v>465150</v>
      </c>
      <c r="H3" s="4" t="s">
        <v>1696</v>
      </c>
      <c r="I3" s="16" t="s">
        <v>357</v>
      </c>
      <c r="J3" s="20" t="s">
        <v>1697</v>
      </c>
    </row>
    <row r="4" customFormat="false" ht="15" hidden="false" customHeight="false" outlineLevel="0" collapsed="false">
      <c r="A4" s="4" t="n">
        <v>1</v>
      </c>
      <c r="B4" s="4" t="s">
        <v>1698</v>
      </c>
      <c r="C4" s="4" t="n">
        <v>11</v>
      </c>
      <c r="D4" s="31" t="n">
        <v>262</v>
      </c>
      <c r="E4" s="23" t="n">
        <v>524000</v>
      </c>
      <c r="F4" s="23" t="n">
        <v>2000</v>
      </c>
      <c r="G4" s="24" t="n">
        <f aca="false">E4*(1+0_條件與假設!$B$9)</f>
        <v>550200</v>
      </c>
      <c r="H4" s="16" t="s">
        <v>1699</v>
      </c>
      <c r="I4" s="16" t="s">
        <v>937</v>
      </c>
      <c r="J4" s="20" t="s">
        <v>1697</v>
      </c>
    </row>
    <row r="5" customFormat="false" ht="29.85" hidden="false" customHeight="false" outlineLevel="0" collapsed="false">
      <c r="A5" s="4" t="n">
        <v>1</v>
      </c>
      <c r="B5" s="4" t="s">
        <v>408</v>
      </c>
      <c r="C5" s="4" t="n">
        <v>4</v>
      </c>
      <c r="D5" s="31" t="n">
        <v>276</v>
      </c>
      <c r="E5" s="23" t="n">
        <v>480000</v>
      </c>
      <c r="F5" s="23" t="n">
        <v>1739</v>
      </c>
      <c r="G5" s="24" t="n">
        <f aca="false">E5*(1+0_條件與假設!$B$9)</f>
        <v>504000</v>
      </c>
      <c r="H5" s="4" t="s">
        <v>1700</v>
      </c>
      <c r="I5" s="16" t="s">
        <v>406</v>
      </c>
      <c r="J5" s="20" t="s">
        <v>1697</v>
      </c>
    </row>
    <row r="6" customFormat="false" ht="15" hidden="false" customHeight="false" outlineLevel="0" collapsed="false">
      <c r="A6" s="4" t="n">
        <v>2</v>
      </c>
      <c r="B6" s="4" t="s">
        <v>1701</v>
      </c>
      <c r="C6" s="4" t="n">
        <v>14</v>
      </c>
      <c r="D6" s="31" t="n">
        <v>280</v>
      </c>
      <c r="E6" s="23" t="n">
        <v>655500</v>
      </c>
      <c r="F6" s="23" t="n">
        <v>2341</v>
      </c>
      <c r="G6" s="24" t="n">
        <f aca="false">E6*(1+0_條件與假設!$B$9)</f>
        <v>688275</v>
      </c>
      <c r="H6" s="4" t="s">
        <v>1702</v>
      </c>
      <c r="I6" s="4" t="s">
        <v>1703</v>
      </c>
      <c r="J6" s="20" t="s">
        <v>1704</v>
      </c>
    </row>
    <row r="7" customFormat="false" ht="15" hidden="false" customHeight="false" outlineLevel="0" collapsed="false">
      <c r="A7" s="4" t="n">
        <v>2</v>
      </c>
      <c r="B7" s="4" t="s">
        <v>1705</v>
      </c>
      <c r="C7" s="4" t="n">
        <v>4</v>
      </c>
      <c r="D7" s="31" t="n">
        <v>282</v>
      </c>
      <c r="E7" s="23" t="n">
        <v>507600</v>
      </c>
      <c r="F7" s="23" t="n">
        <v>1800</v>
      </c>
      <c r="G7" s="24" t="n">
        <f aca="false">E7*(1+0_條件與假設!$B$9)</f>
        <v>532980</v>
      </c>
      <c r="H7" s="4" t="s">
        <v>1706</v>
      </c>
      <c r="I7" s="16" t="s">
        <v>395</v>
      </c>
      <c r="J7" s="20" t="s">
        <v>1704</v>
      </c>
    </row>
    <row r="8" customFormat="false" ht="15" hidden="false" customHeight="false" outlineLevel="0" collapsed="false">
      <c r="A8" s="4" t="n">
        <v>2</v>
      </c>
      <c r="B8" s="4" t="s">
        <v>123</v>
      </c>
      <c r="C8" s="4" t="n">
        <v>2</v>
      </c>
      <c r="D8" s="31" t="n">
        <v>283</v>
      </c>
      <c r="E8" s="23" t="n">
        <v>509400</v>
      </c>
      <c r="F8" s="23" t="n">
        <v>1800</v>
      </c>
      <c r="G8" s="24" t="n">
        <f aca="false">E8*(1+0_條件與假設!$B$9)</f>
        <v>534870</v>
      </c>
      <c r="H8" s="16" t="s">
        <v>1707</v>
      </c>
      <c r="I8" s="16" t="s">
        <v>120</v>
      </c>
      <c r="J8" s="20" t="s">
        <v>1704</v>
      </c>
    </row>
    <row r="9" customFormat="false" ht="15" hidden="false" customHeight="false" outlineLevel="0" collapsed="false">
      <c r="A9" s="4" t="n">
        <v>2</v>
      </c>
      <c r="B9" s="4" t="s">
        <v>1708</v>
      </c>
      <c r="C9" s="4" t="n">
        <v>5</v>
      </c>
      <c r="D9" s="31" t="n">
        <v>290</v>
      </c>
      <c r="E9" s="23" t="n">
        <v>600000</v>
      </c>
      <c r="F9" s="23" t="n">
        <v>2069</v>
      </c>
      <c r="G9" s="24" t="n">
        <f aca="false">E9*(1+0_條件與假設!$B$9)</f>
        <v>630000</v>
      </c>
      <c r="H9" s="4" t="s">
        <v>1709</v>
      </c>
      <c r="I9" s="4" t="s">
        <v>1703</v>
      </c>
      <c r="J9" s="20" t="s">
        <v>1704</v>
      </c>
    </row>
    <row r="10" customFormat="false" ht="15" hidden="false" customHeight="false" outlineLevel="0" collapsed="false">
      <c r="A10" s="4" t="n">
        <v>2</v>
      </c>
      <c r="B10" s="4" t="s">
        <v>799</v>
      </c>
      <c r="C10" s="4" t="n">
        <v>10</v>
      </c>
      <c r="D10" s="31" t="n">
        <v>296</v>
      </c>
      <c r="E10" s="23" t="n">
        <v>651200</v>
      </c>
      <c r="F10" s="23" t="n">
        <v>2200</v>
      </c>
      <c r="G10" s="24" t="n">
        <f aca="false">E10*(1+0_條件與假設!$B$9)</f>
        <v>683760</v>
      </c>
      <c r="H10" s="4" t="s">
        <v>1710</v>
      </c>
      <c r="I10" s="4" t="s">
        <v>1703</v>
      </c>
      <c r="J10" s="20" t="s">
        <v>1704</v>
      </c>
    </row>
    <row r="11" customFormat="false" ht="15" hidden="false" customHeight="false" outlineLevel="0" collapsed="false">
      <c r="A11" s="4" t="n">
        <v>2</v>
      </c>
      <c r="B11" s="4" t="s">
        <v>1711</v>
      </c>
      <c r="C11" s="4" t="n">
        <v>6</v>
      </c>
      <c r="D11" s="31" t="n">
        <v>324</v>
      </c>
      <c r="E11" s="23" t="n">
        <v>567000</v>
      </c>
      <c r="F11" s="23" t="n">
        <v>1750</v>
      </c>
      <c r="G11" s="24" t="n">
        <f aca="false">E11*(1+0_條件與假設!$B$9)</f>
        <v>595350</v>
      </c>
      <c r="H11" s="16" t="s">
        <v>1707</v>
      </c>
      <c r="I11" s="4" t="s">
        <v>1703</v>
      </c>
      <c r="J11" s="20" t="s">
        <v>1704</v>
      </c>
    </row>
    <row r="12" customFormat="false" ht="15" hidden="false" customHeight="false" outlineLevel="0" collapsed="false">
      <c r="A12" s="4" t="n">
        <v>3</v>
      </c>
      <c r="B12" s="4" t="s">
        <v>1712</v>
      </c>
      <c r="C12" s="4" t="n">
        <v>4</v>
      </c>
      <c r="D12" s="31" t="n">
        <v>327</v>
      </c>
      <c r="E12" s="23" t="n">
        <v>491000</v>
      </c>
      <c r="F12" s="23" t="n">
        <v>1500</v>
      </c>
      <c r="G12" s="24" t="n">
        <f aca="false">E12*(1+0_條件與假設!$B$9)</f>
        <v>515550</v>
      </c>
      <c r="H12" s="4" t="s">
        <v>1713</v>
      </c>
      <c r="I12" s="16" t="s">
        <v>326</v>
      </c>
      <c r="J12" s="20" t="s">
        <v>1714</v>
      </c>
    </row>
    <row r="13" customFormat="false" ht="15" hidden="false" customHeight="false" outlineLevel="0" collapsed="false">
      <c r="A13" s="4" t="n">
        <v>3</v>
      </c>
      <c r="B13" s="4" t="s">
        <v>1715</v>
      </c>
      <c r="C13" s="4" t="n">
        <v>8</v>
      </c>
      <c r="D13" s="31" t="n">
        <v>331</v>
      </c>
      <c r="E13" s="23" t="n">
        <v>513050</v>
      </c>
      <c r="F13" s="23" t="n">
        <v>1550</v>
      </c>
      <c r="G13" s="24" t="n">
        <f aca="false">E13*(1+0_條件與假設!$B$9)</f>
        <v>538702.5</v>
      </c>
      <c r="H13" s="4" t="s">
        <v>1716</v>
      </c>
      <c r="I13" s="16" t="s">
        <v>373</v>
      </c>
      <c r="J13" s="20" t="s">
        <v>1714</v>
      </c>
    </row>
    <row r="14" customFormat="false" ht="29.85" hidden="false" customHeight="false" outlineLevel="0" collapsed="false">
      <c r="A14" s="4" t="n">
        <v>3</v>
      </c>
      <c r="B14" s="4" t="s">
        <v>1717</v>
      </c>
      <c r="C14" s="4" t="n">
        <v>11</v>
      </c>
      <c r="D14" s="31" t="n">
        <v>334</v>
      </c>
      <c r="E14" s="23" t="n">
        <v>551100</v>
      </c>
      <c r="F14" s="23" t="n">
        <v>1650</v>
      </c>
      <c r="G14" s="24" t="n">
        <f aca="false">E14*(1+0_條件與假設!$B$9)</f>
        <v>578655</v>
      </c>
      <c r="H14" s="4" t="s">
        <v>1718</v>
      </c>
      <c r="I14" s="4" t="s">
        <v>1719</v>
      </c>
      <c r="J14" s="20" t="s">
        <v>1714</v>
      </c>
    </row>
    <row r="15" customFormat="false" ht="15" hidden="false" customHeight="false" outlineLevel="0" collapsed="false">
      <c r="A15" s="4" t="n">
        <v>3</v>
      </c>
      <c r="B15" s="4" t="s">
        <v>1720</v>
      </c>
      <c r="C15" s="4" t="n">
        <v>3</v>
      </c>
      <c r="D15" s="31" t="n">
        <v>371</v>
      </c>
      <c r="E15" s="23" t="n">
        <v>686350</v>
      </c>
      <c r="F15" s="23" t="n">
        <v>1850</v>
      </c>
      <c r="G15" s="24" t="n">
        <f aca="false">E15*(1+0_條件與假設!$B$9)</f>
        <v>720667.5</v>
      </c>
      <c r="H15" s="4" t="s">
        <v>1721</v>
      </c>
      <c r="I15" s="4" t="s">
        <v>1703</v>
      </c>
      <c r="J15" s="20" t="s">
        <v>1714</v>
      </c>
    </row>
  </sheetData>
  <hyperlinks>
    <hyperlink ref="J3" r:id="rId1" location="page=1" display="第1頁"/>
    <hyperlink ref="J4" r:id="rId2" location="page=1" display="第1頁"/>
    <hyperlink ref="J5" r:id="rId3" location="page=1" display="第1頁"/>
    <hyperlink ref="J6" r:id="rId4" location="page=2" display="第2頁"/>
    <hyperlink ref="J7" r:id="rId5" location="page=2" display="第2頁"/>
    <hyperlink ref="J8" r:id="rId6" location="page=2" display="第2頁"/>
    <hyperlink ref="J9" r:id="rId7" location="page=2" display="第2頁"/>
    <hyperlink ref="J10" r:id="rId8" location="page=2" display="第2頁"/>
    <hyperlink ref="J11" r:id="rId9" location="page=2" display="第2頁"/>
    <hyperlink ref="J12" r:id="rId10" location="page=3" display="第3頁"/>
    <hyperlink ref="J13" r:id="rId11" location="page=3" display="第3頁"/>
    <hyperlink ref="J14" r:id="rId12" location="page=3" display="第3頁"/>
    <hyperlink ref="J15" r:id="rId13" location="page=3" display="第3頁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60"/>
  </cols>
  <sheetData>
    <row r="1" customFormat="false" ht="33.75" hidden="false" customHeight="true" outlineLevel="0" collapsed="false">
      <c r="A1" s="3" t="s">
        <v>1722</v>
      </c>
      <c r="B1" s="3" t="s">
        <v>1723</v>
      </c>
      <c r="C1" s="3" t="s">
        <v>1724</v>
      </c>
      <c r="D1" s="3" t="s">
        <v>1725</v>
      </c>
      <c r="E1" s="3" t="s">
        <v>1624</v>
      </c>
    </row>
    <row r="2" customFormat="false" ht="44" hidden="false" customHeight="false" outlineLevel="0" collapsed="false">
      <c r="A2" s="16" t="s">
        <v>1726</v>
      </c>
      <c r="B2" s="4" t="s">
        <v>1727</v>
      </c>
      <c r="C2" s="16" t="s">
        <v>1728</v>
      </c>
      <c r="D2" s="4" t="s">
        <v>1729</v>
      </c>
      <c r="E2" s="16" t="s">
        <v>1730</v>
      </c>
    </row>
    <row r="3" customFormat="false" ht="29.85" hidden="false" customHeight="false" outlineLevel="0" collapsed="false">
      <c r="A3" s="4" t="s">
        <v>1731</v>
      </c>
      <c r="B3" s="16" t="s">
        <v>1732</v>
      </c>
      <c r="C3" s="16" t="s">
        <v>1733</v>
      </c>
      <c r="D3" s="4" t="s">
        <v>1734</v>
      </c>
      <c r="E3" s="4" t="s">
        <v>1735</v>
      </c>
    </row>
    <row r="4" customFormat="false" ht="44" hidden="false" customHeight="false" outlineLevel="0" collapsed="false">
      <c r="A4" s="4" t="s">
        <v>1736</v>
      </c>
      <c r="B4" s="4" t="s">
        <v>1737</v>
      </c>
      <c r="C4" s="16" t="s">
        <v>1738</v>
      </c>
      <c r="D4" s="4" t="s">
        <v>1739</v>
      </c>
      <c r="E4" s="16" t="s">
        <v>1740</v>
      </c>
    </row>
    <row r="5" customFormat="false" ht="44" hidden="false" customHeight="false" outlineLevel="0" collapsed="false">
      <c r="A5" s="4" t="s">
        <v>1741</v>
      </c>
      <c r="B5" s="4" t="s">
        <v>1742</v>
      </c>
      <c r="C5" s="16" t="s">
        <v>1743</v>
      </c>
      <c r="D5" s="4" t="s">
        <v>1744</v>
      </c>
      <c r="E5" s="4" t="s">
        <v>1745</v>
      </c>
    </row>
    <row r="6" customFormat="false" ht="29.85" hidden="false" customHeight="false" outlineLevel="0" collapsed="false">
      <c r="A6" s="4" t="s">
        <v>1746</v>
      </c>
      <c r="B6" s="4" t="s">
        <v>1747</v>
      </c>
      <c r="C6" s="16" t="s">
        <v>86</v>
      </c>
      <c r="D6" s="4" t="s">
        <v>1748</v>
      </c>
      <c r="E6" s="4" t="s">
        <v>1749</v>
      </c>
    </row>
    <row r="7" customFormat="false" ht="44" hidden="false" customHeight="false" outlineLevel="0" collapsed="false">
      <c r="A7" s="4" t="s">
        <v>1750</v>
      </c>
      <c r="B7" s="4" t="s">
        <v>1751</v>
      </c>
      <c r="C7" s="16" t="s">
        <v>1752</v>
      </c>
      <c r="D7" s="4" t="s">
        <v>1753</v>
      </c>
      <c r="E7" s="4" t="s">
        <v>1754</v>
      </c>
    </row>
    <row r="8" customFormat="false" ht="29.85" hidden="false" customHeight="false" outlineLevel="0" collapsed="false">
      <c r="A8" s="4" t="s">
        <v>1755</v>
      </c>
      <c r="B8" s="16" t="s">
        <v>1756</v>
      </c>
      <c r="C8" s="16" t="s">
        <v>1757</v>
      </c>
      <c r="D8" s="4" t="s">
        <v>1758</v>
      </c>
      <c r="E8" s="4" t="s">
        <v>1759</v>
      </c>
    </row>
    <row r="9" customFormat="false" ht="29.85" hidden="false" customHeight="false" outlineLevel="0" collapsed="false">
      <c r="A9" s="4" t="s">
        <v>1760</v>
      </c>
      <c r="B9" s="16" t="s">
        <v>1761</v>
      </c>
      <c r="C9" s="16" t="s">
        <v>1762</v>
      </c>
      <c r="D9" s="4" t="s">
        <v>1758</v>
      </c>
      <c r="E9" s="4" t="s">
        <v>1763</v>
      </c>
    </row>
    <row r="10" customFormat="false" ht="26.85" hidden="false" customHeight="false" outlineLevel="0" collapsed="false">
      <c r="A10" s="4" t="s">
        <v>1764</v>
      </c>
      <c r="B10" s="4" t="s">
        <v>970</v>
      </c>
      <c r="C10" s="16" t="s">
        <v>1765</v>
      </c>
      <c r="D10" s="4" t="s">
        <v>1766</v>
      </c>
      <c r="E10" s="4" t="s">
        <v>1767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2026-10-12T08:15:12Z</dcterms:created>
  <dc:creator>openpyxl</dc:creator>
  <dc:description/>
  <dc:language>en-US</dc:language>
  <cp:lastModifiedBy/>
  <dcterms:modified xsi:type="dcterms:W3CDTF">2026-10-12T08:15:12Z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