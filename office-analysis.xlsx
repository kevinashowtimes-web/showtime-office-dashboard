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K_四維評分(參考)" sheetId="3" state="visible" r:id="rId5"/>
    <sheet name="J_質感排序" sheetId="4" state="visible" r:id="rId6"/>
    <sheet name="B_傑森愛華清單(18件)" sheetId="5" state="visible" r:id="rId7"/>
    <sheet name="I_HouseWeb(10件)" sheetId="6" state="visible" r:id="rId8"/>
    <sheet name="C_合併排行" sheetId="7" state="visible" r:id="rId9"/>
    <sheet name="G_可點閱連結" sheetId="8" state="visible" r:id="rId10"/>
    <sheet name="D_待確認與缺漏" sheetId="9" state="visible" r:id="rId11"/>
    <sheet name="E_市場行情對照" sheetId="10" state="visible" r:id="rId12"/>
    <sheet name="F_資料來源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<sst xmlns="http://schemas.openxmlformats.org/spreadsheetml/2006/main" count="3539" uniqueCount="1233">
  <si>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</si>
  <si>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</si>
  <si>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</si>
  <si>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</si>
  <si>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</si>
  <si>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</si>
  <si>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</si>
  <si>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</si>
  <si>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</si>
  <si>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</si>
  <si>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</si>
  <si>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</si>
  <si>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</si>
  <si>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</si>
  <si>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</si>
  <si>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</si>
  <si>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</si>
  <si>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</si>
  <si>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</si>
  <si>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</si>
  <si>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</si>
  <si>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</si>
  <si>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</si>
  <si>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</si>
  <si>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</si>
  <si>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</si>
  <si>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</si>
  <si>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</si>
  <si>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</si>
  <si>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</si>
  <si>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</si>
  <si>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</si>
  <si>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</si>
  <si>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</si>
  <si>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</si>
  <si>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</si>
  <si>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</si>
  <si>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</si>
  <si>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</si>
  <si>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</si>
  <si>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</si>
  <si>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</si>
  <si>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</si>
  <si>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</si>
  <si>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</si>
  <si>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</si>
  <si>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</si>
  <si>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</si>
  <si>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</si>
  <si>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</si>
  <si>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</si>
  <si>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</si>
  <si>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</si>
  <si>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</si>
  <si>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</si>
  <si>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</si>
  <si>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</si>
  <si>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</si>
  <si>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</si>
  <si>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</si>
  <si>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</si>
  <si>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</si>
  <si>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</si>
  <si>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</si>
  <si>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</si>
  <si>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</si>
  <si>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</si>
  <si>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</si>
  <si>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</si>
  <si>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</si>
  <si>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</si>
  <si>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</si>
  <si>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</si>
  <si>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</si>
  <si>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</si>
  <si>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</si>
  <si>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</si>
  <si>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</si>
  <si>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</si>
  <si>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</si>
  <si>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</si>
  <si>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</si>
  <si>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</si>
  <si>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</si>
  <si>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</si>
  <si>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</si>
  <si>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</si>
  <si>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</si>
  <si>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</si>
  <si>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</si>
  <si>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</si>
  <si>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</si>
  <si>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</si>
  <si>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</si>
  <si>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</si>
  <si>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</si>
  <si>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</si>
  <si>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</si>
  <si>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</si>
  <si>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</si>
  <si>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</si>
  <si>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</si>
  <si>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</si>
  <si>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</si>
  <si>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</si>
  <si>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</si>
  <si>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</si>
  <si>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</si>
  <si>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</si>
  <si>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</si>
  <si>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</si>
  <si>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</si>
  <si>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</si>
  <si>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</si>
  <si>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信義國際站 本戶·14張照片（備用：www.sinyi.com.tw/rent/houseno/C355686）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</si>
  <si>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</si>
  <si>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</si>
  <si>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</si>
  <si>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</si>
  <si>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</si>
  <si>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</si>
  <si>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</si>
  <si>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</si>
  <si>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</si>
  <si>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</si>
  <si>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</si>
  <si>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</si>
  <si>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</si>
  <si>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</si>
  <si>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</si>
  <si>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</si>
  <si>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</si>
  <si>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</si>
  <si>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</si>
  <si>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</si>
  <si>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</si>
  <si>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</si>
  <si>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</si>
  <si>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</si>
  <si>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</si>
  <si>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</si>
  <si>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</si>
  <si>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</si>
  <si>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</si>
  <si>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</si>
  <si>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</si>
  <si>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</si>
  <si>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</si>
  <si>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</si>
  <si>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</si>
  <si>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</si>
  <si>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</si>
  <si>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</si>
  <si>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</si>
  <si>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</si>
  <si>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</si>
  <si>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</si>
  <si>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</si>
  <si>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</si>
  <si>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</si>
  <si>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</si>
  <si>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</si>
  <si>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</si>
  <si>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</si>
  <si>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</si>
  <si>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</si>
  <si>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</si>
  <si>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</si>
  <si>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</si>
  <si>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</si>
  <si>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</si>
  <si>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</si>
  <si>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</si>
  <si>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</si>
  <si>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</si>
  <si>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</si>
  <si>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</si>
  <si>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</si>
  <si>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</si>
  <si>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</si>
  <si>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</si>
  <si>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</si>
  <si>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</si>
  <si>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</si>
  <si>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</si>
  <si>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</si>
  <si>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</si>
  <si>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</si>
  <si>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</si>
  <si>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</si>
  <si>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</si>
  <si>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</si>
  <si>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</si>
  <si>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</si>
  <si>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</si>
  <si>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</si>
  <si>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</si>
  <si>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</si>
  <si>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</si>
  <si>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</si>
  <si>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</si>
  <si>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</si>
  <si>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</si>
  <si>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</si>
  <si>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</si>
  <si>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</si>
  <si>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</si>
  <si>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</si>
  <si>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</si>
  <si>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</si>
  <si>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</si>
  <si>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</si>
  <si>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</si>
  <si>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</si>
  <si>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</si>
  <si>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</si>
  <si>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</si>
  <si>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</si>
  <si>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</si>
  <si>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</si>
  <si>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</si>
  <si>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</si>
  <si>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</si>
  <si>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</si>
  <si>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</si>
  <si>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</si>
  <si>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</si>
  <si>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</si>
  <si>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</si>
  <si>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</si>
  <si>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</si>
  <si>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</si>
  <si>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</si>
  <si>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</si>
  <si>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</si>
  <si>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</si>
  <si>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</si>
  <si>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</si>
  <si>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</si>
  <si>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</si>
  <si>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</si>
  <si>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</si>
  <si>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</si>
  <si>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</si>
  <si>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</si>
  <si>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</si>
  <si>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</si>
  <si>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</si>
  <si>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</si>
  <si>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</si>
  <si>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</si>
  <si>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</si>
  <si>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</si>
  <si>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案：第一優先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／第二優先 </t>
    </r>
    <r>
      <rPr>
        <b val="true"/>
        <sz val="13"/>
        <rFont val="Arial"/>
        <family val="0"/>
        <charset val="1"/>
      </rPr>
      <t xml:space="preserve">27</t>
    </r>
    <r>
      <rPr>
        <b val="true"/>
        <sz val="13"/>
        <rFont val="Noto Sans CJK SC"/>
        <family val="2"/>
      </rPr>
      <t xml:space="preserve">／不建議 </t>
    </r>
    <r>
      <rPr>
        <b val="true"/>
        <sz val="13"/>
        <rFont val="Arial"/>
        <family val="0"/>
        <charset val="1"/>
      </rPr>
      <t xml:space="preserve">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</si>
  <si>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分級規則（</t>
    </r>
    <r>
      <rPr>
        <i val="true"/>
        <sz val="9"/>
        <color rgb="FF666666"/>
        <rFont val="Arial"/>
        <family val="0"/>
        <charset val="1"/>
      </rPr>
      <t xml:space="preserve">2026-09-23 </t>
    </r>
    <r>
      <rPr>
        <i val="true"/>
        <sz val="9"/>
        <color rgb="FF666666"/>
        <rFont val="Noto Sans CJK SC"/>
        <family val="2"/>
      </rPr>
      <t xml:space="preserve">使用者指定）：第一優先＝四項全部符合：計租坪 ≥ 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、月總成本 ≤ </t>
    </r>
    <r>
      <rPr>
        <i val="true"/>
        <sz val="9"/>
        <color rgb="FF666666"/>
        <rFont val="Arial"/>
        <family val="0"/>
        <charset val="1"/>
      </rPr>
      <t xml:space="preserve">46</t>
    </r>
    <r>
      <rPr>
        <i val="true"/>
        <sz val="9"/>
        <color rgb="FF666666"/>
        <rFont val="Noto Sans CJK SC"/>
        <family val="2"/>
      </rPr>
      <t xml:space="preserve">萬、核心商圈（大直、林森北路、松山路等非核心不列）、捷運步行 ≤ </t>
    </r>
    <r>
      <rPr>
        <i val="true"/>
        <sz val="9"/>
        <color rgb="FF666666"/>
        <rFont val="Arial"/>
        <family val="0"/>
        <charset val="1"/>
      </rPr>
      <t xml:space="preserve">8 </t>
    </r>
    <r>
      <rPr>
        <i val="true"/>
        <sz val="9"/>
        <color rgb="FF666666"/>
        <rFont val="Noto Sans CJK SC"/>
        <family val="2"/>
      </rPr>
      <t xml:space="preserve">分（依物件資料，未揭露者不算符合）（優先看屋）；第二優先＝月總成本 ≤ 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萬（可以談；核心商圈排前、非核心排後）；不建議＝成本超過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萬、不在四區、地下室或同戶重複（先不看）。同一級內坪數大的排前面。月總成本＝含稅租金＋管理費＋車位；缺管理費者成本為低估值，已在理由欄註明。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</si>
  <si>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</si>
  <si>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</si>
  <si>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</si>
  <si>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</si>
  <si>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</si>
  <si>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</si>
  <si>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</si>
  <si>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</si>
  <si>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</si>
  <si>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</si>
  <si>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</si>
  <si>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</si>
  <si>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</si>
  <si>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</si>
  <si>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</si>
  <si>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450,913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分：四項全符合（≥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坪、≤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萬、核心地段、捷運≤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分）　｜　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</si>
  <si>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</si>
  <si>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t xml:space="preserve">第二優先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</si>
  <si>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</si>
  <si>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（缺管理費，實際成本更高）；核心商圈；捷運步行時間未揭露；地圖直線約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</si>
  <si>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</si>
  <si>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</si>
  <si>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278.04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；核心商圈；捷運步行時間未揭露：未進第一優先原因－交通未確認≤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</si>
  <si>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</si>
  <si>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；核心商圈；捷運步行時間未揭露；地圖直線約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</si>
  <si>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</si>
  <si>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t xml:space="preserve">J13</t>
  </si>
  <si>
    <t xml:space="preserve">民生東路VS建國北路 2*F 225坪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</si>
  <si>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建國北路</t>
    </r>
  </si>
  <si>
    <t xml:space="preserve">2*F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</si>
  <si>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</si>
  <si>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</si>
  <si>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</si>
  <si>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</si>
  <si>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</si>
  <si>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</si>
  <si>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不推進</t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</si>
  <si>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</si>
  <si>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</si>
  <si>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</si>
  <si>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</si>
  <si>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</si>
  <si>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</si>
  <si>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</si>
  <si>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</si>
  <si>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</si>
  <si>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</si>
  <si>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</si>
  <si>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474,300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</si>
  <si>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</si>
  <si>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</si>
  <si>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</si>
  <si>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</si>
  <si>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</si>
  <si>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</si>
  <si>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（缺管理費，實際成本更高）；核心商圈；捷運步行時間未揭露；八德路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龍江路口，地圖直線約</t>
    </r>
    <r>
      <rPr>
        <sz val="10"/>
        <color rgb="FF000000"/>
        <rFont val="Arial"/>
        <family val="0"/>
        <charset val="1"/>
      </rPr>
      <t xml:space="preserve">630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到南京復興／忠孝復興站（步行約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分）；門牌未提供：未進第一優先原因－交通未確認≤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</si>
  <si>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</si>
  <si>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</si>
  <si>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</si>
  <si>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</si>
  <si>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417,935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</si>
  <si>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</si>
  <si>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J09</t>
  </si>
  <si>
    <t xml:space="preserve">敦化北路VS民生東路 2F 211坪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</si>
  <si>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民生東路</t>
    </r>
  </si>
  <si>
    <t xml:space="preserve">純辦、三角窗、店辦，外商區、此區單價最低，公設低，屋況佳</t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</si>
  <si>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</si>
  <si>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</si>
  <si>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—</t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</si>
  <si>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</si>
  <si>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</si>
  <si>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</si>
  <si>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</si>
  <si>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</si>
  <si>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</si>
  <si>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</si>
  <si>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</si>
  <si>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</si>
  <si>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</si>
  <si>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</si>
  <si>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t xml:space="preserve">J06</t>
  </si>
  <si>
    <t xml:space="preserve">中山北路1段近市民大道 9F 209坪 ↗</t>
  </si>
  <si>
    <r>
      <rPr>
        <sz val="10"/>
        <color rgb="FF0000FF"/>
        <rFont val="Noto Sans CJK SC"/>
        <family val="2"/>
      </rPr>
      <t xml:space="preserve">中山北路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段近市民大道</t>
    </r>
  </si>
  <si>
    <t xml:space="preserve">9F</t>
  </si>
  <si>
    <t xml:space="preserve">帷幕純辦、入口佳、正方、一層一戶、適百業、近火車站或中山站</t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</si>
  <si>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</si>
  <si>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</si>
  <si>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</si>
  <si>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207.04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389,134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</si>
  <si>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t xml:space="preserve">排除</t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</si>
  <si>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</si>
  <si>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</si>
  <si>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</si>
  <si>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</si>
  <si>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清單</t>
    </r>
    <r>
      <rPr>
        <sz val="10"/>
        <color rgb="FF0000FF"/>
        <rFont val="Arial"/>
        <family val="0"/>
        <charset val="1"/>
      </rPr>
      <t xml:space="preserve">:</t>
    </r>
    <r>
      <rPr>
        <sz val="10"/>
        <color rgb="FF0000FF"/>
        <rFont val="Noto Sans CJK SC"/>
        <family val="2"/>
      </rPr>
      <t xml:space="preserve">近三民站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</si>
  <si>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</si>
  <si>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</si>
  <si>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</si>
  <si>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</si>
  <si>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t xml:space="preserve">W01</t>
  </si>
  <si>
    <t xml:space="preserve">▲敦南商圈【氣派純辦】【裝潢新】 ↗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</si>
  <si>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</si>
  <si>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</si>
  <si>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</si>
  <si>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t xml:space="preserve">可承租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</si>
  <si>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</si>
  <si>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</si>
  <si>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t xml:space="preserve">滿意房屋</t>
  </si>
  <si>
    <t xml:space="preserve">02-2713-5151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</si>
  <si>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</si>
  <si>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HouseWeb·26張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</si>
  <si>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</si>
  <si>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</si>
  <si>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</si>
  <si>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</si>
  <si>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</si>
  <si>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413,004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</si>
  <si>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</si>
  <si>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</si>
  <si>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</si>
  <si>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</si>
  <si>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</si>
  <si>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t xml:space="preserve">清單未載</t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</si>
  <si>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</si>
  <si>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</si>
  <si>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</si>
  <si>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</si>
  <si>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</si>
  <si>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</si>
  <si>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</si>
  <si>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</si>
  <si>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可到捷運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</si>
  <si>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</si>
  <si>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</si>
  <si>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</si>
  <si>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346,050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分超過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</si>
  <si>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</si>
  <si>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t xml:space="preserve">W07</t>
  </si>
  <si>
    <t xml:space="preserve">【大直辦公室出租】空間大好規劃、採光佳 ↗</t>
  </si>
  <si>
    <t xml:space="preserve">3F/10F</t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</si>
  <si>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</si>
  <si>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t xml:space="preserve">面議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</si>
  <si>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</si>
  <si>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優昇商用 連先生</t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</si>
  <si>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</si>
  <si>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</si>
  <si>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HouseWeb·27張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</si>
  <si>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</si>
  <si>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</si>
  <si>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</si>
  <si>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253.16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386,676</t>
    </r>
    <r>
      <rPr>
        <sz val="10"/>
        <color rgb="FF000000"/>
        <rFont val="Noto Sans CJK SC"/>
        <family val="2"/>
      </rPr>
      <t xml:space="preserve">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</si>
  <si>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W06</t>
  </si>
  <si>
    <t xml:space="preserve">【大直辦公室出租】優質辦公室、採光佳 ↗</t>
  </si>
  <si>
    <t xml:space="preserve">平面式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</si>
  <si>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</si>
  <si>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HouseWeb·37張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</si>
  <si>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</si>
  <si>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434,435</t>
    </r>
    <r>
      <rPr>
        <sz val="10"/>
        <color rgb="FF000000"/>
        <rFont val="Noto Sans CJK SC"/>
        <family val="2"/>
      </rPr>
      <t xml:space="preserve">；非核心商圈；捷運步行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　｜　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</si>
  <si>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</si>
  <si>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</si>
  <si>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</si>
  <si>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</si>
  <si>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</si>
  <si>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</si>
  <si>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</si>
  <si>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</si>
  <si>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</si>
  <si>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</si>
  <si>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</si>
  <si>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</si>
  <si>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</si>
  <si>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</si>
  <si>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</si>
  <si>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</si>
  <si>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</si>
  <si>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</si>
  <si>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</si>
  <si>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</si>
  <si>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t xml:space="preserve">W04</t>
  </si>
  <si>
    <t xml:space="preserve">【大直辦公室出租】大直氣派門面、管理佳、現成裝潢 ↗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</si>
  <si>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</si>
  <si>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</si>
  <si>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t xml:space="preserve">@2,201</t>
  </si>
  <si>
    <t xml:space="preserve">HouseWeb·43張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</si>
  <si>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（缺管理費，實際成本更高）；大直，非核心；捷運步行時間未揭露：未進第一優先原因－坪數未達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</si>
  <si>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W13</t>
  </si>
  <si>
    <t xml:space="preserve">中山區辦公室出租 ↗</t>
  </si>
  <si>
    <t xml:space="preserve">林森北路</t>
  </si>
  <si>
    <t xml:space="preserve">6F/11F(B2)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</si>
  <si>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</si>
  <si>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</si>
  <si>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</si>
  <si>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</si>
  <si>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（缺管理費，實際成本更高）；非核心商圈；捷運步行時間未揭露：未進第一優先原因－坪數未達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、地點非核心、交通未確認≤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　｜　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</si>
  <si>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不建議</t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</si>
  <si>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</si>
  <si>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506,347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</si>
  <si>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</si>
  <si>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</si>
  <si>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277.81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</t>
    </r>
  </si>
  <si>
    <t xml:space="preserve">J18</t>
  </si>
  <si>
    <t xml:space="preserve">忠孝東路4段VS延吉街 4F 276坪 ↗</t>
  </si>
  <si>
    <r>
      <rPr>
        <sz val="10"/>
        <color rgb="FF0000FF"/>
        <rFont val="Noto Sans CJK SC"/>
        <family val="2"/>
      </rPr>
      <t xml:space="preserve">忠孝東路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延吉街</t>
    </r>
  </si>
  <si>
    <t xml:space="preserve">4F</t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</si>
  <si>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</si>
  <si>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t xml:space="preserve">傑森愛華原始PDF 第6頁（含照片）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</si>
  <si>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</si>
  <si>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266.36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</si>
  <si>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265.82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</si>
  <si>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265.72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</si>
  <si>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t xml:space="preserve">J17</t>
  </si>
  <si>
    <t xml:space="preserve">市民大道3段近復興南路 8F 257坪 ↗</t>
  </si>
  <si>
    <r>
      <rPr>
        <sz val="10"/>
        <color rgb="FF0000FF"/>
        <rFont val="Noto Sans CJK SC"/>
        <family val="2"/>
      </rPr>
      <t xml:space="preserve">市民大道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段近復興南路</t>
    </r>
  </si>
  <si>
    <t xml:space="preserve">8F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</si>
  <si>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</si>
  <si>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</si>
  <si>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</si>
  <si>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232.22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494,098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</si>
  <si>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</si>
  <si>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</si>
  <si>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</si>
  <si>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</si>
  <si>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</si>
  <si>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</si>
  <si>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</si>
  <si>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</si>
  <si>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526,970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</si>
  <si>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J14</t>
  </si>
  <si>
    <t xml:space="preserve">民生東路近敦化北路 8F 226坪 ↗</t>
  </si>
  <si>
    <t xml:space="preserve">民生東路近敦化北路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</si>
  <si>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</si>
  <si>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</si>
  <si>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</si>
  <si>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225.83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</si>
  <si>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</si>
  <si>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</si>
  <si>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496,555</t>
    </r>
    <r>
      <rPr>
        <sz val="10"/>
        <color rgb="FF000000"/>
        <rFont val="Noto Sans CJK SC"/>
        <family val="2"/>
      </rPr>
      <t xml:space="preserve">；核心商圈；捷運步行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</si>
  <si>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</si>
  <si>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J10</t>
  </si>
  <si>
    <t xml:space="preserve">安和路一段 (即安敦國際大樓17F) 17F 214坪 ↗</t>
  </si>
  <si>
    <r>
      <rPr>
        <sz val="10"/>
        <color rgb="FF0000FF"/>
        <rFont val="Noto Sans CJK SC"/>
        <family val="2"/>
      </rPr>
      <t xml:space="preserve">安和路一段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即安敦國際大樓</t>
    </r>
    <r>
      <rPr>
        <sz val="10"/>
        <color rgb="FF0000FF"/>
        <rFont val="Arial"/>
        <family val="0"/>
        <charset val="1"/>
      </rPr>
      <t xml:space="preserve">17F)</t>
    </r>
  </si>
  <si>
    <t xml:space="preserve">17F</t>
  </si>
  <si>
    <r>
      <rPr>
        <sz val="10"/>
        <color rgb="FF0000FF"/>
        <rFont val="Noto Sans CJK SC"/>
        <family val="2"/>
      </rPr>
      <t xml:space="preserve">獨立空調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</si>
  <si>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</si>
  <si>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傑森愛華原始PDF 第3頁（含照片）；同戶另見信義CZ05290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</si>
  <si>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（缺管理費，實際成本更高）；核心商圈；捷運步行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</si>
  <si>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W11</t>
  </si>
  <si>
    <t xml:space="preserve">松山區辦公室出租 ↗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</si>
  <si>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</si>
  <si>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</si>
  <si>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</si>
  <si>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</si>
  <si>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</si>
  <si>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HouseWeb·40張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</si>
  <si>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為準</t>
    </r>
  </si>
  <si>
    <t xml:space="preserve">J08</t>
  </si>
  <si>
    <t xml:space="preserve">南京東路近龍江路 8F 210坪 ↗</t>
  </si>
  <si>
    <t xml:space="preserve">南京東路近龍江路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</si>
  <si>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</si>
  <si>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</si>
  <si>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J04</t>
  </si>
  <si>
    <t xml:space="preserve">民生東路3段vs復興北路 11F 205坪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</si>
  <si>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復興北路</t>
    </r>
  </si>
  <si>
    <t xml:space="preserve">11F</t>
  </si>
  <si>
    <t xml:space="preserve">帷幕純辦，入口佳，採光視野佳，近捷運，稀有正方無柱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</si>
  <si>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（缺管理費，實際成本更高）；核心商圈；捷運步行時間未揭露：成本超過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</si>
  <si>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J05</t>
  </si>
  <si>
    <t xml:space="preserve">民生東路3段vs復興北路 3F 205坪 ↗</t>
  </si>
  <si>
    <t xml:space="preserve">3F</t>
  </si>
  <si>
    <t xml:space="preserve">帷幕純辦，正方無柱、稀有帶裝潢</t>
  </si>
  <si>
    <t xml:space="preserve">J03</t>
  </si>
  <si>
    <t xml:space="preserve">中山北路近市民大道 17F 204坪 ↗</t>
  </si>
  <si>
    <t xml:space="preserve">中山北路近市民大道</t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</si>
  <si>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</si>
  <si>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</si>
  <si>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獨立冷氣</t>
    </r>
    <r>
      <rPr>
        <sz val="10"/>
        <color rgb="FF0000FF"/>
        <rFont val="Arial"/>
        <family val="0"/>
        <charset val="1"/>
      </rPr>
      <t xml:space="preserve">(W08)</t>
    </r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</si>
  <si>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</si>
  <si>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傑森愛華原始PDF 第1頁（此列無照片）；同戶照片見W08 HouseWeb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</si>
  <si>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W08 </t>
    </r>
    <r>
      <rPr>
        <sz val="10"/>
        <color rgb="FF000000"/>
        <rFont val="Noto Sans CJK SC"/>
        <family val="2"/>
      </rPr>
      <t xml:space="preserve">為準</t>
    </r>
  </si>
  <si>
    <t xml:space="preserve">W08</t>
  </si>
  <si>
    <t xml:space="preserve">☆捷運台北車站☆漂亮商辦、一層一戶、高樓層 ↗</t>
  </si>
  <si>
    <t xml:space="preserve">中山北路一段</t>
  </si>
  <si>
    <t xml:space="preserve">17F/18F(B4)</t>
  </si>
  <si>
    <t xml:space="preserve">獨立冷氣</t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</si>
  <si>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</si>
  <si>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</si>
  <si>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</si>
  <si>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HouseWeb·35張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</si>
  <si>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512,575</t>
    </r>
    <r>
      <rPr>
        <sz val="10"/>
        <color rgb="FF000000"/>
        <rFont val="Noto Sans CJK SC"/>
        <family val="2"/>
      </rPr>
      <t xml:space="preserve">；核心商圈；捷運步行時間未揭露：成本超過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</si>
  <si>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</si>
  <si>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</si>
  <si>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</si>
  <si>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</si>
  <si>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為準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</si>
  <si>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213.56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</si>
  <si>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</si>
  <si>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213.3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；大直，非核心；捷運步行時間未揭露：成本超過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</si>
  <si>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</si>
  <si>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）— 僅供參考；正式排序以 </t>
    </r>
    <r>
      <rPr>
        <b val="true"/>
        <sz val="13"/>
        <rFont val="Arial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頁籤「坪數＋價位」三級規則為準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</si>
  <si>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</si>
  <si>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</si>
  <si>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</si>
  <si>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</si>
  <si>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</si>
  <si>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</si>
  <si>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第一優先
順序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</si>
  <si>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</si>
  <si>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</si>
  <si>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</si>
  <si>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</si>
  <si>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</si>
  <si>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</si>
  <si>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</si>
  <si>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</si>
  <si>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</si>
  <si>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</si>
  <si>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</si>
  <si>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</si>
  <si>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</si>
  <si>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</si>
  <si>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</si>
  <si>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</si>
  <si>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</si>
  <si>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</si>
  <si>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</si>
  <si>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</si>
  <si>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</si>
  <si>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</si>
  <si>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</si>
  <si>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</si>
  <si>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</si>
  <si>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</si>
  <si>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</si>
  <si>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</si>
  <si>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</si>
  <si>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</si>
  <si>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</si>
  <si>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</si>
  <si>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</si>
  <si>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</si>
  <si>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</si>
  <si>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</si>
  <si>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</si>
  <si>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</si>
  <si>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</si>
  <si>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</si>
  <si>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</si>
  <si>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</si>
  <si>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</si>
  <si>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</si>
  <si>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</si>
  <si>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</si>
  <si>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</si>
  <si>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</si>
  <si>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</si>
  <si>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</si>
  <si>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</si>
  <si>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</si>
  <si>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</si>
  <si>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</si>
  <si>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</si>
  <si>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</si>
  <si>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</si>
  <si>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</si>
  <si>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</si>
  <si>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</si>
  <si>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</si>
  <si>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</si>
  <si>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</si>
  <si>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</si>
  <si>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</si>
  <si>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</si>
  <si>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</si>
  <si>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</si>
  <si>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</si>
  <si>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</si>
  <si>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</si>
  <si>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</si>
  <si>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</si>
  <si>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</si>
  <si>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</si>
  <si>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</si>
  <si>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</si>
  <si>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</si>
  <si>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</si>
  <si>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</si>
  <si>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</si>
  <si>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</si>
  <si>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</si>
  <si>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</si>
  <si>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</si>
  <si>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</si>
  <si>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</si>
  <si>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</si>
  <si>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</si>
  <si>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</si>
  <si>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</si>
  <si>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</si>
  <si>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</si>
  <si>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</si>
  <si>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</si>
  <si>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</si>
  <si>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</si>
  <si>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</si>
  <si>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</si>
  <si>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</si>
  <si>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</si>
  <si>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</si>
  <si>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</si>
  <si>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</si>
  <si>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</si>
  <si>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</si>
  <si>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</si>
  <si>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</si>
  <si>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</si>
  <si>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</si>
  <si>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</si>
  <si>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</si>
  <si>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</si>
  <si>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</si>
  <si>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</si>
  <si>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</si>
  <si>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</si>
  <si>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</si>
  <si>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</si>
  <si>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</si>
  <si>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</si>
  <si>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</si>
  <si>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</si>
  <si>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</si>
  <si>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</si>
  <si>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</si>
  <si>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</si>
  <si>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</si>
  <si>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</si>
  <si>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</si>
  <si>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</si>
  <si>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</si>
  <si>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</si>
  <si>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</si>
  <si>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</si>
  <si>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</si>
  <si>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</si>
  <si>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</si>
  <si>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</si>
  <si>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</si>
  <si>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</si>
  <si>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</si>
  <si>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</si>
  <si>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</si>
  <si>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</si>
  <si>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</si>
  <si>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</si>
  <si>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</si>
  <si>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</si>
  <si>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</si>
  <si>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</si>
  <si>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</si>
  <si>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</si>
  <si>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</si>
  <si>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</si>
  <si>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</si>
  <si>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</si>
  <si>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</si>
  <si>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</si>
  <si>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</si>
  <si>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</si>
  <si>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</si>
  <si>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</si>
  <si>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</si>
  <si>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</si>
  <si>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</si>
  <si>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</si>
  <si>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</si>
  <si>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</si>
  <si>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</si>
  <si>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</si>
  <si>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</si>
  <si>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</si>
  <si>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</si>
  <si>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</si>
  <si>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</si>
  <si>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</si>
  <si>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</si>
  <si>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</si>
  <si>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</si>
  <si>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</si>
  <si>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</si>
  <si>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</si>
  <si>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</si>
  <si>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</si>
  <si>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</si>
  <si>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</si>
  <si>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</si>
  <si>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</si>
  <si>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</si>
  <si>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</si>
  <si>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</si>
  <si>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</si>
  <si>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</si>
  <si>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</si>
  <si>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</si>
  <si>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</si>
  <si>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</si>
  <si>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</si>
  <si>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</si>
  <si>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</si>
  <si>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</si>
  <si>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</si>
  <si>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</si>
  <si>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</si>
  <si>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</si>
  <si>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</si>
  <si>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</si>
  <si>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</si>
  <si>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</si>
  <si>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</si>
  <si>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</si>
  <si>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</si>
  <si>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</si>
  <si>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</si>
  <si>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</si>
  <si>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</si>
  <si>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</si>
  <si>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</si>
  <si>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</si>
  <si>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</si>
  <si>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</si>
  <si>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</si>
  <si>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</si>
  <si>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</si>
  <si>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</si>
  <si>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</si>
  <si>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</si>
  <si>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</si>
  <si>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</si>
  <si>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</si>
  <si>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</si>
  <si>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</si>
  <si>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</si>
  <si>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</si>
  <si>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</si>
  <si>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</si>
  <si>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</si>
  <si>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</si>
  <si>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</si>
  <si>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</si>
  <si>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</si>
  <si>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</si>
  <si>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</si>
  <si>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</si>
  <si>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</si>
  <si>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</si>
  <si>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</si>
  <si>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</si>
  <si>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</si>
  <si>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</si>
  <si>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</si>
  <si>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</si>
  <si>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</si>
  <si>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</si>
  <si>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</si>
  <si>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</si>
  <si>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</si>
  <si>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</si>
  <si>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</si>
  <si>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</si>
  <si>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</si>
  <si>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</si>
  <si>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</si>
  <si>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</si>
  <si>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</si>
  <si>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</si>
  <si>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</si>
  <si>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t xml:space="preserve">民生東路3段vs復興北路 ↗</t>
  </si>
  <si>
    <t xml:space="preserve">11</t>
  </si>
  <si>
    <t xml:space="preserve">3</t>
  </si>
  <si>
    <t xml:space="preserve">中山北路1段近市民大道 ↗</t>
  </si>
  <si>
    <t xml:space="preserve">9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</si>
  <si>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</si>
  <si>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</si>
  <si>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</si>
  <si>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</si>
  <si>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t xml:space="preserve">敦化北路VS民生東路 ↗</t>
  </si>
  <si>
    <t xml:space="preserve">2</t>
  </si>
  <si>
    <t xml:space="preserve">安和路一段 (即安敦國際大樓17F) ↗</t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</si>
  <si>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</si>
  <si>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</si>
  <si>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</si>
  <si>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</si>
  <si>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t xml:space="preserve">民生東路近敦化北路 ↗</t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</si>
  <si>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</si>
  <si>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</si>
  <si>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</si>
  <si>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</si>
  <si>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t xml:space="preserve">忠孝東路4段VS延吉街 ↗</t>
  </si>
  <si>
    <t xml:space="preserve">4</t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</si>
  <si>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</si>
  <si>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</si>
  <si>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</si>
  <si>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</si>
  <si>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</si>
  <si>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</si>
  <si>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</si>
  <si>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</si>
  <si>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</si>
  <si>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</si>
  <si>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</si>
  <si>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</si>
  <si>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</si>
  <si>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t xml:space="preserve">超出預算</t>
  </si>
  <si>
    <t xml:space="preserve">https://www.houseweb.com.tw/house/1506073</t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</si>
  <si>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</si>
  <si>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</si>
  <si>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</si>
  <si>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</si>
  <si>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t xml:space="preserve">https://www.houseweb.com.tw/house/2650465</t>
  </si>
  <si>
    <t xml:space="preserve">https://www.houseweb.com.tw/house/2504639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</si>
  <si>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</si>
  <si>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https://www.houseweb.com.tw/house/2457012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</si>
  <si>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</si>
  <si>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https://www.houseweb.com.tw/house/2664165</t>
  </si>
  <si>
    <t xml:space="preserve">https://www.houseweb.com.tw/house/2611327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</si>
  <si>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</si>
  <si>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</si>
  <si>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</si>
  <si>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</si>
  <si>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</si>
  <si>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</si>
  <si>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</si>
  <si>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</si>
  <si>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</si>
  <si>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</si>
  <si>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</si>
  <si>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</si>
  <si>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</si>
  <si>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</si>
  <si>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</si>
  <si>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</si>
  <si>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</si>
  <si>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</si>
  <si>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</si>
  <si>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</si>
  <si>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</si>
  <si>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</si>
  <si>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</si>
  <si>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</si>
  <si>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</si>
  <si>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</si>
  <si>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</si>
  <si>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https://www.sinyi.com.tw/rent/houseno/CZ05290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</si>
  <si>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</si>
  <si>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</si>
  <si>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</si>
  <si>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</si>
  <si>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</si>
  <si>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</si>
  <si>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</si>
  <si>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</si>
  <si>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</si>
  <si>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</si>
  <si>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</si>
  <si>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</si>
  <si>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</si>
  <si>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</si>
  <si>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</si>
  <si>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</si>
  <si>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</si>
  <si>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</si>
  <si>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</si>
  <si>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</si>
  <si>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</si>
  <si>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</si>
  <si>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</si>
  <si>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</si>
  <si>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</si>
  <si>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</si>
  <si>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</si>
  <si>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</si>
  <si>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</si>
  <si>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</si>
  <si>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</si>
  <si>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</si>
  <si>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</si>
  <si>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</si>
  <si>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</si>
  <si>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</si>
  <si>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</si>
  <si>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</si>
  <si>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</si>
  <si>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</si>
  <si>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</si>
  <si>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</si>
  <si>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</si>
  <si>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</si>
  <si>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</si>
  <si>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</si>
  <si>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</si>
  <si>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</si>
  <si>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</si>
  <si>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</si>
  <si>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</si>
  <si>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</si>
  <si>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</si>
  <si>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</si>
  <si>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</si>
  <si>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</si>
  <si>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</si>
  <si>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</si>
  <si>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</si>
  <si>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</si>
  <si>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</si>
  <si>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</si>
  <si>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</si>
  <si>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</si>
  <si>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</si>
  <si>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</si>
  <si>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</si>
  <si>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</si>
  <si>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</si>
  <si>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https://www.sinyi.com.tw/rent/houseno/C351775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</si>
  <si>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</si>
  <si>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</si>
  <si>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</si>
  <si>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</si>
  <si>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</si>
  <si>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</si>
  <si>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</si>
  <si>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</si>
  <si>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</si>
  <si>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</si>
  <si>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</si>
  <si>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</si>
  <si>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</si>
  <si>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</si>
  <si>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</si>
  <si>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</si>
  <si>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</si>
  <si>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</si>
  <si>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</si>
  <si>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</si>
  <si>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</si>
  <si>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</si>
  <si>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</si>
  <si>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https://www.sinyi.com.tw/rent/houseno/CZ05572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</si>
  <si>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</si>
  <si>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</si>
  <si>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</si>
  <si>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https://www.sinyi.com.tw/rent/houseno/CZ05228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</si>
  <si>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</si>
  <si>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</si>
  <si>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https://www.sinyi.com.tw/rent/houseno/CZ05491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</si>
  <si>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</si>
  <si>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</si>
  <si>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</si>
  <si>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</si>
  <si>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</si>
  <si>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</si>
  <si>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</si>
  <si>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</si>
  <si>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</si>
  <si>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https://www.sinyi.com.tw/rent/houseno/C355686</t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</si>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</sst>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Z05326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328671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905199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5587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Z03701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346398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Z05585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904707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60646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48029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sinyi.com.tw/rent/houseno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.com.tw/rent/houseno/CZ05572" TargetMode="External"/><Relationship Id="rId49" Type="http://schemas.openxmlformats.org/officeDocument/2006/relationships/hyperlink" Target="https://www.sinyi.com.tw/rent/houseno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.com.tw/rent/houseno/CZ05326" TargetMode="External"/><Relationship Id="rId69" Type="http://schemas.openxmlformats.org/officeDocument/2006/relationships/hyperlink" Target="https://www.sinyi.com.tw/rent/houseno/CZ05326" TargetMode="External"/><Relationship Id="rId70" Type="http://schemas.openxmlformats.org/officeDocument/2006/relationships/hyperlink" Target="https://www.sinyi.com.tw/rent/houseno/C328671" TargetMode="External"/><Relationship Id="rId71" Type="http://schemas.openxmlformats.org/officeDocument/2006/relationships/hyperlink" Target="https://www.sinyi.com.tw/rent/houseno/C328671" TargetMode="External"/><Relationship Id="rId72" Type="http://schemas.openxmlformats.org/officeDocument/2006/relationships/hyperlink" Target="https://www.sinyi.com.tw/rent/houseno/C905199" TargetMode="External"/><Relationship Id="rId73" Type="http://schemas.openxmlformats.org/officeDocument/2006/relationships/hyperlink" Target="https://www.sinyi.com.tw/rent/houseno/C905199" TargetMode="External"/><Relationship Id="rId74" Type="http://schemas.openxmlformats.org/officeDocument/2006/relationships/hyperlink" Target="https://www.sinyi.com.tw/rent/houseno/CZ05587" TargetMode="External"/><Relationship Id="rId75" Type="http://schemas.openxmlformats.org/officeDocument/2006/relationships/hyperlink" Target="https://www.sinyi.com.tw/rent/houseno/CZ05587" TargetMode="External"/><Relationship Id="rId76" Type="http://schemas.openxmlformats.org/officeDocument/2006/relationships/hyperlink" Target="https://www.sinyi.com.tw/rent/houseno/CZ03701" TargetMode="External"/><Relationship Id="rId77" Type="http://schemas.openxmlformats.org/officeDocument/2006/relationships/hyperlink" Target="https://www.sinyi.com.tw/rent/houseno/CZ03701" TargetMode="External"/><Relationship Id="rId78" Type="http://schemas.openxmlformats.org/officeDocument/2006/relationships/hyperlink" Target="https://www.sinyi.com.tw/rent/houseno/C346398" TargetMode="External"/><Relationship Id="rId79" Type="http://schemas.openxmlformats.org/officeDocument/2006/relationships/hyperlink" Target="https://www.sinyi.com.tw/rent/houseno/C346398" TargetMode="External"/><Relationship Id="rId80" Type="http://schemas.openxmlformats.org/officeDocument/2006/relationships/hyperlink" Target="https://www.sinyi.com.tw/rent/houseno/CZ05585" TargetMode="External"/><Relationship Id="rId81" Type="http://schemas.openxmlformats.org/officeDocument/2006/relationships/hyperlink" Target="https://www.sinyi.com.tw/rent/houseno/CZ05585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www.sinyi.com.tw/rent/houseno/C904707" TargetMode="External"/><Relationship Id="rId84" Type="http://schemas.openxmlformats.org/officeDocument/2006/relationships/hyperlink" Target="https://www.sinyi.com.tw/rent/houseno/C360646" TargetMode="External"/><Relationship Id="rId85" Type="http://schemas.openxmlformats.org/officeDocument/2006/relationships/hyperlink" Target="https://www.sinyi.com.tw/rent/houseno/C360646" TargetMode="External"/><Relationship Id="rId86" Type="http://schemas.openxmlformats.org/officeDocument/2006/relationships/hyperlink" Target="https://www.sinyi.com.tw/rent/houseno/C348029" TargetMode="External"/><Relationship Id="rId87" Type="http://schemas.openxmlformats.org/officeDocument/2006/relationships/hyperlink" Target="https://www.sinyi.com.tw/rent/houseno/C348029" TargetMode="External"/><Relationship Id="rId88" Type="http://schemas.openxmlformats.org/officeDocument/2006/relationships/hyperlink" Target="https://www.sinyi.com.tw/rent/houseno/C360351" TargetMode="External"/><Relationship Id="rId89" Type="http://schemas.openxmlformats.org/officeDocument/2006/relationships/hyperlink" Target="https://www.sinyi.com.tw/rent/houseno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85" TargetMode="External"/><Relationship Id="rId4" Type="http://schemas.openxmlformats.org/officeDocument/2006/relationships/hyperlink" Target="https://www.sinyi.com.tw/rent/houseno/CZ05585" TargetMode="External"/><Relationship Id="rId5" Type="http://schemas.openxmlformats.org/officeDocument/2006/relationships/hyperlink" Target="https://www.sinyi.com.tw/rent/houseno/C905199" TargetMode="External"/><Relationship Id="rId6" Type="http://schemas.openxmlformats.org/officeDocument/2006/relationships/hyperlink" Target="https://www.sinyi.com.tw/rent/houseno/C905199" TargetMode="External"/><Relationship Id="rId7" Type="http://schemas.openxmlformats.org/officeDocument/2006/relationships/hyperlink" Target="https://www.sinyi.com.tw/rent/houseno/CZ05587" TargetMode="External"/><Relationship Id="rId8" Type="http://schemas.openxmlformats.org/officeDocument/2006/relationships/hyperlink" Target="https://www.sinyi.com.tw/rent/houseno/CZ05587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rent.yungching.com.tw/region/house/2358272?pc=0916263633" TargetMode="External"/><Relationship Id="rId12" Type="http://schemas.openxmlformats.org/officeDocument/2006/relationships/hyperlink" Target="https://rent.yungching.com.tw/region/house/2358272?pc=0916263633" TargetMode="External"/><Relationship Id="rId13" Type="http://schemas.openxmlformats.org/officeDocument/2006/relationships/hyperlink" Target="https://kevinashowtimes-web.github.io/showtime-office-dashboard/JE_J12_zhongding_2F.pdf" TargetMode="External"/><Relationship Id="rId14" Type="http://schemas.openxmlformats.org/officeDocument/2006/relationships/hyperlink" Target="https://kevinashowtimes-web.github.io/showtime-office-dashboard/JE_J12_zhongding_2F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www.sinyi.com.tw/rent/houseno/C328671" TargetMode="External"/><Relationship Id="rId18" Type="http://schemas.openxmlformats.org/officeDocument/2006/relationships/hyperlink" Target="https://www.sinyi.com.tw/rent/houseno/C328671" TargetMode="External"/><Relationship Id="rId19" Type="http://schemas.openxmlformats.org/officeDocument/2006/relationships/hyperlink" Target="https://www.houseweb.com.tw/house/2653888" TargetMode="External"/><Relationship Id="rId20" Type="http://schemas.openxmlformats.org/officeDocument/2006/relationships/hyperlink" Target="https://www.houseweb.com.tw/house/2653888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07_honglin_10F-2.pdf" TargetMode="External"/><Relationship Id="rId24" Type="http://schemas.openxmlformats.org/officeDocument/2006/relationships/hyperlink" Target="https://kevinashowtimes-web.github.io/showtime-office-dashboard/JE_J07_honglin_10F-2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www.houseweb.com.tw/house/1506073" TargetMode="External"/><Relationship Id="rId32" Type="http://schemas.openxmlformats.org/officeDocument/2006/relationships/hyperlink" Target="https://www.houseweb.com.tw/house/1506073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kevinashowtimes-web.github.io/showtime-office-dashboard/?case=f" TargetMode="External"/><Relationship Id="rId36" Type="http://schemas.openxmlformats.org/officeDocument/2006/relationships/hyperlink" Target="https://kevinashowtimes-web.github.io/showtime-office-dashboard/?case=f" TargetMode="External"/><Relationship Id="rId37" Type="http://schemas.openxmlformats.org/officeDocument/2006/relationships/hyperlink" Target="https://kevinashowtimes-web.github.io/showtime-office-dashboard/JE_list_J01-J18.pdf" TargetMode="External"/><Relationship Id="rId38" Type="http://schemas.openxmlformats.org/officeDocument/2006/relationships/hyperlink" Target="https://kevinashowtimes-web.github.io/showtime-office-dashboard/JE_list_J01-J18.pdf" TargetMode="External"/><Relationship Id="rId39" Type="http://schemas.openxmlformats.org/officeDocument/2006/relationships/hyperlink" Target="https://kevinashowtimes-web.github.io/showtime-office-dashboard/JE_J16_zhongying_bade_2F.pdf" TargetMode="External"/><Relationship Id="rId40" Type="http://schemas.openxmlformats.org/officeDocument/2006/relationships/hyperlink" Target="https://kevinashowtimes-web.github.io/showtime-office-dashboard/JE_J16_zhongying_bade_2F.pdf" TargetMode="External"/><Relationship Id="rId41" Type="http://schemas.openxmlformats.org/officeDocument/2006/relationships/hyperlink" Target="https://www.houseweb.com.tw/house/2457012" TargetMode="External"/><Relationship Id="rId42" Type="http://schemas.openxmlformats.org/officeDocument/2006/relationships/hyperlink" Target="https://www.houseweb.com.tw/house/2457012" TargetMode="External"/><Relationship Id="rId43" Type="http://schemas.openxmlformats.org/officeDocument/2006/relationships/hyperlink" Target="https://www.sinyi.com.tw/rent/houseno/CZ03701" TargetMode="External"/><Relationship Id="rId44" Type="http://schemas.openxmlformats.org/officeDocument/2006/relationships/hyperlink" Target="https://www.sinyi.com.tw/rent/houseno/CZ03701" TargetMode="External"/><Relationship Id="rId45" Type="http://schemas.openxmlformats.org/officeDocument/2006/relationships/hyperlink" Target="https://www.houseweb.com.tw/house/2504639" TargetMode="External"/><Relationship Id="rId46" Type="http://schemas.openxmlformats.org/officeDocument/2006/relationships/hyperlink" Target="https://www.houseweb.com.tw/house/2504639" TargetMode="External"/><Relationship Id="rId47" Type="http://schemas.openxmlformats.org/officeDocument/2006/relationships/hyperlink" Target="https://rent.yungching.com.tw/region/house/2373308?pc=0916263633" TargetMode="External"/><Relationship Id="rId48" Type="http://schemas.openxmlformats.org/officeDocument/2006/relationships/hyperlink" Target="https://rent.yungching.com.tw/region/house/2373308?pc=0916263633" TargetMode="External"/><Relationship Id="rId49" Type="http://schemas.openxmlformats.org/officeDocument/2006/relationships/hyperlink" Target="https://www.houseweb.com.tw/house/2567826" TargetMode="External"/><Relationship Id="rId50" Type="http://schemas.openxmlformats.org/officeDocument/2006/relationships/hyperlink" Target="https://www.houseweb.com.tw/house/2567826" TargetMode="External"/><Relationship Id="rId51" Type="http://schemas.openxmlformats.org/officeDocument/2006/relationships/hyperlink" Target="https://www.houseweb.com.tw/house/2611327" TargetMode="External"/><Relationship Id="rId52" Type="http://schemas.openxmlformats.org/officeDocument/2006/relationships/hyperlink" Target="https://www.houseweb.com.tw/house/2611327" TargetMode="External"/><Relationship Id="rId53" Type="http://schemas.openxmlformats.org/officeDocument/2006/relationships/hyperlink" Target="https://www.houseweb.com.tw/house/2650465" TargetMode="External"/><Relationship Id="rId54" Type="http://schemas.openxmlformats.org/officeDocument/2006/relationships/hyperlink" Target="https://www.houseweb.com.tw/house/2650465" TargetMode="External"/><Relationship Id="rId55" Type="http://schemas.openxmlformats.org/officeDocument/2006/relationships/hyperlink" Target="https://www.houseweb.com.tw/house/2653863" TargetMode="External"/><Relationship Id="rId56" Type="http://schemas.openxmlformats.org/officeDocument/2006/relationships/hyperlink" Target="https://www.houseweb.com.tw/house/2653863" TargetMode="External"/><Relationship Id="rId57" Type="http://schemas.openxmlformats.org/officeDocument/2006/relationships/hyperlink" Target="https://buy.housefun.com.tw/buy/building/9278" TargetMode="External"/><Relationship Id="rId58" Type="http://schemas.openxmlformats.org/officeDocument/2006/relationships/hyperlink" Target="https://buy.housefun.com.tw/buy/building/9278" TargetMode="External"/><Relationship Id="rId59" Type="http://schemas.openxmlformats.org/officeDocument/2006/relationships/hyperlink" Target="https://www.sinyi.com.tw/rent/houseno/C348029" TargetMode="External"/><Relationship Id="rId60" Type="http://schemas.openxmlformats.org/officeDocument/2006/relationships/hyperlink" Target="https://www.sinyi.com.tw/rent/houseno/C348029" TargetMode="External"/><Relationship Id="rId61" Type="http://schemas.openxmlformats.org/officeDocument/2006/relationships/hyperlink" Target="https://kevinashowtimes-web.github.io/showtime-office-dashboard/JE_list_J01-J18.pdf" TargetMode="External"/><Relationship Id="rId62" Type="http://schemas.openxmlformats.org/officeDocument/2006/relationships/hyperlink" Target="https://kevinashowtimes-web.github.io/showtime-office-dashboard/JE_list_J01-J18.pdf" TargetMode="External"/><Relationship Id="rId63" Type="http://schemas.openxmlformats.org/officeDocument/2006/relationships/hyperlink" Target="https://www.sinyi.com.tw/rent/houseno/C360646" TargetMode="External"/><Relationship Id="rId64" Type="http://schemas.openxmlformats.org/officeDocument/2006/relationships/hyperlink" Target="https://www.sinyi.com.tw/rent/houseno/C360646" TargetMode="External"/><Relationship Id="rId65" Type="http://schemas.openxmlformats.org/officeDocument/2006/relationships/hyperlink" Target="https://www.sinyi.com.tw/rent/houseno/C904707" TargetMode="External"/><Relationship Id="rId66" Type="http://schemas.openxmlformats.org/officeDocument/2006/relationships/hyperlink" Target="https://www.sinyi.com.tw/rent/houseno/C904707" TargetMode="External"/><Relationship Id="rId67" Type="http://schemas.openxmlformats.org/officeDocument/2006/relationships/hyperlink" Target="https://www.sinyi.com.tw/communitylist/communityinfo/0008197" TargetMode="External"/><Relationship Id="rId68" Type="http://schemas.openxmlformats.org/officeDocument/2006/relationships/hyperlink" Target="https://www.sinyi.com.tw/communitylist/communityinfo/0008197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sinyi.com.tw/rent/houseno/CZ05572" TargetMode="External"/><Relationship Id="rId72" Type="http://schemas.openxmlformats.org/officeDocument/2006/relationships/hyperlink" Target="https://www.sinyi.com.tw/rent/houseno/CZ05572" TargetMode="External"/><Relationship Id="rId73" Type="http://schemas.openxmlformats.org/officeDocument/2006/relationships/hyperlink" Target="https://kevinashowtimes-web.github.io/showtime-office-dashboard/JE_J15_zhongding_22F.pdf" TargetMode="External"/><Relationship Id="rId74" Type="http://schemas.openxmlformats.org/officeDocument/2006/relationships/hyperlink" Target="https://kevinashowtimes-web.github.io/showtime-office-dashboard/JE_J15_zhongding_22F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www.sinyi.com.tw/rent/houseno/CZ05326" TargetMode="External"/><Relationship Id="rId78" Type="http://schemas.openxmlformats.org/officeDocument/2006/relationships/hyperlink" Target="https://www.sinyi.com.tw/rent/houseno/CZ05326" TargetMode="External"/><Relationship Id="rId79" Type="http://schemas.openxmlformats.org/officeDocument/2006/relationships/hyperlink" Target="https://business.591.com.tw/rent/21856432" TargetMode="External"/><Relationship Id="rId80" Type="http://schemas.openxmlformats.org/officeDocument/2006/relationships/hyperlink" Target="https://business.591.com.tw/rent/21856432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www.houseweb.com.tw/house/2653888" TargetMode="External"/><Relationship Id="rId84" Type="http://schemas.openxmlformats.org/officeDocument/2006/relationships/hyperlink" Target="https://www.houseweb.com.tw/house/2653888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www.houseweb.com.tw/house/2664165" TargetMode="External"/><Relationship Id="rId94" Type="http://schemas.openxmlformats.org/officeDocument/2006/relationships/hyperlink" Target="https://www.houseweb.com.tw/house/2664165" TargetMode="External"/><Relationship Id="rId95" Type="http://schemas.openxmlformats.org/officeDocument/2006/relationships/hyperlink" Target="https://www.houseweb.com.tw/house/2581969" TargetMode="External"/><Relationship Id="rId96" Type="http://schemas.openxmlformats.org/officeDocument/2006/relationships/hyperlink" Target="https://www.houseweb.com.tw/house/2581969" TargetMode="External"/><Relationship Id="rId97" Type="http://schemas.openxmlformats.org/officeDocument/2006/relationships/hyperlink" Target="https://www.sinyi.com.tw/rent/houseno/C360351" TargetMode="External"/><Relationship Id="rId98" Type="http://schemas.openxmlformats.org/officeDocument/2006/relationships/hyperlink" Target="https://www.sinyi.com.tw/rent/houseno/C360351" TargetMode="External"/><Relationship Id="rId99" Type="http://schemas.openxmlformats.org/officeDocument/2006/relationships/hyperlink" Target="https://www.sinyi.com.tw/rent/houseno/C346398" TargetMode="External"/><Relationship Id="rId100" Type="http://schemas.openxmlformats.org/officeDocument/2006/relationships/hyperlink" Target="https://www.sinyi.com.tw/rent/houseno/C346398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kevinashowtimes-web.github.io/showtime-office-dashboard/?case=f" TargetMode="External"/><Relationship Id="rId4" Type="http://schemas.openxmlformats.org/officeDocument/2006/relationships/hyperlink" Target="https://kevinashowtimes-web.github.io/showtime-office-dashboard/?case=f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www.sinyiglobal.com/rental/C355686" TargetMode="External"/><Relationship Id="rId10" Type="http://schemas.openxmlformats.org/officeDocument/2006/relationships/hyperlink" Target="https://www.sinyiglobal.com/rental/C355686" TargetMode="External"/><Relationship Id="rId11" Type="http://schemas.openxmlformats.org/officeDocument/2006/relationships/hyperlink" Target="https://www.sinyi.com.tw/rent/houseno/CZ05587" TargetMode="External"/><Relationship Id="rId12" Type="http://schemas.openxmlformats.org/officeDocument/2006/relationships/hyperlink" Target="https://www.sinyi.com.tw/rent/houseno/CZ05587" TargetMode="External"/><Relationship Id="rId13" Type="http://schemas.openxmlformats.org/officeDocument/2006/relationships/hyperlink" Target="https://kevinashowtimes-web.github.io/showtime-office-dashboard/JE_list_J01-J18.pdf" TargetMode="External"/><Relationship Id="rId14" Type="http://schemas.openxmlformats.org/officeDocument/2006/relationships/hyperlink" Target="https://kevinashowtimes-web.github.io/showtime-office-dashboard/JE_list_J01-J18.pdf" TargetMode="External"/><Relationship Id="rId15" Type="http://schemas.openxmlformats.org/officeDocument/2006/relationships/hyperlink" Target="https://rent.yungching.com.tw/region/house/2373308?pc=0916263633" TargetMode="External"/><Relationship Id="rId16" Type="http://schemas.openxmlformats.org/officeDocument/2006/relationships/hyperlink" Target="https://rent.yungching.com.tw/region/house/2373308?pc=0916263633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houseweb.com.tw/house/2567826" TargetMode="External"/><Relationship Id="rId20" Type="http://schemas.openxmlformats.org/officeDocument/2006/relationships/hyperlink" Target="https://www.houseweb.com.tw/house/2567826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houseweb.com.tw/house/2653888" TargetMode="External"/><Relationship Id="rId26" Type="http://schemas.openxmlformats.org/officeDocument/2006/relationships/hyperlink" Target="https://www.houseweb.com.tw/house/2653888" TargetMode="External"/><Relationship Id="rId27" Type="http://schemas.openxmlformats.org/officeDocument/2006/relationships/hyperlink" Target="https://www.houseweb.com.tw/house/2653888" TargetMode="External"/><Relationship Id="rId28" Type="http://schemas.openxmlformats.org/officeDocument/2006/relationships/hyperlink" Target="https://www.houseweb.com.tw/house/2653888" TargetMode="External"/><Relationship Id="rId29" Type="http://schemas.openxmlformats.org/officeDocument/2006/relationships/hyperlink" Target="https://www.sinyi.com.tw/rent/houseno/CZ05326" TargetMode="External"/><Relationship Id="rId30" Type="http://schemas.openxmlformats.org/officeDocument/2006/relationships/hyperlink" Target="https://www.sinyi.com.tw/rent/houseno/CZ05326" TargetMode="External"/><Relationship Id="rId31" Type="http://schemas.openxmlformats.org/officeDocument/2006/relationships/hyperlink" Target="https://www.sinyi.com.tw/rent/houseno/C905199" TargetMode="External"/><Relationship Id="rId32" Type="http://schemas.openxmlformats.org/officeDocument/2006/relationships/hyperlink" Target="https://www.sinyi.com.tw/rent/houseno/C905199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www.sinyi.com.tw/rent/houseno/C360351" TargetMode="External"/><Relationship Id="rId36" Type="http://schemas.openxmlformats.org/officeDocument/2006/relationships/hyperlink" Target="https://www.sinyi.com.tw/rent/houseno/C360351" TargetMode="External"/><Relationship Id="rId37" Type="http://schemas.openxmlformats.org/officeDocument/2006/relationships/hyperlink" Target="https://www.houseweb.com.tw/house/2611327" TargetMode="External"/><Relationship Id="rId38" Type="http://schemas.openxmlformats.org/officeDocument/2006/relationships/hyperlink" Target="https://www.houseweb.com.tw/house/2611327" TargetMode="External"/><Relationship Id="rId39" Type="http://schemas.openxmlformats.org/officeDocument/2006/relationships/hyperlink" Target="https://www.houseweb.com.tw/house/2653863" TargetMode="External"/><Relationship Id="rId40" Type="http://schemas.openxmlformats.org/officeDocument/2006/relationships/hyperlink" Target="https://www.houseweb.com.tw/house/2653863" TargetMode="External"/><Relationship Id="rId41" Type="http://schemas.openxmlformats.org/officeDocument/2006/relationships/hyperlink" Target="https://www.sinyi.com.tw/rent/houseno/C328671" TargetMode="External"/><Relationship Id="rId42" Type="http://schemas.openxmlformats.org/officeDocument/2006/relationships/hyperlink" Target="https://www.sinyi.com.tw/rent/houseno/C328671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www.sinyi.com.tw/rent/houseno/CZ03701" TargetMode="External"/><Relationship Id="rId46" Type="http://schemas.openxmlformats.org/officeDocument/2006/relationships/hyperlink" Target="https://www.sinyi.com.tw/rent/houseno/CZ03701" TargetMode="External"/><Relationship Id="rId47" Type="http://schemas.openxmlformats.org/officeDocument/2006/relationships/hyperlink" Target="https://www.sinyi.com.tw/rent/houseno/CZ05585" TargetMode="External"/><Relationship Id="rId48" Type="http://schemas.openxmlformats.org/officeDocument/2006/relationships/hyperlink" Target="https://www.sinyi.com.tw/rent/houseno/CZ05585" TargetMode="External"/><Relationship Id="rId49" Type="http://schemas.openxmlformats.org/officeDocument/2006/relationships/hyperlink" Target="https://kevinashowtimes-web.github.io/showtime-office-dashboard/JE_J12_zhongding_2F.pdf" TargetMode="External"/><Relationship Id="rId50" Type="http://schemas.openxmlformats.org/officeDocument/2006/relationships/hyperlink" Target="https://kevinashowtimes-web.github.io/showtime-office-dashboard/JE_J12_zhongding_2F.pdf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kevinashowtimes-web.github.io/showtime-office-dashboard/JE_list_J01-J18.pdf" TargetMode="External"/><Relationship Id="rId54" Type="http://schemas.openxmlformats.org/officeDocument/2006/relationships/hyperlink" Target="https://kevinashowtimes-web.github.io/showtime-office-dashboard/JE_list_J01-J18.pdf" TargetMode="External"/><Relationship Id="rId55" Type="http://schemas.openxmlformats.org/officeDocument/2006/relationships/hyperlink" Target="https://kevinashowtimes-web.github.io/showtime-office-dashboard/JE_list_J01-J18.pdf" TargetMode="External"/><Relationship Id="rId56" Type="http://schemas.openxmlformats.org/officeDocument/2006/relationships/hyperlink" Target="https://kevinashowtimes-web.github.io/showtime-office-dashboard/JE_list_J01-J18.pdf" TargetMode="External"/><Relationship Id="rId57" Type="http://schemas.openxmlformats.org/officeDocument/2006/relationships/hyperlink" Target="https://kevinashowtimes-web.github.io/showtime-office-dashboard/JE_J07_honglin_10F-2.pdf" TargetMode="External"/><Relationship Id="rId58" Type="http://schemas.openxmlformats.org/officeDocument/2006/relationships/hyperlink" Target="https://kevinashowtimes-web.github.io/showtime-office-dashboard/JE_J07_honglin_10F-2.pdf" TargetMode="External"/><Relationship Id="rId59" Type="http://schemas.openxmlformats.org/officeDocument/2006/relationships/hyperlink" Target="https://www.houseweb.com.tw/house/1506073" TargetMode="External"/><Relationship Id="rId60" Type="http://schemas.openxmlformats.org/officeDocument/2006/relationships/hyperlink" Target="https://www.houseweb.com.tw/house/1506073" TargetMode="External"/><Relationship Id="rId61" Type="http://schemas.openxmlformats.org/officeDocument/2006/relationships/hyperlink" Target="https://www.houseweb.com.tw/house/2581969" TargetMode="External"/><Relationship Id="rId62" Type="http://schemas.openxmlformats.org/officeDocument/2006/relationships/hyperlink" Target="https://www.houseweb.com.tw/house/2581969" TargetMode="External"/><Relationship Id="rId63" Type="http://schemas.openxmlformats.org/officeDocument/2006/relationships/hyperlink" Target="https://www.houseweb.com.tw/house/2504639" TargetMode="External"/><Relationship Id="rId64" Type="http://schemas.openxmlformats.org/officeDocument/2006/relationships/hyperlink" Target="https://www.houseweb.com.tw/house/2504639" TargetMode="External"/><Relationship Id="rId65" Type="http://schemas.openxmlformats.org/officeDocument/2006/relationships/hyperlink" Target="https://kevinashowtimes-web.github.io/showtime-office-dashboard/JE_J15_zhongding_22F.pdf" TargetMode="External"/><Relationship Id="rId66" Type="http://schemas.openxmlformats.org/officeDocument/2006/relationships/hyperlink" Target="https://kevinashowtimes-web.github.io/showtime-office-dashboard/JE_J15_zhongding_22F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664165" TargetMode="External"/><Relationship Id="rId72" Type="http://schemas.openxmlformats.org/officeDocument/2006/relationships/hyperlink" Target="https://www.houseweb.com.tw/house/2664165" TargetMode="External"/><Relationship Id="rId73" Type="http://schemas.openxmlformats.org/officeDocument/2006/relationships/hyperlink" Target="https://buy.housefun.com.tw/buy/building/9278" TargetMode="External"/><Relationship Id="rId74" Type="http://schemas.openxmlformats.org/officeDocument/2006/relationships/hyperlink" Target="https://buy.housefun.com.tw/buy/building/9278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.com.tw/communitylist/communityinfo/0008197" TargetMode="External"/><Relationship Id="rId80" Type="http://schemas.openxmlformats.org/officeDocument/2006/relationships/hyperlink" Target="https://www.sinyi.com.tw/communitylist/communityinfo/0008197" TargetMode="External"/><Relationship Id="rId81" Type="http://schemas.openxmlformats.org/officeDocument/2006/relationships/hyperlink" Target="https://www.sinyi.com.tw/rent/houseno/C904707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www.houseweb.com.tw/house/2457012" TargetMode="External"/><Relationship Id="rId90" Type="http://schemas.openxmlformats.org/officeDocument/2006/relationships/hyperlink" Target="https://www.houseweb.com.tw/house/2457012" TargetMode="External"/><Relationship Id="rId91" Type="http://schemas.openxmlformats.org/officeDocument/2006/relationships/hyperlink" Target="https://www.sinyi.com.tw/rent/houseno/C360646" TargetMode="External"/><Relationship Id="rId92" Type="http://schemas.openxmlformats.org/officeDocument/2006/relationships/hyperlink" Target="https://www.sinyi.com.tw/rent/houseno/C360646" TargetMode="External"/><Relationship Id="rId93" Type="http://schemas.openxmlformats.org/officeDocument/2006/relationships/hyperlink" Target="https://www.sinyi.com.tw/rent/houseno/C346398" TargetMode="External"/><Relationship Id="rId94" Type="http://schemas.openxmlformats.org/officeDocument/2006/relationships/hyperlink" Target="https://www.sinyi.com.tw/rent/houseno/C346398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www.sinyi.com.tw/rent/houseno/C348029" TargetMode="External"/><Relationship Id="rId98" Type="http://schemas.openxmlformats.org/officeDocument/2006/relationships/hyperlink" Target="https://www.sinyi.com.tw/rent/houseno/C348029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.com.tw/rent/houseno/CZ05326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328671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905199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Z05587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3701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346398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Z05585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904707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360646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48029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60351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290" TargetMode="External"/><Relationship Id="rId4" Type="http://schemas.openxmlformats.org/officeDocument/2006/relationships/hyperlink" Target="https://www.sinyi.com.tw/rent/houseno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.com.tw/rent/houseno/C351775" TargetMode="External"/><Relationship Id="rId42" Type="http://schemas.openxmlformats.org/officeDocument/2006/relationships/hyperlink" Target="https://www.sinyi.com.tw/rent/houseno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.com.tw/rent/houseno/CZ05572" TargetMode="External"/><Relationship Id="rId58" Type="http://schemas.openxmlformats.org/officeDocument/2006/relationships/hyperlink" Target="https://www.sinyi.com.tw/rent/houseno/CZ05572" TargetMode="External"/><Relationship Id="rId59" Type="http://schemas.openxmlformats.org/officeDocument/2006/relationships/hyperlink" Target="https://www.sinyi.com.tw/rent/houseno/CZ05228" TargetMode="External"/><Relationship Id="rId60" Type="http://schemas.openxmlformats.org/officeDocument/2006/relationships/hyperlink" Target="https://www.sinyi.com.tw/rent/houseno/CZ05228" TargetMode="External"/><Relationship Id="rId61" Type="http://schemas.openxmlformats.org/officeDocument/2006/relationships/hyperlink" Target="https://www.sinyi.com.tw/rent/houseno/CZ05491" TargetMode="External"/><Relationship Id="rId62" Type="http://schemas.openxmlformats.org/officeDocument/2006/relationships/hyperlink" Target="https://www.sinyi.com.tw/rent/houseno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.com.tw/rent/houseno/C355686" TargetMode="External"/><Relationship Id="rId70" Type="http://schemas.openxmlformats.org/officeDocument/2006/relationships/hyperlink" Target="https://www.sinyi.com.tw/rent/houseno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www.sinyi.com.tw/rent/houseno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.com.tw/rent/houseno/C905199" TargetMode="External"/><Relationship Id="rId50" Type="http://schemas.openxmlformats.org/officeDocument/2006/relationships/hyperlink" Target="https://www.sinyi.com.tw/rent/houseno/C905199" TargetMode="External"/><Relationship Id="rId51" Type="http://schemas.openxmlformats.org/officeDocument/2006/relationships/hyperlink" Target="https://www.sinyi.com.tw/rent/houseno/CZ05587" TargetMode="External"/><Relationship Id="rId52" Type="http://schemas.openxmlformats.org/officeDocument/2006/relationships/hyperlink" Target="https://www.sinyi.com.tw/rent/houseno/CZ05587" TargetMode="External"/><Relationship Id="rId53" Type="http://schemas.openxmlformats.org/officeDocument/2006/relationships/hyperlink" Target="https://www.sinyi.com.tw/rent/houseno/C328671" TargetMode="External"/><Relationship Id="rId54" Type="http://schemas.openxmlformats.org/officeDocument/2006/relationships/hyperlink" Target="https://www.sinyi.com.tw/rent/houseno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國際站 本戶·14張照片（備用：www.sinyi.com.tw/rent/houseno/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.com.tw/rent/houseno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國際站 本戶·14張照片（備用：www.sinyi.com.tw/rent/houseno/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.com.tw/rent/houseno/CZ05326"/>
    <hyperlink ref="O42" r:id="rId69" display="信義 本戶·21張照片（CZ05326）"/>
    <hyperlink ref="B43" r:id="rId70" display="https://www.sinyi.com.tw/rent/houseno/C328671"/>
    <hyperlink ref="O43" r:id="rId71" display="信義 本戶·19張照片（C328671）"/>
    <hyperlink ref="B44" r:id="rId72" display="https://www.sinyi.com.tw/rent/houseno/C905199"/>
    <hyperlink ref="O44" r:id="rId73" display="信義 本戶·16張照片（C905199）"/>
    <hyperlink ref="B45" r:id="rId74" display="https://www.sinyi.com.tw/rent/houseno/CZ05587"/>
    <hyperlink ref="O45" r:id="rId75" display="信義 本戶·9張照片（CZ05587）"/>
    <hyperlink ref="B46" r:id="rId76" display="https://www.sinyi.com.tw/rent/houseno/CZ03701"/>
    <hyperlink ref="O46" r:id="rId77" display="信義 本戶·12張照片（CZ03701）"/>
    <hyperlink ref="B47" r:id="rId78" display="https://www.sinyi.com.tw/rent/houseno/C346398"/>
    <hyperlink ref="O47" r:id="rId79" display="信義 本戶·12張照片（C346398）"/>
    <hyperlink ref="B48" r:id="rId80" display="https://www.sinyi.com.tw/rent/houseno/CZ05585"/>
    <hyperlink ref="O48" r:id="rId81" display="信義 本戶（CZ05585）"/>
    <hyperlink ref="B49" r:id="rId82" display="https://www.sinyi.com.tw/rent/houseno/C904707"/>
    <hyperlink ref="O49" r:id="rId83" display="信義 本戶（C904707）"/>
    <hyperlink ref="B50" r:id="rId84" display="https://www.sinyi.com.tw/rent/houseno/C360646"/>
    <hyperlink ref="O50" r:id="rId85" display="信義 本戶（C360646）"/>
    <hyperlink ref="B51" r:id="rId86" display="https://www.sinyi.com.tw/rent/houseno/C348029"/>
    <hyperlink ref="O51" r:id="rId87" display="信義 本戶·5張照片（C348029）"/>
    <hyperlink ref="B52" r:id="rId88" display="https://www.sinyi.com.tw/rent/houseno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25</v>
      </c>
      <c r="D5" s="34" t="s">
        <v>26</v>
      </c>
      <c r="E5" s="35" t="s">
        <v>27</v>
      </c>
      <c r="F5" s="7" t="s">
        <v>28</v>
      </c>
      <c r="G5" s="4" t="s">
        <v>29</v>
      </c>
      <c r="H5" s="8" t="n">
        <v>220.81</v>
      </c>
      <c r="I5" s="8" t="n">
        <v>189.32</v>
      </c>
      <c r="J5" s="9" t="n">
        <v>0.1429</v>
      </c>
      <c r="K5" s="10" t="n">
        <v>420000</v>
      </c>
      <c r="L5" s="7" t="s">
        <v>268</v>
      </c>
      <c r="M5" s="10" t="n">
        <v>30913</v>
      </c>
      <c r="N5" s="10" t="n">
        <v>0</v>
      </c>
      <c r="O5" s="7" t="s">
        <v>30</v>
      </c>
      <c r="P5" s="36" t="n">
        <f aca="false">K5+IF(ISNUMBER(M5),M5,0)+IF(ISNUMBER(N5),N5,0)</f>
        <v>450913</v>
      </c>
      <c r="Q5" s="36" t="n">
        <f aca="false">IFERROR(P5/I5,"缺")</f>
        <v>2381.75047538559</v>
      </c>
      <c r="R5" s="37" t="n">
        <f aca="false">P5-'A_物調表候選(22案)'!$C$28</f>
        <v>50913</v>
      </c>
      <c r="S5" s="35" t="n">
        <v>3</v>
      </c>
      <c r="T5" s="4" t="s">
        <v>31</v>
      </c>
      <c r="U5" s="7" t="s">
        <v>32</v>
      </c>
      <c r="V5" s="38" t="s">
        <v>269</v>
      </c>
      <c r="W5" s="7" t="s">
        <v>33</v>
      </c>
      <c r="X5" s="7" t="s">
        <v>34</v>
      </c>
      <c r="Y5" s="7" t="s">
        <v>35</v>
      </c>
      <c r="Z5" s="7" t="s">
        <v>36</v>
      </c>
      <c r="AA5" s="13" t="s">
        <v>37</v>
      </c>
      <c r="AB5" s="39" t="s">
        <v>270</v>
      </c>
      <c r="AC5" s="39" t="s">
        <v>271</v>
      </c>
    </row>
    <row r="6" customFormat="false" ht="72" hidden="false" customHeight="true" outlineLevel="0" collapsed="false">
      <c r="A6" s="32" t="n">
        <v>2</v>
      </c>
      <c r="B6" s="33" t="s">
        <v>272</v>
      </c>
      <c r="C6" s="32" t="s">
        <v>195</v>
      </c>
      <c r="D6" s="34" t="s">
        <v>196</v>
      </c>
      <c r="E6" s="35" t="s">
        <v>159</v>
      </c>
      <c r="F6" s="7" t="s">
        <v>170</v>
      </c>
      <c r="G6" s="4" t="s">
        <v>197</v>
      </c>
      <c r="H6" s="8" t="n">
        <v>285.67</v>
      </c>
      <c r="I6" s="40" t="s">
        <v>83</v>
      </c>
      <c r="J6" s="40" t="s">
        <v>83</v>
      </c>
      <c r="K6" s="10" t="n">
        <v>428505</v>
      </c>
      <c r="L6" s="7" t="s">
        <v>268</v>
      </c>
      <c r="M6" s="40" t="s">
        <v>83</v>
      </c>
      <c r="N6" s="10" t="n">
        <v>0</v>
      </c>
      <c r="O6" s="7" t="s">
        <v>198</v>
      </c>
      <c r="P6" s="36" t="n">
        <f aca="false">K6+IF(ISNUMBER(M6),M6,0)+IF(ISNUMBER(N6),N6,0)</f>
        <v>428505</v>
      </c>
      <c r="Q6" s="36" t="str">
        <f aca="false">IFERROR(P6/I6,"缺")</f>
        <v>缺</v>
      </c>
      <c r="R6" s="37" t="n">
        <f aca="false">P6-'A_物調表候選(22案)'!$C$28</f>
        <v>28505</v>
      </c>
      <c r="S6" s="40" t="s">
        <v>83</v>
      </c>
      <c r="T6" s="40" t="s">
        <v>83</v>
      </c>
      <c r="U6" s="7" t="s">
        <v>199</v>
      </c>
      <c r="V6" s="38" t="s">
        <v>273</v>
      </c>
      <c r="W6" s="7" t="s">
        <v>100</v>
      </c>
      <c r="X6" s="7" t="s">
        <v>164</v>
      </c>
      <c r="Y6" s="7" t="s">
        <v>173</v>
      </c>
      <c r="Z6" s="7" t="s">
        <v>200</v>
      </c>
      <c r="AA6" s="14" t="s">
        <v>201</v>
      </c>
      <c r="AB6" s="39" t="s">
        <v>274</v>
      </c>
      <c r="AC6" s="39" t="s">
        <v>275</v>
      </c>
    </row>
    <row r="7" customFormat="false" ht="72" hidden="false" customHeight="true" outlineLevel="0" collapsed="false">
      <c r="A7" s="32" t="n">
        <v>3</v>
      </c>
      <c r="B7" s="33" t="s">
        <v>272</v>
      </c>
      <c r="C7" s="32" t="s">
        <v>157</v>
      </c>
      <c r="D7" s="34" t="s">
        <v>158</v>
      </c>
      <c r="E7" s="35" t="s">
        <v>159</v>
      </c>
      <c r="F7" s="7" t="s">
        <v>160</v>
      </c>
      <c r="G7" s="4" t="s">
        <v>161</v>
      </c>
      <c r="H7" s="8" t="n">
        <v>278.04</v>
      </c>
      <c r="I7" s="8" t="n">
        <v>262.5</v>
      </c>
      <c r="J7" s="9" t="n">
        <v>0.0559</v>
      </c>
      <c r="K7" s="10" t="n">
        <v>388500</v>
      </c>
      <c r="L7" s="7" t="s">
        <v>268</v>
      </c>
      <c r="M7" s="10" t="n">
        <v>37500</v>
      </c>
      <c r="N7" s="10" t="n">
        <v>5000</v>
      </c>
      <c r="O7" s="7" t="s">
        <v>162</v>
      </c>
      <c r="P7" s="36" t="n">
        <f aca="false">K7+IF(ISNUMBER(M7),M7,0)+IF(ISNUMBER(N7),N7,0)</f>
        <v>431000</v>
      </c>
      <c r="Q7" s="36" t="n">
        <f aca="false">IFERROR(P7/I7,"缺")</f>
        <v>1641.90476190476</v>
      </c>
      <c r="R7" s="37" t="n">
        <f aca="false">P7-'A_物調表候選(22案)'!$C$28</f>
        <v>31000</v>
      </c>
      <c r="S7" s="35" t="n">
        <v>2</v>
      </c>
      <c r="T7" s="4" t="s">
        <v>63</v>
      </c>
      <c r="U7" s="7" t="s">
        <v>163</v>
      </c>
      <c r="V7" s="38" t="s">
        <v>276</v>
      </c>
      <c r="W7" s="7" t="s">
        <v>100</v>
      </c>
      <c r="X7" s="7" t="s">
        <v>164</v>
      </c>
      <c r="Y7" s="7" t="s">
        <v>165</v>
      </c>
      <c r="Z7" s="7" t="s">
        <v>166</v>
      </c>
      <c r="AA7" s="14" t="s">
        <v>167</v>
      </c>
      <c r="AB7" s="39" t="s">
        <v>277</v>
      </c>
      <c r="AC7" s="39" t="s">
        <v>278</v>
      </c>
    </row>
    <row r="8" customFormat="false" ht="72" hidden="false" customHeight="true" outlineLevel="0" collapsed="false">
      <c r="A8" s="32" t="n">
        <v>4</v>
      </c>
      <c r="B8" s="33" t="s">
        <v>272</v>
      </c>
      <c r="C8" s="32" t="s">
        <v>168</v>
      </c>
      <c r="D8" s="34" t="s">
        <v>169</v>
      </c>
      <c r="E8" s="35" t="s">
        <v>159</v>
      </c>
      <c r="F8" s="7" t="s">
        <v>170</v>
      </c>
      <c r="G8" s="4" t="s">
        <v>171</v>
      </c>
      <c r="H8" s="8" t="n">
        <v>254.06</v>
      </c>
      <c r="I8" s="40" t="s">
        <v>83</v>
      </c>
      <c r="J8" s="40" t="s">
        <v>83</v>
      </c>
      <c r="K8" s="10" t="n">
        <v>381090</v>
      </c>
      <c r="L8" s="7" t="s">
        <v>268</v>
      </c>
      <c r="M8" s="10" t="n">
        <v>41920</v>
      </c>
      <c r="N8" s="10" t="n">
        <v>0</v>
      </c>
      <c r="O8" s="7" t="s">
        <v>141</v>
      </c>
      <c r="P8" s="36" t="n">
        <f aca="false">K8+IF(ISNUMBER(M8),M8,0)+IF(ISNUMBER(N8),N8,0)</f>
        <v>423010</v>
      </c>
      <c r="Q8" s="36" t="str">
        <f aca="false">IFERROR(P8/I8,"缺")</f>
        <v>缺</v>
      </c>
      <c r="R8" s="37" t="n">
        <f aca="false">P8-'A_物調表候選(22案)'!$C$28</f>
        <v>23010</v>
      </c>
      <c r="S8" s="35" t="n">
        <v>3</v>
      </c>
      <c r="T8" s="4" t="s">
        <v>43</v>
      </c>
      <c r="U8" s="7" t="s">
        <v>172</v>
      </c>
      <c r="V8" s="38" t="s">
        <v>273</v>
      </c>
      <c r="W8" s="7" t="s">
        <v>100</v>
      </c>
      <c r="X8" s="7" t="s">
        <v>164</v>
      </c>
      <c r="Y8" s="7" t="s">
        <v>173</v>
      </c>
      <c r="Z8" s="7" t="s">
        <v>174</v>
      </c>
      <c r="AA8" s="14" t="s">
        <v>175</v>
      </c>
      <c r="AB8" s="39" t="s">
        <v>279</v>
      </c>
      <c r="AC8" s="39" t="s">
        <v>280</v>
      </c>
    </row>
    <row r="9" customFormat="false" ht="72" hidden="false" customHeight="true" outlineLevel="0" collapsed="false">
      <c r="A9" s="32" t="n">
        <v>5</v>
      </c>
      <c r="B9" s="33" t="s">
        <v>272</v>
      </c>
      <c r="C9" s="32" t="s">
        <v>281</v>
      </c>
      <c r="D9" s="34" t="s">
        <v>282</v>
      </c>
      <c r="E9" s="35" t="s">
        <v>159</v>
      </c>
      <c r="F9" s="7" t="s">
        <v>283</v>
      </c>
      <c r="G9" s="4" t="s">
        <v>284</v>
      </c>
      <c r="H9" s="8" t="n">
        <v>225</v>
      </c>
      <c r="I9" s="40" t="s">
        <v>83</v>
      </c>
      <c r="J9" s="40" t="s">
        <v>83</v>
      </c>
      <c r="K9" s="10" t="n">
        <v>472500</v>
      </c>
      <c r="L9" s="7" t="s">
        <v>285</v>
      </c>
      <c r="M9" s="40" t="s">
        <v>83</v>
      </c>
      <c r="N9" s="40" t="s">
        <v>83</v>
      </c>
      <c r="O9" s="7" t="s">
        <v>83</v>
      </c>
      <c r="P9" s="36" t="n">
        <f aca="false">K9+IF(ISNUMBER(M9),M9,0)+IF(ISNUMBER(N9),N9,0)</f>
        <v>472500</v>
      </c>
      <c r="Q9" s="36" t="str">
        <f aca="false">IFERROR(P9/I9,"缺")</f>
        <v>缺</v>
      </c>
      <c r="R9" s="37" t="n">
        <f aca="false">P9-'A_物調表候選(22案)'!$C$28</f>
        <v>72500</v>
      </c>
      <c r="S9" s="35" t="n">
        <v>3</v>
      </c>
      <c r="T9" s="40" t="s">
        <v>83</v>
      </c>
      <c r="U9" s="40" t="s">
        <v>83</v>
      </c>
      <c r="V9" s="41" t="s">
        <v>83</v>
      </c>
      <c r="W9" s="40" t="s">
        <v>83</v>
      </c>
      <c r="X9" s="7" t="s">
        <v>286</v>
      </c>
      <c r="Y9" s="7" t="s">
        <v>287</v>
      </c>
      <c r="Z9" s="7" t="s">
        <v>288</v>
      </c>
      <c r="AA9" s="14" t="s">
        <v>289</v>
      </c>
      <c r="AB9" s="39" t="s">
        <v>290</v>
      </c>
      <c r="AC9" s="39" t="s">
        <v>291</v>
      </c>
    </row>
    <row r="10" customFormat="false" ht="72" hidden="false" customHeight="true" outlineLevel="0" collapsed="false">
      <c r="A10" s="32" t="n">
        <v>6</v>
      </c>
      <c r="B10" s="33" t="s">
        <v>272</v>
      </c>
      <c r="C10" s="32" t="s">
        <v>115</v>
      </c>
      <c r="D10" s="34" t="s">
        <v>116</v>
      </c>
      <c r="E10" s="35" t="s">
        <v>27</v>
      </c>
      <c r="F10" s="7" t="s">
        <v>117</v>
      </c>
      <c r="G10" s="4" t="s">
        <v>118</v>
      </c>
      <c r="H10" s="8" t="n">
        <v>224.18</v>
      </c>
      <c r="I10" s="40" t="s">
        <v>83</v>
      </c>
      <c r="J10" s="40" t="s">
        <v>83</v>
      </c>
      <c r="K10" s="10" t="n">
        <v>448000</v>
      </c>
      <c r="L10" s="7" t="s">
        <v>268</v>
      </c>
      <c r="M10" s="10" t="n">
        <v>32000</v>
      </c>
      <c r="N10" s="10" t="n">
        <v>0</v>
      </c>
      <c r="O10" s="7" t="s">
        <v>119</v>
      </c>
      <c r="P10" s="36" t="n">
        <f aca="false">K10+IF(ISNUMBER(M10),M10,0)+IF(ISNUMBER(N10),N10,0)</f>
        <v>480000</v>
      </c>
      <c r="Q10" s="36" t="str">
        <f aca="false">IFERROR(P10/I10,"缺")</f>
        <v>缺</v>
      </c>
      <c r="R10" s="37" t="n">
        <f aca="false">P10-'A_物調表候選(22案)'!$C$28</f>
        <v>80000</v>
      </c>
      <c r="S10" s="35" t="n">
        <v>2</v>
      </c>
      <c r="T10" s="4" t="s">
        <v>120</v>
      </c>
      <c r="U10" s="7" t="s">
        <v>32</v>
      </c>
      <c r="V10" s="38" t="s">
        <v>292</v>
      </c>
      <c r="W10" s="7" t="s">
        <v>100</v>
      </c>
      <c r="X10" s="7" t="s">
        <v>121</v>
      </c>
      <c r="Y10" s="7" t="s">
        <v>122</v>
      </c>
      <c r="Z10" s="7" t="s">
        <v>123</v>
      </c>
      <c r="AA10" s="14" t="s">
        <v>124</v>
      </c>
      <c r="AB10" s="39" t="s">
        <v>293</v>
      </c>
      <c r="AC10" s="39" t="s">
        <v>294</v>
      </c>
    </row>
    <row r="11" customFormat="false" ht="72" hidden="false" customHeight="true" outlineLevel="0" collapsed="false">
      <c r="A11" s="32" t="n">
        <v>7</v>
      </c>
      <c r="B11" s="33" t="s">
        <v>272</v>
      </c>
      <c r="C11" s="32" t="s">
        <v>295</v>
      </c>
      <c r="D11" s="34" t="s">
        <v>296</v>
      </c>
      <c r="E11" s="35" t="s">
        <v>27</v>
      </c>
      <c r="F11" s="7" t="s">
        <v>297</v>
      </c>
      <c r="G11" s="4" t="s">
        <v>298</v>
      </c>
      <c r="H11" s="8" t="n">
        <v>222</v>
      </c>
      <c r="I11" s="8" t="n">
        <v>173</v>
      </c>
      <c r="J11" s="9" t="n">
        <v>0.22</v>
      </c>
      <c r="K11" s="10" t="n">
        <v>420000</v>
      </c>
      <c r="L11" s="7" t="s">
        <v>285</v>
      </c>
      <c r="M11" s="10" t="n">
        <v>33300</v>
      </c>
      <c r="N11" s="10" t="n">
        <v>21000</v>
      </c>
      <c r="O11" s="12" t="s">
        <v>299</v>
      </c>
      <c r="P11" s="36" t="n">
        <f aca="false">K11+IF(ISNUMBER(M11),M11,0)+IF(ISNUMBER(N11),N11,0)</f>
        <v>474300</v>
      </c>
      <c r="Q11" s="36" t="n">
        <f aca="false">IFERROR(P11/I11,"缺")</f>
        <v>2741.61849710983</v>
      </c>
      <c r="R11" s="37" t="n">
        <f aca="false">P11-'A_物調表候選(22案)'!$C$28</f>
        <v>74300</v>
      </c>
      <c r="S11" s="35" t="n">
        <v>3</v>
      </c>
      <c r="T11" s="4" t="s">
        <v>63</v>
      </c>
      <c r="U11" s="7" t="s">
        <v>44</v>
      </c>
      <c r="V11" s="38" t="s">
        <v>276</v>
      </c>
      <c r="W11" s="7" t="s">
        <v>300</v>
      </c>
      <c r="X11" s="7" t="s">
        <v>286</v>
      </c>
      <c r="Y11" s="7" t="s">
        <v>287</v>
      </c>
      <c r="Z11" s="7" t="s">
        <v>301</v>
      </c>
      <c r="AA11" s="14" t="s">
        <v>302</v>
      </c>
      <c r="AB11" s="39" t="s">
        <v>303</v>
      </c>
      <c r="AC11" s="39" t="s">
        <v>304</v>
      </c>
    </row>
    <row r="12" customFormat="false" ht="72" hidden="false" customHeight="true" outlineLevel="0" collapsed="false">
      <c r="A12" s="32" t="n">
        <v>8</v>
      </c>
      <c r="B12" s="33" t="s">
        <v>272</v>
      </c>
      <c r="C12" s="32" t="s">
        <v>305</v>
      </c>
      <c r="D12" s="34" t="s">
        <v>306</v>
      </c>
      <c r="E12" s="35" t="s">
        <v>51</v>
      </c>
      <c r="F12" s="7" t="s">
        <v>307</v>
      </c>
      <c r="G12" s="4" t="s">
        <v>298</v>
      </c>
      <c r="H12" s="8" t="n">
        <v>220</v>
      </c>
      <c r="I12" s="40" t="s">
        <v>83</v>
      </c>
      <c r="J12" s="40" t="s">
        <v>83</v>
      </c>
      <c r="K12" s="10" t="n">
        <v>369600</v>
      </c>
      <c r="L12" s="7" t="s">
        <v>285</v>
      </c>
      <c r="M12" s="40" t="s">
        <v>83</v>
      </c>
      <c r="N12" s="40" t="s">
        <v>83</v>
      </c>
      <c r="O12" s="7" t="s">
        <v>83</v>
      </c>
      <c r="P12" s="36" t="n">
        <f aca="false">K12+IF(ISNUMBER(M12),M12,0)+IF(ISNUMBER(N12),N12,0)</f>
        <v>369600</v>
      </c>
      <c r="Q12" s="36" t="str">
        <f aca="false">IFERROR(P12/I12,"缺")</f>
        <v>缺</v>
      </c>
      <c r="R12" s="37" t="n">
        <f aca="false">P12-'A_物調表候選(22案)'!$C$28</f>
        <v>-30400</v>
      </c>
      <c r="S12" s="35" t="n">
        <v>3</v>
      </c>
      <c r="T12" s="40" t="s">
        <v>83</v>
      </c>
      <c r="U12" s="40" t="s">
        <v>83</v>
      </c>
      <c r="V12" s="41" t="s">
        <v>83</v>
      </c>
      <c r="W12" s="40" t="s">
        <v>83</v>
      </c>
      <c r="X12" s="7" t="s">
        <v>286</v>
      </c>
      <c r="Y12" s="7" t="s">
        <v>287</v>
      </c>
      <c r="Z12" s="12" t="s">
        <v>308</v>
      </c>
      <c r="AA12" s="14" t="s">
        <v>309</v>
      </c>
      <c r="AB12" s="39" t="s">
        <v>310</v>
      </c>
      <c r="AC12" s="39" t="s">
        <v>311</v>
      </c>
    </row>
    <row r="13" customFormat="false" ht="72" hidden="false" customHeight="true" outlineLevel="0" collapsed="false">
      <c r="A13" s="32" t="n">
        <v>9</v>
      </c>
      <c r="B13" s="33" t="s">
        <v>272</v>
      </c>
      <c r="C13" s="32" t="s">
        <v>147</v>
      </c>
      <c r="D13" s="34" t="s">
        <v>148</v>
      </c>
      <c r="E13" s="35" t="s">
        <v>51</v>
      </c>
      <c r="F13" s="7" t="s">
        <v>149</v>
      </c>
      <c r="G13" s="4" t="s">
        <v>150</v>
      </c>
      <c r="H13" s="8" t="n">
        <v>211.38</v>
      </c>
      <c r="I13" s="40" t="s">
        <v>83</v>
      </c>
      <c r="J13" s="40" t="s">
        <v>83</v>
      </c>
      <c r="K13" s="10" t="n">
        <v>388500</v>
      </c>
      <c r="L13" s="7" t="s">
        <v>268</v>
      </c>
      <c r="M13" s="10" t="n">
        <v>15000</v>
      </c>
      <c r="N13" s="10" t="n">
        <v>2000</v>
      </c>
      <c r="O13" s="7" t="s">
        <v>151</v>
      </c>
      <c r="P13" s="36" t="n">
        <f aca="false">K13+IF(ISNUMBER(M13),M13,0)+IF(ISNUMBER(N13),N13,0)</f>
        <v>405500</v>
      </c>
      <c r="Q13" s="36" t="str">
        <f aca="false">IFERROR(P13/I13,"缺")</f>
        <v>缺</v>
      </c>
      <c r="R13" s="37" t="n">
        <f aca="false">P13-'A_物調表候選(22案)'!$C$28</f>
        <v>5500</v>
      </c>
      <c r="S13" s="35" t="n">
        <v>3</v>
      </c>
      <c r="T13" s="4" t="s">
        <v>43</v>
      </c>
      <c r="U13" s="7" t="s">
        <v>152</v>
      </c>
      <c r="V13" s="38" t="s">
        <v>312</v>
      </c>
      <c r="W13" s="7" t="s">
        <v>100</v>
      </c>
      <c r="X13" s="7" t="s">
        <v>153</v>
      </c>
      <c r="Y13" s="7" t="s">
        <v>154</v>
      </c>
      <c r="Z13" s="7" t="s">
        <v>155</v>
      </c>
      <c r="AA13" s="14" t="s">
        <v>156</v>
      </c>
      <c r="AB13" s="39" t="s">
        <v>313</v>
      </c>
      <c r="AC13" s="39" t="s">
        <v>314</v>
      </c>
    </row>
    <row r="14" customFormat="false" ht="72" hidden="false" customHeight="true" outlineLevel="0" collapsed="false">
      <c r="A14" s="32" t="n">
        <v>10</v>
      </c>
      <c r="B14" s="33" t="s">
        <v>272</v>
      </c>
      <c r="C14" s="32" t="s">
        <v>96</v>
      </c>
      <c r="D14" s="42" t="s">
        <v>97</v>
      </c>
      <c r="E14" s="35" t="s">
        <v>51</v>
      </c>
      <c r="F14" s="7" t="s">
        <v>98</v>
      </c>
      <c r="G14" s="4" t="s">
        <v>99</v>
      </c>
      <c r="H14" s="8" t="n">
        <v>211</v>
      </c>
      <c r="I14" s="40" t="s">
        <v>83</v>
      </c>
      <c r="J14" s="40" t="s">
        <v>83</v>
      </c>
      <c r="K14" s="10" t="n">
        <v>400000</v>
      </c>
      <c r="L14" s="7" t="s">
        <v>268</v>
      </c>
      <c r="M14" s="10" t="n">
        <v>17935</v>
      </c>
      <c r="N14" s="40" t="s">
        <v>83</v>
      </c>
      <c r="O14" s="7" t="s">
        <v>100</v>
      </c>
      <c r="P14" s="36" t="n">
        <f aca="false">K14+IF(ISNUMBER(M14),M14,0)+IF(ISNUMBER(N14),N14,0)</f>
        <v>417935</v>
      </c>
      <c r="Q14" s="36" t="str">
        <f aca="false">IFERROR(P14/I14,"缺")</f>
        <v>缺</v>
      </c>
      <c r="R14" s="37" t="n">
        <f aca="false">P14-'A_物調表候選(22案)'!$C$28</f>
        <v>17935</v>
      </c>
      <c r="S14" s="35" t="n">
        <v>2</v>
      </c>
      <c r="T14" s="4" t="s">
        <v>63</v>
      </c>
      <c r="U14" s="7" t="s">
        <v>85</v>
      </c>
      <c r="V14" s="41" t="s">
        <v>83</v>
      </c>
      <c r="W14" s="7" t="s">
        <v>33</v>
      </c>
      <c r="X14" s="7" t="s">
        <v>101</v>
      </c>
      <c r="Y14" s="7" t="s">
        <v>102</v>
      </c>
      <c r="Z14" s="7" t="s">
        <v>103</v>
      </c>
      <c r="AA14" s="13" t="s">
        <v>104</v>
      </c>
      <c r="AB14" s="39" t="s">
        <v>315</v>
      </c>
      <c r="AC14" s="39" t="s">
        <v>316</v>
      </c>
    </row>
    <row r="15" customFormat="false" ht="72" hidden="false" customHeight="true" outlineLevel="0" collapsed="false">
      <c r="A15" s="32" t="n">
        <v>11</v>
      </c>
      <c r="B15" s="33" t="s">
        <v>272</v>
      </c>
      <c r="C15" s="32" t="s">
        <v>317</v>
      </c>
      <c r="D15" s="34" t="s">
        <v>318</v>
      </c>
      <c r="E15" s="35" t="s">
        <v>51</v>
      </c>
      <c r="F15" s="7" t="s">
        <v>319</v>
      </c>
      <c r="G15" s="4" t="s">
        <v>298</v>
      </c>
      <c r="H15" s="8" t="n">
        <v>211</v>
      </c>
      <c r="I15" s="40" t="s">
        <v>83</v>
      </c>
      <c r="J15" s="40" t="s">
        <v>83</v>
      </c>
      <c r="K15" s="10" t="n">
        <v>436800</v>
      </c>
      <c r="L15" s="7" t="s">
        <v>285</v>
      </c>
      <c r="M15" s="40" t="s">
        <v>83</v>
      </c>
      <c r="N15" s="40" t="s">
        <v>83</v>
      </c>
      <c r="O15" s="7" t="s">
        <v>83</v>
      </c>
      <c r="P15" s="36" t="n">
        <f aca="false">K15+IF(ISNUMBER(M15),M15,0)+IF(ISNUMBER(N15),N15,0)</f>
        <v>436800</v>
      </c>
      <c r="Q15" s="36" t="str">
        <f aca="false">IFERROR(P15/I15,"缺")</f>
        <v>缺</v>
      </c>
      <c r="R15" s="37" t="n">
        <f aca="false">P15-'A_物調表候選(22案)'!$C$28</f>
        <v>36800</v>
      </c>
      <c r="S15" s="35" t="n">
        <v>3</v>
      </c>
      <c r="T15" s="40" t="s">
        <v>83</v>
      </c>
      <c r="U15" s="40" t="s">
        <v>83</v>
      </c>
      <c r="V15" s="41" t="s">
        <v>83</v>
      </c>
      <c r="W15" s="40" t="s">
        <v>83</v>
      </c>
      <c r="X15" s="7" t="s">
        <v>286</v>
      </c>
      <c r="Y15" s="7" t="s">
        <v>287</v>
      </c>
      <c r="Z15" s="7" t="s">
        <v>320</v>
      </c>
      <c r="AA15" s="14" t="s">
        <v>321</v>
      </c>
      <c r="AB15" s="39" t="s">
        <v>322</v>
      </c>
      <c r="AC15" s="43" t="s">
        <v>323</v>
      </c>
    </row>
    <row r="16" customFormat="false" ht="72" hidden="false" customHeight="true" outlineLevel="0" collapsed="false">
      <c r="A16" s="32" t="n">
        <v>12</v>
      </c>
      <c r="B16" s="33" t="s">
        <v>272</v>
      </c>
      <c r="C16" s="32" t="s">
        <v>324</v>
      </c>
      <c r="D16" s="34" t="s">
        <v>325</v>
      </c>
      <c r="E16" s="35" t="s">
        <v>27</v>
      </c>
      <c r="F16" s="7" t="s">
        <v>326</v>
      </c>
      <c r="G16" s="4" t="s">
        <v>327</v>
      </c>
      <c r="H16" s="8" t="n">
        <v>210</v>
      </c>
      <c r="I16" s="8" t="n">
        <v>153</v>
      </c>
      <c r="J16" s="9" t="n">
        <v>0.27</v>
      </c>
      <c r="K16" s="10" t="n">
        <v>367500</v>
      </c>
      <c r="L16" s="7" t="s">
        <v>285</v>
      </c>
      <c r="M16" s="10" t="n">
        <v>39900</v>
      </c>
      <c r="N16" s="40" t="s">
        <v>83</v>
      </c>
      <c r="O16" s="7" t="s">
        <v>328</v>
      </c>
      <c r="P16" s="36" t="n">
        <f aca="false">K16+IF(ISNUMBER(M16),M16,0)+IF(ISNUMBER(N16),N16,0)</f>
        <v>407400</v>
      </c>
      <c r="Q16" s="36" t="n">
        <f aca="false">IFERROR(P16/I16,"缺")</f>
        <v>2662.74509803922</v>
      </c>
      <c r="R16" s="37" t="n">
        <f aca="false">P16-'A_物調表候選(22案)'!$C$28</f>
        <v>7400</v>
      </c>
      <c r="S16" s="35" t="n">
        <v>3</v>
      </c>
      <c r="T16" s="4" t="s">
        <v>63</v>
      </c>
      <c r="U16" s="7" t="s">
        <v>329</v>
      </c>
      <c r="V16" s="38" t="s">
        <v>330</v>
      </c>
      <c r="W16" s="7" t="s">
        <v>33</v>
      </c>
      <c r="X16" s="7" t="s">
        <v>286</v>
      </c>
      <c r="Y16" s="7" t="s">
        <v>287</v>
      </c>
      <c r="Z16" s="7" t="s">
        <v>331</v>
      </c>
      <c r="AA16" s="14" t="s">
        <v>332</v>
      </c>
      <c r="AB16" s="39" t="s">
        <v>333</v>
      </c>
      <c r="AC16" s="39" t="s">
        <v>334</v>
      </c>
    </row>
    <row r="17" customFormat="false" ht="72" hidden="false" customHeight="true" outlineLevel="0" collapsed="false">
      <c r="A17" s="32" t="n">
        <v>13</v>
      </c>
      <c r="B17" s="33" t="s">
        <v>272</v>
      </c>
      <c r="C17" s="32" t="s">
        <v>335</v>
      </c>
      <c r="D17" s="34" t="s">
        <v>336</v>
      </c>
      <c r="E17" s="35" t="s">
        <v>159</v>
      </c>
      <c r="F17" s="7" t="s">
        <v>337</v>
      </c>
      <c r="G17" s="4" t="s">
        <v>338</v>
      </c>
      <c r="H17" s="8" t="n">
        <v>209</v>
      </c>
      <c r="I17" s="40" t="s">
        <v>83</v>
      </c>
      <c r="J17" s="40" t="s">
        <v>83</v>
      </c>
      <c r="K17" s="10" t="n">
        <v>438900</v>
      </c>
      <c r="L17" s="7" t="s">
        <v>285</v>
      </c>
      <c r="M17" s="40" t="s">
        <v>83</v>
      </c>
      <c r="N17" s="40" t="s">
        <v>83</v>
      </c>
      <c r="O17" s="7" t="s">
        <v>83</v>
      </c>
      <c r="P17" s="36" t="n">
        <f aca="false">K17+IF(ISNUMBER(M17),M17,0)+IF(ISNUMBER(N17),N17,0)</f>
        <v>438900</v>
      </c>
      <c r="Q17" s="36" t="str">
        <f aca="false">IFERROR(P17/I17,"缺")</f>
        <v>缺</v>
      </c>
      <c r="R17" s="37" t="n">
        <f aca="false">P17-'A_物調表候選(22案)'!$C$28</f>
        <v>38900</v>
      </c>
      <c r="S17" s="35" t="n">
        <v>3</v>
      </c>
      <c r="T17" s="40" t="s">
        <v>83</v>
      </c>
      <c r="U17" s="40" t="s">
        <v>83</v>
      </c>
      <c r="V17" s="41" t="s">
        <v>83</v>
      </c>
      <c r="W17" s="40" t="s">
        <v>83</v>
      </c>
      <c r="X17" s="7" t="s">
        <v>286</v>
      </c>
      <c r="Y17" s="7" t="s">
        <v>287</v>
      </c>
      <c r="Z17" s="7" t="s">
        <v>339</v>
      </c>
      <c r="AA17" s="14" t="s">
        <v>340</v>
      </c>
      <c r="AB17" s="39" t="s">
        <v>341</v>
      </c>
      <c r="AC17" s="43" t="s">
        <v>323</v>
      </c>
    </row>
    <row r="18" customFormat="false" ht="72" hidden="false" customHeight="true" outlineLevel="0" collapsed="false">
      <c r="A18" s="32" t="n">
        <v>14</v>
      </c>
      <c r="B18" s="33" t="s">
        <v>272</v>
      </c>
      <c r="C18" s="32" t="s">
        <v>88</v>
      </c>
      <c r="D18" s="34" t="s">
        <v>89</v>
      </c>
      <c r="E18" s="35" t="s">
        <v>51</v>
      </c>
      <c r="F18" s="7" t="s">
        <v>90</v>
      </c>
      <c r="G18" s="4" t="s">
        <v>91</v>
      </c>
      <c r="H18" s="8" t="n">
        <v>207.04</v>
      </c>
      <c r="I18" s="8" t="n">
        <v>156.93</v>
      </c>
      <c r="J18" s="9" t="n">
        <v>0.242</v>
      </c>
      <c r="K18" s="10" t="n">
        <v>360150</v>
      </c>
      <c r="L18" s="7" t="s">
        <v>268</v>
      </c>
      <c r="M18" s="10" t="n">
        <v>28984</v>
      </c>
      <c r="N18" s="10" t="n">
        <v>0</v>
      </c>
      <c r="O18" s="7" t="s">
        <v>92</v>
      </c>
      <c r="P18" s="36" t="n">
        <f aca="false">K18+IF(ISNUMBER(M18),M18,0)+IF(ISNUMBER(N18),N18,0)</f>
        <v>389134</v>
      </c>
      <c r="Q18" s="36" t="n">
        <f aca="false">IFERROR(P18/I18,"缺")</f>
        <v>2479.66609316256</v>
      </c>
      <c r="R18" s="37" t="n">
        <f aca="false">P18-'A_物調表候選(22案)'!$C$28</f>
        <v>-10866</v>
      </c>
      <c r="S18" s="35" t="n">
        <v>2</v>
      </c>
      <c r="T18" s="4" t="s">
        <v>43</v>
      </c>
      <c r="U18" s="7" t="s">
        <v>55</v>
      </c>
      <c r="V18" s="38" t="s">
        <v>342</v>
      </c>
      <c r="W18" s="7" t="s">
        <v>93</v>
      </c>
      <c r="X18" s="7" t="s">
        <v>34</v>
      </c>
      <c r="Y18" s="7" t="s">
        <v>66</v>
      </c>
      <c r="Z18" s="7" t="s">
        <v>94</v>
      </c>
      <c r="AA18" s="14" t="s">
        <v>95</v>
      </c>
      <c r="AB18" s="39" t="s">
        <v>343</v>
      </c>
      <c r="AC18" s="39" t="s">
        <v>344</v>
      </c>
    </row>
    <row r="19" customFormat="false" ht="72" hidden="false" customHeight="true" outlineLevel="0" collapsed="false">
      <c r="A19" s="32" t="n">
        <v>15</v>
      </c>
      <c r="B19" s="33" t="s">
        <v>272</v>
      </c>
      <c r="C19" s="32" t="s">
        <v>345</v>
      </c>
      <c r="D19" s="34" t="s">
        <v>346</v>
      </c>
      <c r="E19" s="35" t="s">
        <v>51</v>
      </c>
      <c r="F19" s="7" t="s">
        <v>347</v>
      </c>
      <c r="G19" s="4" t="s">
        <v>348</v>
      </c>
      <c r="H19" s="8" t="n">
        <v>204</v>
      </c>
      <c r="I19" s="40" t="s">
        <v>83</v>
      </c>
      <c r="J19" s="40" t="s">
        <v>83</v>
      </c>
      <c r="K19" s="10" t="n">
        <v>404985</v>
      </c>
      <c r="L19" s="7" t="s">
        <v>285</v>
      </c>
      <c r="M19" s="40" t="s">
        <v>83</v>
      </c>
      <c r="N19" s="40" t="s">
        <v>83</v>
      </c>
      <c r="O19" s="7" t="s">
        <v>83</v>
      </c>
      <c r="P19" s="36" t="n">
        <f aca="false">K19+IF(ISNUMBER(M19),M19,0)+IF(ISNUMBER(N19),N19,0)</f>
        <v>404985</v>
      </c>
      <c r="Q19" s="36" t="str">
        <f aca="false">IFERROR(P19/I19,"缺")</f>
        <v>缺</v>
      </c>
      <c r="R19" s="37" t="n">
        <f aca="false">P19-'A_物調表候選(22案)'!$C$28</f>
        <v>4985</v>
      </c>
      <c r="S19" s="35" t="n">
        <v>3</v>
      </c>
      <c r="T19" s="40" t="s">
        <v>83</v>
      </c>
      <c r="U19" s="7" t="s">
        <v>349</v>
      </c>
      <c r="V19" s="41" t="s">
        <v>83</v>
      </c>
      <c r="W19" s="40" t="s">
        <v>83</v>
      </c>
      <c r="X19" s="7" t="s">
        <v>286</v>
      </c>
      <c r="Y19" s="7" t="s">
        <v>287</v>
      </c>
      <c r="Z19" s="12" t="s">
        <v>350</v>
      </c>
      <c r="AA19" s="14" t="s">
        <v>351</v>
      </c>
      <c r="AB19" s="39" t="s">
        <v>352</v>
      </c>
      <c r="AC19" s="39" t="s">
        <v>353</v>
      </c>
    </row>
    <row r="20" customFormat="false" ht="72" hidden="false" customHeight="true" outlineLevel="0" collapsed="false">
      <c r="A20" s="32" t="n">
        <v>16</v>
      </c>
      <c r="B20" s="33" t="s">
        <v>272</v>
      </c>
      <c r="C20" s="32" t="s">
        <v>354</v>
      </c>
      <c r="D20" s="42" t="s">
        <v>355</v>
      </c>
      <c r="E20" s="35" t="s">
        <v>27</v>
      </c>
      <c r="F20" s="7" t="s">
        <v>356</v>
      </c>
      <c r="G20" s="4" t="s">
        <v>357</v>
      </c>
      <c r="H20" s="8" t="n">
        <v>204</v>
      </c>
      <c r="I20" s="40" t="s">
        <v>83</v>
      </c>
      <c r="J20" s="40" t="s">
        <v>83</v>
      </c>
      <c r="K20" s="10" t="n">
        <v>469000</v>
      </c>
      <c r="L20" s="7" t="s">
        <v>358</v>
      </c>
      <c r="M20" s="40" t="s">
        <v>83</v>
      </c>
      <c r="N20" s="40" t="s">
        <v>83</v>
      </c>
      <c r="O20" s="7" t="s">
        <v>359</v>
      </c>
      <c r="P20" s="36" t="n">
        <f aca="false">K20+IF(ISNUMBER(M20),M20,0)+IF(ISNUMBER(N20),N20,0)</f>
        <v>469000</v>
      </c>
      <c r="Q20" s="36" t="str">
        <f aca="false">IFERROR(P20/I20,"缺")</f>
        <v>缺</v>
      </c>
      <c r="R20" s="37" t="n">
        <f aca="false">P20-'A_物調表候選(22案)'!$C$28</f>
        <v>69000</v>
      </c>
      <c r="S20" s="40" t="s">
        <v>83</v>
      </c>
      <c r="T20" s="40" t="s">
        <v>83</v>
      </c>
      <c r="U20" s="7" t="s">
        <v>360</v>
      </c>
      <c r="V20" s="38" t="s">
        <v>361</v>
      </c>
      <c r="W20" s="40" t="s">
        <v>83</v>
      </c>
      <c r="X20" s="7" t="s">
        <v>362</v>
      </c>
      <c r="Y20" s="12" t="s">
        <v>363</v>
      </c>
      <c r="Z20" s="12" t="s">
        <v>364</v>
      </c>
      <c r="AA20" s="13" t="s">
        <v>365</v>
      </c>
      <c r="AB20" s="39" t="s">
        <v>366</v>
      </c>
      <c r="AC20" s="39" t="s">
        <v>291</v>
      </c>
    </row>
    <row r="21" customFormat="false" ht="72" hidden="false" customHeight="true" outlineLevel="0" collapsed="false">
      <c r="A21" s="32" t="n">
        <v>17</v>
      </c>
      <c r="B21" s="33" t="s">
        <v>272</v>
      </c>
      <c r="C21" s="32" t="s">
        <v>105</v>
      </c>
      <c r="D21" s="34" t="s">
        <v>106</v>
      </c>
      <c r="E21" s="35" t="s">
        <v>51</v>
      </c>
      <c r="F21" s="7" t="s">
        <v>107</v>
      </c>
      <c r="G21" s="4" t="s">
        <v>108</v>
      </c>
      <c r="H21" s="8" t="n">
        <v>203.56</v>
      </c>
      <c r="I21" s="8" t="n">
        <v>119.66</v>
      </c>
      <c r="J21" s="9" t="n">
        <v>0.5008</v>
      </c>
      <c r="K21" s="10" t="n">
        <v>305340</v>
      </c>
      <c r="L21" s="7" t="s">
        <v>268</v>
      </c>
      <c r="M21" s="10" t="n">
        <v>32570</v>
      </c>
      <c r="N21" s="40" t="s">
        <v>83</v>
      </c>
      <c r="O21" s="7" t="s">
        <v>109</v>
      </c>
      <c r="P21" s="36" t="n">
        <f aca="false">K21+IF(ISNUMBER(M21),M21,0)+IF(ISNUMBER(N21),N21,0)</f>
        <v>337910</v>
      </c>
      <c r="Q21" s="36" t="n">
        <f aca="false">IFERROR(P21/I21,"缺")</f>
        <v>2823.91776700652</v>
      </c>
      <c r="R21" s="37" t="n">
        <f aca="false">P21-'A_物調表候選(22案)'!$C$28</f>
        <v>-62090</v>
      </c>
      <c r="S21" s="35" t="n">
        <v>2</v>
      </c>
      <c r="T21" s="4" t="s">
        <v>63</v>
      </c>
      <c r="U21" s="7" t="s">
        <v>110</v>
      </c>
      <c r="V21" s="38" t="s">
        <v>367</v>
      </c>
      <c r="W21" s="7" t="s">
        <v>100</v>
      </c>
      <c r="X21" s="7" t="s">
        <v>111</v>
      </c>
      <c r="Y21" s="7" t="s">
        <v>112</v>
      </c>
      <c r="Z21" s="7" t="s">
        <v>113</v>
      </c>
      <c r="AA21" s="14" t="s">
        <v>114</v>
      </c>
      <c r="AB21" s="39" t="s">
        <v>368</v>
      </c>
      <c r="AC21" s="39" t="s">
        <v>369</v>
      </c>
    </row>
    <row r="22" customFormat="false" ht="72" hidden="false" customHeight="true" outlineLevel="0" collapsed="false">
      <c r="A22" s="32" t="n">
        <v>18</v>
      </c>
      <c r="B22" s="33" t="s">
        <v>272</v>
      </c>
      <c r="C22" s="32" t="s">
        <v>79</v>
      </c>
      <c r="D22" s="34" t="s">
        <v>80</v>
      </c>
      <c r="E22" s="35" t="s">
        <v>51</v>
      </c>
      <c r="F22" s="7" t="s">
        <v>81</v>
      </c>
      <c r="G22" s="4" t="s">
        <v>82</v>
      </c>
      <c r="H22" s="8" t="n">
        <v>203.26</v>
      </c>
      <c r="I22" s="8" t="n">
        <v>189.91</v>
      </c>
      <c r="J22" s="9" t="n">
        <v>0.0657</v>
      </c>
      <c r="K22" s="10" t="n">
        <v>405504</v>
      </c>
      <c r="L22" s="7" t="s">
        <v>268</v>
      </c>
      <c r="M22" s="40" t="s">
        <v>83</v>
      </c>
      <c r="N22" s="10" t="n">
        <v>7500</v>
      </c>
      <c r="O22" s="7" t="s">
        <v>84</v>
      </c>
      <c r="P22" s="36" t="n">
        <f aca="false">K22+IF(ISNUMBER(M22),M22,0)+IF(ISNUMBER(N22),N22,0)</f>
        <v>413004</v>
      </c>
      <c r="Q22" s="36" t="n">
        <f aca="false">IFERROR(P22/I22,"缺")</f>
        <v>2174.73540097941</v>
      </c>
      <c r="R22" s="37" t="n">
        <f aca="false">P22-'A_物調表候選(22案)'!$C$28</f>
        <v>13004</v>
      </c>
      <c r="S22" s="35" t="n">
        <v>3</v>
      </c>
      <c r="T22" s="4" t="s">
        <v>43</v>
      </c>
      <c r="U22" s="7" t="s">
        <v>85</v>
      </c>
      <c r="V22" s="38" t="s">
        <v>370</v>
      </c>
      <c r="W22" s="7" t="s">
        <v>33</v>
      </c>
      <c r="X22" s="7" t="s">
        <v>34</v>
      </c>
      <c r="Y22" s="7" t="s">
        <v>35</v>
      </c>
      <c r="Z22" s="7" t="s">
        <v>86</v>
      </c>
      <c r="AA22" s="14" t="s">
        <v>87</v>
      </c>
      <c r="AB22" s="39" t="s">
        <v>371</v>
      </c>
      <c r="AC22" s="39" t="s">
        <v>372</v>
      </c>
    </row>
    <row r="23" customFormat="false" ht="72" hidden="false" customHeight="true" outlineLevel="0" collapsed="false">
      <c r="A23" s="32" t="n">
        <v>19</v>
      </c>
      <c r="B23" s="33" t="s">
        <v>272</v>
      </c>
      <c r="C23" s="32" t="s">
        <v>373</v>
      </c>
      <c r="D23" s="34" t="s">
        <v>374</v>
      </c>
      <c r="E23" s="35" t="s">
        <v>127</v>
      </c>
      <c r="F23" s="7" t="s">
        <v>375</v>
      </c>
      <c r="G23" s="4" t="s">
        <v>376</v>
      </c>
      <c r="H23" s="8" t="n">
        <v>201</v>
      </c>
      <c r="I23" s="40" t="s">
        <v>83</v>
      </c>
      <c r="J23" s="40" t="s">
        <v>83</v>
      </c>
      <c r="K23" s="10" t="n">
        <v>401100</v>
      </c>
      <c r="L23" s="7" t="s">
        <v>285</v>
      </c>
      <c r="M23" s="40" t="s">
        <v>83</v>
      </c>
      <c r="N23" s="40" t="s">
        <v>83</v>
      </c>
      <c r="O23" s="7" t="s">
        <v>83</v>
      </c>
      <c r="P23" s="36" t="n">
        <f aca="false">K23+IF(ISNUMBER(M23),M23,0)+IF(ISNUMBER(N23),N23,0)</f>
        <v>401100</v>
      </c>
      <c r="Q23" s="36" t="str">
        <f aca="false">IFERROR(P23/I23,"缺")</f>
        <v>缺</v>
      </c>
      <c r="R23" s="37" t="n">
        <f aca="false">P23-'A_物調表候選(22案)'!$C$28</f>
        <v>1100</v>
      </c>
      <c r="S23" s="35" t="n">
        <v>3</v>
      </c>
      <c r="T23" s="40" t="s">
        <v>83</v>
      </c>
      <c r="U23" s="7" t="s">
        <v>377</v>
      </c>
      <c r="V23" s="41" t="s">
        <v>83</v>
      </c>
      <c r="W23" s="40" t="s">
        <v>83</v>
      </c>
      <c r="X23" s="7" t="s">
        <v>286</v>
      </c>
      <c r="Y23" s="7" t="s">
        <v>287</v>
      </c>
      <c r="Z23" s="7" t="s">
        <v>378</v>
      </c>
      <c r="AA23" s="14" t="s">
        <v>351</v>
      </c>
      <c r="AB23" s="39" t="s">
        <v>379</v>
      </c>
      <c r="AC23" s="39" t="s">
        <v>380</v>
      </c>
    </row>
    <row r="24" customFormat="false" ht="72" hidden="false" customHeight="true" outlineLevel="0" collapsed="false">
      <c r="A24" s="32" t="n">
        <v>20</v>
      </c>
      <c r="B24" s="33" t="s">
        <v>272</v>
      </c>
      <c r="C24" s="32" t="s">
        <v>381</v>
      </c>
      <c r="D24" s="34" t="s">
        <v>382</v>
      </c>
      <c r="E24" s="35" t="s">
        <v>159</v>
      </c>
      <c r="F24" s="7" t="s">
        <v>383</v>
      </c>
      <c r="G24" s="4" t="s">
        <v>384</v>
      </c>
      <c r="H24" s="8" t="n">
        <v>200</v>
      </c>
      <c r="I24" s="8" t="n">
        <v>150</v>
      </c>
      <c r="J24" s="9" t="n">
        <v>0.25</v>
      </c>
      <c r="K24" s="10" t="n">
        <v>308700</v>
      </c>
      <c r="L24" s="7" t="s">
        <v>285</v>
      </c>
      <c r="M24" s="10" t="n">
        <v>30000</v>
      </c>
      <c r="N24" s="10" t="n">
        <v>7350</v>
      </c>
      <c r="O24" s="12" t="s">
        <v>385</v>
      </c>
      <c r="P24" s="36" t="n">
        <f aca="false">K24+IF(ISNUMBER(M24),M24,0)+IF(ISNUMBER(N24),N24,0)</f>
        <v>346050</v>
      </c>
      <c r="Q24" s="36" t="n">
        <f aca="false">IFERROR(P24/I24,"缺")</f>
        <v>2307</v>
      </c>
      <c r="R24" s="37" t="n">
        <f aca="false">P24-'A_物調表候選(22案)'!$C$28</f>
        <v>-53950</v>
      </c>
      <c r="S24" s="35" t="n">
        <v>3</v>
      </c>
      <c r="T24" s="4" t="s">
        <v>63</v>
      </c>
      <c r="U24" s="7" t="s">
        <v>386</v>
      </c>
      <c r="V24" s="38" t="s">
        <v>387</v>
      </c>
      <c r="W24" s="7" t="s">
        <v>300</v>
      </c>
      <c r="X24" s="7" t="s">
        <v>286</v>
      </c>
      <c r="Y24" s="7" t="s">
        <v>287</v>
      </c>
      <c r="Z24" s="7" t="s">
        <v>388</v>
      </c>
      <c r="AA24" s="14" t="s">
        <v>389</v>
      </c>
      <c r="AB24" s="39" t="s">
        <v>390</v>
      </c>
      <c r="AC24" s="39" t="s">
        <v>391</v>
      </c>
    </row>
    <row r="25" customFormat="false" ht="72" hidden="false" customHeight="true" outlineLevel="0" collapsed="false">
      <c r="A25" s="32" t="n">
        <v>21</v>
      </c>
      <c r="B25" s="33" t="s">
        <v>272</v>
      </c>
      <c r="C25" s="32" t="s">
        <v>392</v>
      </c>
      <c r="D25" s="34" t="s">
        <v>393</v>
      </c>
      <c r="E25" s="35" t="s">
        <v>159</v>
      </c>
      <c r="F25" s="7" t="s">
        <v>178</v>
      </c>
      <c r="G25" s="4" t="s">
        <v>394</v>
      </c>
      <c r="H25" s="8" t="n">
        <v>276</v>
      </c>
      <c r="I25" s="40" t="s">
        <v>83</v>
      </c>
      <c r="J25" s="40" t="s">
        <v>83</v>
      </c>
      <c r="K25" s="10" t="n">
        <v>413800</v>
      </c>
      <c r="L25" s="7" t="s">
        <v>358</v>
      </c>
      <c r="M25" s="40" t="s">
        <v>83</v>
      </c>
      <c r="N25" s="40" t="s">
        <v>83</v>
      </c>
      <c r="O25" s="7" t="s">
        <v>395</v>
      </c>
      <c r="P25" s="36" t="n">
        <f aca="false">K25+IF(ISNUMBER(M25),M25,0)+IF(ISNUMBER(N25),N25,0)</f>
        <v>413800</v>
      </c>
      <c r="Q25" s="36" t="str">
        <f aca="false">IFERROR(P25/I25,"缺")</f>
        <v>缺</v>
      </c>
      <c r="R25" s="37" t="n">
        <f aca="false">P25-'A_物調表候選(22案)'!$C$28</f>
        <v>13800</v>
      </c>
      <c r="S25" s="35" t="s">
        <v>396</v>
      </c>
      <c r="T25" s="4" t="s">
        <v>63</v>
      </c>
      <c r="U25" s="7" t="s">
        <v>397</v>
      </c>
      <c r="V25" s="41" t="s">
        <v>83</v>
      </c>
      <c r="W25" s="40" t="s">
        <v>83</v>
      </c>
      <c r="X25" s="7" t="s">
        <v>398</v>
      </c>
      <c r="Y25" s="12" t="s">
        <v>399</v>
      </c>
      <c r="Z25" s="12" t="s">
        <v>400</v>
      </c>
      <c r="AA25" s="13" t="s">
        <v>401</v>
      </c>
      <c r="AB25" s="39" t="s">
        <v>402</v>
      </c>
      <c r="AC25" s="39" t="s">
        <v>403</v>
      </c>
    </row>
    <row r="26" customFormat="false" ht="72" hidden="false" customHeight="true" outlineLevel="0" collapsed="false">
      <c r="A26" s="32" t="n">
        <v>22</v>
      </c>
      <c r="B26" s="33" t="s">
        <v>272</v>
      </c>
      <c r="C26" s="32" t="s">
        <v>176</v>
      </c>
      <c r="D26" s="34" t="s">
        <v>177</v>
      </c>
      <c r="E26" s="35" t="s">
        <v>159</v>
      </c>
      <c r="F26" s="7" t="s">
        <v>178</v>
      </c>
      <c r="G26" s="4" t="s">
        <v>179</v>
      </c>
      <c r="H26" s="8" t="n">
        <v>253.16</v>
      </c>
      <c r="I26" s="8" t="n">
        <v>166.77</v>
      </c>
      <c r="J26" s="9" t="n">
        <v>0.3412</v>
      </c>
      <c r="K26" s="10" t="n">
        <v>350000</v>
      </c>
      <c r="L26" s="7" t="s">
        <v>268</v>
      </c>
      <c r="M26" s="10" t="n">
        <v>36676</v>
      </c>
      <c r="N26" s="10" t="n">
        <v>0</v>
      </c>
      <c r="O26" s="12" t="s">
        <v>180</v>
      </c>
      <c r="P26" s="36" t="n">
        <f aca="false">K26+IF(ISNUMBER(M26),M26,0)+IF(ISNUMBER(N26),N26,0)</f>
        <v>386676</v>
      </c>
      <c r="Q26" s="36" t="n">
        <f aca="false">IFERROR(P26/I26,"缺")</f>
        <v>2318.61845655693</v>
      </c>
      <c r="R26" s="37" t="n">
        <f aca="false">P26-'A_物調表候選(22案)'!$C$28</f>
        <v>-13324</v>
      </c>
      <c r="S26" s="35" t="n">
        <v>2</v>
      </c>
      <c r="T26" s="4" t="s">
        <v>43</v>
      </c>
      <c r="U26" s="7" t="s">
        <v>181</v>
      </c>
      <c r="V26" s="38" t="s">
        <v>404</v>
      </c>
      <c r="W26" s="7" t="s">
        <v>100</v>
      </c>
      <c r="X26" s="7" t="s">
        <v>182</v>
      </c>
      <c r="Y26" s="7" t="s">
        <v>183</v>
      </c>
      <c r="Z26" s="7" t="s">
        <v>184</v>
      </c>
      <c r="AA26" s="14" t="s">
        <v>185</v>
      </c>
      <c r="AB26" s="39" t="s">
        <v>405</v>
      </c>
      <c r="AC26" s="43" t="s">
        <v>323</v>
      </c>
    </row>
    <row r="27" customFormat="false" ht="72" hidden="false" customHeight="true" outlineLevel="0" collapsed="false">
      <c r="A27" s="32" t="n">
        <v>23</v>
      </c>
      <c r="B27" s="33" t="s">
        <v>272</v>
      </c>
      <c r="C27" s="32" t="s">
        <v>406</v>
      </c>
      <c r="D27" s="34" t="s">
        <v>407</v>
      </c>
      <c r="E27" s="35" t="s">
        <v>159</v>
      </c>
      <c r="F27" s="7" t="s">
        <v>178</v>
      </c>
      <c r="G27" s="4" t="s">
        <v>179</v>
      </c>
      <c r="H27" s="8" t="n">
        <v>252</v>
      </c>
      <c r="I27" s="40" t="s">
        <v>83</v>
      </c>
      <c r="J27" s="40" t="s">
        <v>83</v>
      </c>
      <c r="K27" s="10" t="n">
        <v>380000</v>
      </c>
      <c r="L27" s="7" t="s">
        <v>358</v>
      </c>
      <c r="M27" s="40" t="s">
        <v>83</v>
      </c>
      <c r="N27" s="40" t="s">
        <v>83</v>
      </c>
      <c r="O27" s="7" t="s">
        <v>408</v>
      </c>
      <c r="P27" s="36" t="n">
        <f aca="false">K27+IF(ISNUMBER(M27),M27,0)+IF(ISNUMBER(N27),N27,0)</f>
        <v>380000</v>
      </c>
      <c r="Q27" s="36" t="str">
        <f aca="false">IFERROR(P27/I27,"缺")</f>
        <v>缺</v>
      </c>
      <c r="R27" s="37" t="n">
        <f aca="false">P27-'A_物調表候選(22案)'!$C$28</f>
        <v>-20000</v>
      </c>
      <c r="S27" s="40" t="s">
        <v>83</v>
      </c>
      <c r="T27" s="40" t="s">
        <v>83</v>
      </c>
      <c r="U27" s="7" t="s">
        <v>397</v>
      </c>
      <c r="V27" s="41" t="s">
        <v>83</v>
      </c>
      <c r="W27" s="40" t="s">
        <v>83</v>
      </c>
      <c r="X27" s="7" t="s">
        <v>398</v>
      </c>
      <c r="Y27" s="12" t="s">
        <v>399</v>
      </c>
      <c r="Z27" s="12" t="s">
        <v>409</v>
      </c>
      <c r="AA27" s="13" t="s">
        <v>410</v>
      </c>
      <c r="AB27" s="39" t="s">
        <v>411</v>
      </c>
      <c r="AC27" s="39" t="s">
        <v>403</v>
      </c>
    </row>
    <row r="28" customFormat="false" ht="72" hidden="false" customHeight="true" outlineLevel="0" collapsed="false">
      <c r="A28" s="32" t="n">
        <v>24</v>
      </c>
      <c r="B28" s="33" t="s">
        <v>272</v>
      </c>
      <c r="C28" s="32" t="s">
        <v>125</v>
      </c>
      <c r="D28" s="34" t="s">
        <v>126</v>
      </c>
      <c r="E28" s="35" t="s">
        <v>127</v>
      </c>
      <c r="F28" s="7" t="s">
        <v>128</v>
      </c>
      <c r="G28" s="4" t="s">
        <v>129</v>
      </c>
      <c r="H28" s="8" t="n">
        <v>208.96</v>
      </c>
      <c r="I28" s="8" t="n">
        <v>164.05</v>
      </c>
      <c r="J28" s="9" t="n">
        <v>0.2149</v>
      </c>
      <c r="K28" s="10" t="n">
        <v>398000</v>
      </c>
      <c r="L28" s="7" t="s">
        <v>268</v>
      </c>
      <c r="M28" s="10" t="n">
        <v>36435</v>
      </c>
      <c r="N28" s="10" t="n">
        <v>0</v>
      </c>
      <c r="O28" s="12" t="s">
        <v>130</v>
      </c>
      <c r="P28" s="36" t="n">
        <f aca="false">K28+IF(ISNUMBER(M28),M28,0)+IF(ISNUMBER(N28),N28,0)</f>
        <v>434435</v>
      </c>
      <c r="Q28" s="36" t="n">
        <f aca="false">IFERROR(P28/I28,"缺")</f>
        <v>2648.18652849741</v>
      </c>
      <c r="R28" s="37" t="n">
        <f aca="false">P28-'A_物調表候選(22案)'!$C$28</f>
        <v>34435</v>
      </c>
      <c r="S28" s="35" t="n">
        <v>2</v>
      </c>
      <c r="T28" s="4" t="s">
        <v>63</v>
      </c>
      <c r="U28" s="7" t="s">
        <v>131</v>
      </c>
      <c r="V28" s="38" t="s">
        <v>361</v>
      </c>
      <c r="W28" s="7" t="s">
        <v>132</v>
      </c>
      <c r="X28" s="7" t="s">
        <v>133</v>
      </c>
      <c r="Y28" s="7" t="s">
        <v>134</v>
      </c>
      <c r="Z28" s="7" t="s">
        <v>135</v>
      </c>
      <c r="AA28" s="14" t="s">
        <v>136</v>
      </c>
      <c r="AB28" s="39" t="s">
        <v>412</v>
      </c>
      <c r="AC28" s="39" t="s">
        <v>413</v>
      </c>
    </row>
    <row r="29" customFormat="false" ht="72" hidden="false" customHeight="true" outlineLevel="0" collapsed="false">
      <c r="A29" s="32" t="n">
        <v>25</v>
      </c>
      <c r="B29" s="33" t="s">
        <v>272</v>
      </c>
      <c r="C29" s="32" t="s">
        <v>414</v>
      </c>
      <c r="D29" s="34" t="s">
        <v>415</v>
      </c>
      <c r="E29" s="35" t="s">
        <v>51</v>
      </c>
      <c r="F29" s="7" t="s">
        <v>416</v>
      </c>
      <c r="G29" s="4" t="s">
        <v>417</v>
      </c>
      <c r="H29" s="8" t="n">
        <v>206</v>
      </c>
      <c r="I29" s="40" t="s">
        <v>83</v>
      </c>
      <c r="J29" s="40" t="s">
        <v>83</v>
      </c>
      <c r="K29" s="10" t="n">
        <v>350900</v>
      </c>
      <c r="L29" s="7" t="s">
        <v>358</v>
      </c>
      <c r="M29" s="40" t="s">
        <v>83</v>
      </c>
      <c r="N29" s="40" t="s">
        <v>83</v>
      </c>
      <c r="O29" s="7" t="s">
        <v>408</v>
      </c>
      <c r="P29" s="36" t="n">
        <f aca="false">K29+IF(ISNUMBER(M29),M29,0)+IF(ISNUMBER(N29),N29,0)</f>
        <v>350900</v>
      </c>
      <c r="Q29" s="36" t="str">
        <f aca="false">IFERROR(P29/I29,"缺")</f>
        <v>缺</v>
      </c>
      <c r="R29" s="37" t="n">
        <f aca="false">P29-'A_物調表候選(22案)'!$C$28</f>
        <v>-49100</v>
      </c>
      <c r="S29" s="40" t="s">
        <v>83</v>
      </c>
      <c r="T29" s="40" t="s">
        <v>83</v>
      </c>
      <c r="U29" s="7" t="s">
        <v>418</v>
      </c>
      <c r="V29" s="41" t="s">
        <v>83</v>
      </c>
      <c r="W29" s="40" t="s">
        <v>83</v>
      </c>
      <c r="X29" s="7" t="s">
        <v>398</v>
      </c>
      <c r="Y29" s="12" t="s">
        <v>419</v>
      </c>
      <c r="Z29" s="12" t="s">
        <v>420</v>
      </c>
      <c r="AA29" s="13" t="s">
        <v>421</v>
      </c>
      <c r="AB29" s="39" t="s">
        <v>422</v>
      </c>
      <c r="AC29" s="39" t="s">
        <v>423</v>
      </c>
    </row>
    <row r="30" customFormat="false" ht="72" hidden="false" customHeight="true" outlineLevel="0" collapsed="false">
      <c r="A30" s="32" t="n">
        <v>26</v>
      </c>
      <c r="B30" s="33" t="s">
        <v>272</v>
      </c>
      <c r="C30" s="32" t="s">
        <v>424</v>
      </c>
      <c r="D30" s="34" t="s">
        <v>425</v>
      </c>
      <c r="E30" s="35" t="s">
        <v>127</v>
      </c>
      <c r="F30" s="7" t="s">
        <v>426</v>
      </c>
      <c r="G30" s="4" t="s">
        <v>427</v>
      </c>
      <c r="H30" s="8" t="n">
        <v>205</v>
      </c>
      <c r="I30" s="40" t="s">
        <v>83</v>
      </c>
      <c r="J30" s="40" t="s">
        <v>83</v>
      </c>
      <c r="K30" s="10" t="n">
        <v>300000</v>
      </c>
      <c r="L30" s="7" t="s">
        <v>358</v>
      </c>
      <c r="M30" s="40" t="s">
        <v>83</v>
      </c>
      <c r="N30" s="40" t="s">
        <v>83</v>
      </c>
      <c r="O30" s="7" t="s">
        <v>408</v>
      </c>
      <c r="P30" s="36" t="n">
        <f aca="false">K30+IF(ISNUMBER(M30),M30,0)+IF(ISNUMBER(N30),N30,0)</f>
        <v>300000</v>
      </c>
      <c r="Q30" s="36" t="str">
        <f aca="false">IFERROR(P30/I30,"缺")</f>
        <v>缺</v>
      </c>
      <c r="R30" s="37" t="n">
        <f aca="false">P30-'A_物調表候選(22案)'!$C$28</f>
        <v>-100000</v>
      </c>
      <c r="S30" s="40" t="s">
        <v>83</v>
      </c>
      <c r="T30" s="40" t="s">
        <v>83</v>
      </c>
      <c r="U30" s="7" t="s">
        <v>428</v>
      </c>
      <c r="V30" s="41" t="s">
        <v>83</v>
      </c>
      <c r="W30" s="40" t="s">
        <v>83</v>
      </c>
      <c r="X30" s="7" t="s">
        <v>398</v>
      </c>
      <c r="Y30" s="12" t="s">
        <v>399</v>
      </c>
      <c r="Z30" s="12" t="s">
        <v>429</v>
      </c>
      <c r="AA30" s="13" t="s">
        <v>430</v>
      </c>
      <c r="AB30" s="39" t="s">
        <v>431</v>
      </c>
      <c r="AC30" s="39" t="s">
        <v>432</v>
      </c>
    </row>
    <row r="31" customFormat="false" ht="72" hidden="false" customHeight="true" outlineLevel="0" collapsed="false">
      <c r="A31" s="32" t="n">
        <v>27</v>
      </c>
      <c r="B31" s="33" t="s">
        <v>272</v>
      </c>
      <c r="C31" s="32" t="s">
        <v>433</v>
      </c>
      <c r="D31" s="34" t="s">
        <v>434</v>
      </c>
      <c r="E31" s="35" t="s">
        <v>159</v>
      </c>
      <c r="F31" s="7" t="s">
        <v>435</v>
      </c>
      <c r="G31" s="4" t="s">
        <v>436</v>
      </c>
      <c r="H31" s="8" t="n">
        <v>203</v>
      </c>
      <c r="I31" s="40" t="s">
        <v>83</v>
      </c>
      <c r="J31" s="40" t="s">
        <v>83</v>
      </c>
      <c r="K31" s="10" t="n">
        <v>446800</v>
      </c>
      <c r="L31" s="7" t="s">
        <v>358</v>
      </c>
      <c r="M31" s="40" t="s">
        <v>83</v>
      </c>
      <c r="N31" s="40" t="s">
        <v>83</v>
      </c>
      <c r="O31" s="7" t="s">
        <v>408</v>
      </c>
      <c r="P31" s="36" t="n">
        <f aca="false">K31+IF(ISNUMBER(M31),M31,0)+IF(ISNUMBER(N31),N31,0)</f>
        <v>446800</v>
      </c>
      <c r="Q31" s="36" t="str">
        <f aca="false">IFERROR(P31/I31,"缺")</f>
        <v>缺</v>
      </c>
      <c r="R31" s="37" t="n">
        <f aca="false">P31-'A_物調表候選(22案)'!$C$28</f>
        <v>46800</v>
      </c>
      <c r="S31" s="40" t="s">
        <v>83</v>
      </c>
      <c r="T31" s="40" t="s">
        <v>83</v>
      </c>
      <c r="U31" s="7" t="s">
        <v>397</v>
      </c>
      <c r="V31" s="41" t="s">
        <v>83</v>
      </c>
      <c r="W31" s="40" t="s">
        <v>83</v>
      </c>
      <c r="X31" s="7" t="s">
        <v>398</v>
      </c>
      <c r="Y31" s="12" t="s">
        <v>399</v>
      </c>
      <c r="Z31" s="12" t="s">
        <v>437</v>
      </c>
      <c r="AA31" s="13" t="s">
        <v>438</v>
      </c>
      <c r="AB31" s="39" t="s">
        <v>439</v>
      </c>
      <c r="AC31" s="39" t="s">
        <v>291</v>
      </c>
    </row>
    <row r="32" customFormat="false" ht="72" hidden="false" customHeight="true" outlineLevel="0" collapsed="false">
      <c r="A32" s="32" t="n">
        <v>28</v>
      </c>
      <c r="B32" s="33" t="s">
        <v>272</v>
      </c>
      <c r="C32" s="32" t="s">
        <v>440</v>
      </c>
      <c r="D32" s="34" t="s">
        <v>441</v>
      </c>
      <c r="E32" s="35" t="s">
        <v>159</v>
      </c>
      <c r="F32" s="7" t="s">
        <v>442</v>
      </c>
      <c r="G32" s="4" t="s">
        <v>443</v>
      </c>
      <c r="H32" s="8" t="n">
        <v>200.79</v>
      </c>
      <c r="I32" s="40" t="s">
        <v>83</v>
      </c>
      <c r="J32" s="40" t="s">
        <v>83</v>
      </c>
      <c r="K32" s="10" t="n">
        <v>320000</v>
      </c>
      <c r="L32" s="7" t="s">
        <v>358</v>
      </c>
      <c r="M32" s="40" t="s">
        <v>83</v>
      </c>
      <c r="N32" s="40" t="s">
        <v>83</v>
      </c>
      <c r="O32" s="7" t="s">
        <v>92</v>
      </c>
      <c r="P32" s="36" t="n">
        <f aca="false">K32+IF(ISNUMBER(M32),M32,0)+IF(ISNUMBER(N32),N32,0)</f>
        <v>320000</v>
      </c>
      <c r="Q32" s="36" t="str">
        <f aca="false">IFERROR(P32/I32,"缺")</f>
        <v>缺</v>
      </c>
      <c r="R32" s="37" t="n">
        <f aca="false">P32-'A_物調表候選(22案)'!$C$28</f>
        <v>-80000</v>
      </c>
      <c r="S32" s="40" t="s">
        <v>83</v>
      </c>
      <c r="T32" s="40" t="s">
        <v>83</v>
      </c>
      <c r="U32" s="7" t="s">
        <v>444</v>
      </c>
      <c r="V32" s="41" t="s">
        <v>83</v>
      </c>
      <c r="W32" s="40" t="s">
        <v>83</v>
      </c>
      <c r="X32" s="7" t="s">
        <v>445</v>
      </c>
      <c r="Y32" s="12" t="s">
        <v>446</v>
      </c>
      <c r="Z32" s="12" t="s">
        <v>447</v>
      </c>
      <c r="AA32" s="13" t="s">
        <v>401</v>
      </c>
      <c r="AB32" s="39" t="s">
        <v>448</v>
      </c>
      <c r="AC32" s="39" t="s">
        <v>304</v>
      </c>
    </row>
    <row r="33" customFormat="false" ht="72" hidden="false" customHeight="true" outlineLevel="0" collapsed="false">
      <c r="A33" s="32" t="n">
        <v>29</v>
      </c>
      <c r="B33" s="33" t="s">
        <v>449</v>
      </c>
      <c r="C33" s="32" t="s">
        <v>49</v>
      </c>
      <c r="D33" s="34" t="s">
        <v>50</v>
      </c>
      <c r="E33" s="35" t="s">
        <v>51</v>
      </c>
      <c r="F33" s="7" t="s">
        <v>52</v>
      </c>
      <c r="G33" s="4" t="s">
        <v>53</v>
      </c>
      <c r="H33" s="8" t="n">
        <v>282.06</v>
      </c>
      <c r="I33" s="8" t="n">
        <v>255.38</v>
      </c>
      <c r="J33" s="9" t="n">
        <v>0.0946</v>
      </c>
      <c r="K33" s="10" t="n">
        <v>472500</v>
      </c>
      <c r="L33" s="7" t="s">
        <v>268</v>
      </c>
      <c r="M33" s="10" t="n">
        <v>33847</v>
      </c>
      <c r="N33" s="10" t="n">
        <v>0</v>
      </c>
      <c r="O33" s="7" t="s">
        <v>54</v>
      </c>
      <c r="P33" s="36" t="n">
        <f aca="false">K33+IF(ISNUMBER(M33),M33,0)+IF(ISNUMBER(N33),N33,0)</f>
        <v>506347</v>
      </c>
      <c r="Q33" s="36" t="n">
        <f aca="false">IFERROR(P33/I33,"缺")</f>
        <v>1982.71986843136</v>
      </c>
      <c r="R33" s="37" t="n">
        <f aca="false">P33-'A_物調表候選(22案)'!$C$28</f>
        <v>106347</v>
      </c>
      <c r="S33" s="35" t="n">
        <v>2</v>
      </c>
      <c r="T33" s="4" t="s">
        <v>43</v>
      </c>
      <c r="U33" s="7" t="s">
        <v>55</v>
      </c>
      <c r="V33" s="38" t="s">
        <v>450</v>
      </c>
      <c r="W33" s="7" t="s">
        <v>33</v>
      </c>
      <c r="X33" s="7" t="s">
        <v>34</v>
      </c>
      <c r="Y33" s="7" t="s">
        <v>46</v>
      </c>
      <c r="Z33" s="7" t="s">
        <v>56</v>
      </c>
      <c r="AA33" s="14" t="s">
        <v>57</v>
      </c>
      <c r="AB33" s="39" t="s">
        <v>451</v>
      </c>
      <c r="AC33" s="39" t="s">
        <v>452</v>
      </c>
    </row>
    <row r="34" customFormat="false" ht="72" hidden="false" customHeight="true" outlineLevel="0" collapsed="false">
      <c r="A34" s="32" t="n">
        <v>30</v>
      </c>
      <c r="B34" s="33" t="s">
        <v>449</v>
      </c>
      <c r="C34" s="32" t="s">
        <v>221</v>
      </c>
      <c r="D34" s="34" t="s">
        <v>222</v>
      </c>
      <c r="E34" s="35" t="s">
        <v>27</v>
      </c>
      <c r="F34" s="7" t="s">
        <v>223</v>
      </c>
      <c r="G34" s="4" t="s">
        <v>224</v>
      </c>
      <c r="H34" s="8" t="n">
        <v>277.81</v>
      </c>
      <c r="I34" s="8" t="n">
        <v>256.87</v>
      </c>
      <c r="J34" s="9" t="n">
        <v>0.0754</v>
      </c>
      <c r="K34" s="10" t="n">
        <v>300000</v>
      </c>
      <c r="L34" s="7" t="s">
        <v>268</v>
      </c>
      <c r="M34" s="40" t="s">
        <v>83</v>
      </c>
      <c r="N34" s="10" t="n">
        <v>0</v>
      </c>
      <c r="O34" s="7" t="s">
        <v>141</v>
      </c>
      <c r="P34" s="36" t="n">
        <f aca="false">K34+IF(ISNUMBER(M34),M34,0)+IF(ISNUMBER(N34),N34,0)</f>
        <v>300000</v>
      </c>
      <c r="Q34" s="36" t="n">
        <f aca="false">IFERROR(P34/I34,"缺")</f>
        <v>1167.90594464126</v>
      </c>
      <c r="R34" s="37" t="n">
        <f aca="false">P34-'A_物調表候選(22案)'!$C$28</f>
        <v>-100000</v>
      </c>
      <c r="S34" s="35" t="n">
        <v>2</v>
      </c>
      <c r="T34" s="4" t="s">
        <v>206</v>
      </c>
      <c r="U34" s="7" t="s">
        <v>199</v>
      </c>
      <c r="V34" s="38" t="s">
        <v>453</v>
      </c>
      <c r="W34" s="7" t="s">
        <v>100</v>
      </c>
      <c r="X34" s="7" t="s">
        <v>225</v>
      </c>
      <c r="Y34" s="7" t="s">
        <v>226</v>
      </c>
      <c r="Z34" s="7" t="s">
        <v>227</v>
      </c>
      <c r="AA34" s="14" t="s">
        <v>228</v>
      </c>
      <c r="AB34" s="39" t="s">
        <v>454</v>
      </c>
      <c r="AC34" s="39" t="s">
        <v>291</v>
      </c>
    </row>
    <row r="35" customFormat="false" ht="72" hidden="false" customHeight="true" outlineLevel="0" collapsed="false">
      <c r="A35" s="32" t="n">
        <v>31</v>
      </c>
      <c r="B35" s="33" t="s">
        <v>449</v>
      </c>
      <c r="C35" s="32" t="s">
        <v>455</v>
      </c>
      <c r="D35" s="34" t="s">
        <v>456</v>
      </c>
      <c r="E35" s="35" t="s">
        <v>27</v>
      </c>
      <c r="F35" s="7" t="s">
        <v>457</v>
      </c>
      <c r="G35" s="4" t="s">
        <v>458</v>
      </c>
      <c r="H35" s="8" t="n">
        <v>276</v>
      </c>
      <c r="I35" s="40" t="s">
        <v>83</v>
      </c>
      <c r="J35" s="40" t="s">
        <v>83</v>
      </c>
      <c r="K35" s="10" t="n">
        <v>504000</v>
      </c>
      <c r="L35" s="7" t="s">
        <v>285</v>
      </c>
      <c r="M35" s="40" t="s">
        <v>83</v>
      </c>
      <c r="N35" s="40" t="s">
        <v>83</v>
      </c>
      <c r="O35" s="7" t="s">
        <v>83</v>
      </c>
      <c r="P35" s="36" t="n">
        <f aca="false">K35+IF(ISNUMBER(M35),M35,0)+IF(ISNUMBER(N35),N35,0)</f>
        <v>504000</v>
      </c>
      <c r="Q35" s="36" t="str">
        <f aca="false">IFERROR(P35/I35,"缺")</f>
        <v>缺</v>
      </c>
      <c r="R35" s="37" t="n">
        <f aca="false">P35-'A_物調表候選(22案)'!$C$28</f>
        <v>104000</v>
      </c>
      <c r="S35" s="35" t="n">
        <v>3</v>
      </c>
      <c r="T35" s="40" t="s">
        <v>83</v>
      </c>
      <c r="U35" s="40" t="s">
        <v>83</v>
      </c>
      <c r="V35" s="41" t="s">
        <v>83</v>
      </c>
      <c r="W35" s="40" t="s">
        <v>83</v>
      </c>
      <c r="X35" s="7" t="s">
        <v>286</v>
      </c>
      <c r="Y35" s="7" t="s">
        <v>287</v>
      </c>
      <c r="Z35" s="7" t="s">
        <v>459</v>
      </c>
      <c r="AA35" s="14" t="s">
        <v>460</v>
      </c>
      <c r="AB35" s="39" t="s">
        <v>461</v>
      </c>
      <c r="AC35" s="39" t="s">
        <v>291</v>
      </c>
    </row>
    <row r="36" customFormat="false" ht="72" hidden="false" customHeight="true" outlineLevel="0" collapsed="false">
      <c r="A36" s="32" t="n">
        <v>32</v>
      </c>
      <c r="B36" s="33" t="s">
        <v>449</v>
      </c>
      <c r="C36" s="32" t="s">
        <v>212</v>
      </c>
      <c r="D36" s="34" t="s">
        <v>213</v>
      </c>
      <c r="E36" s="35" t="s">
        <v>127</v>
      </c>
      <c r="F36" s="7" t="s">
        <v>214</v>
      </c>
      <c r="G36" s="4" t="s">
        <v>215</v>
      </c>
      <c r="H36" s="8" t="n">
        <v>266.36</v>
      </c>
      <c r="I36" s="40" t="s">
        <v>83</v>
      </c>
      <c r="J36" s="40" t="s">
        <v>83</v>
      </c>
      <c r="K36" s="10" t="n">
        <v>560000</v>
      </c>
      <c r="L36" s="7" t="s">
        <v>268</v>
      </c>
      <c r="M36" s="40" t="s">
        <v>83</v>
      </c>
      <c r="N36" s="10" t="n">
        <v>0</v>
      </c>
      <c r="O36" s="7" t="s">
        <v>198</v>
      </c>
      <c r="P36" s="36" t="n">
        <f aca="false">K36+IF(ISNUMBER(M36),M36,0)+IF(ISNUMBER(N36),N36,0)</f>
        <v>560000</v>
      </c>
      <c r="Q36" s="36" t="str">
        <f aca="false">IFERROR(P36/I36,"缺")</f>
        <v>缺</v>
      </c>
      <c r="R36" s="37" t="n">
        <f aca="false">P36-'A_物調表候選(22案)'!$C$28</f>
        <v>160000</v>
      </c>
      <c r="S36" s="40" t="s">
        <v>83</v>
      </c>
      <c r="T36" s="40" t="s">
        <v>83</v>
      </c>
      <c r="U36" s="7" t="s">
        <v>216</v>
      </c>
      <c r="V36" s="38" t="s">
        <v>323</v>
      </c>
      <c r="W36" s="7" t="s">
        <v>100</v>
      </c>
      <c r="X36" s="7" t="s">
        <v>217</v>
      </c>
      <c r="Y36" s="7" t="s">
        <v>218</v>
      </c>
      <c r="Z36" s="7" t="s">
        <v>219</v>
      </c>
      <c r="AA36" s="14" t="s">
        <v>220</v>
      </c>
      <c r="AB36" s="39" t="s">
        <v>462</v>
      </c>
      <c r="AC36" s="39" t="s">
        <v>291</v>
      </c>
    </row>
    <row r="37" customFormat="false" ht="72" hidden="false" customHeight="true" outlineLevel="0" collapsed="false">
      <c r="A37" s="32" t="n">
        <v>33</v>
      </c>
      <c r="B37" s="33" t="s">
        <v>449</v>
      </c>
      <c r="C37" s="32" t="s">
        <v>202</v>
      </c>
      <c r="D37" s="34" t="s">
        <v>203</v>
      </c>
      <c r="E37" s="35" t="s">
        <v>127</v>
      </c>
      <c r="F37" s="7" t="s">
        <v>204</v>
      </c>
      <c r="G37" s="4" t="s">
        <v>205</v>
      </c>
      <c r="H37" s="8" t="n">
        <v>265.82</v>
      </c>
      <c r="I37" s="40" t="s">
        <v>83</v>
      </c>
      <c r="J37" s="40" t="s">
        <v>83</v>
      </c>
      <c r="K37" s="10" t="n">
        <v>544931</v>
      </c>
      <c r="L37" s="7" t="s">
        <v>268</v>
      </c>
      <c r="M37" s="40" t="s">
        <v>83</v>
      </c>
      <c r="N37" s="10" t="n">
        <v>0</v>
      </c>
      <c r="O37" s="7" t="s">
        <v>198</v>
      </c>
      <c r="P37" s="36" t="n">
        <f aca="false">K37+IF(ISNUMBER(M37),M37,0)+IF(ISNUMBER(N37),N37,0)</f>
        <v>544931</v>
      </c>
      <c r="Q37" s="36" t="str">
        <f aca="false">IFERROR(P37/I37,"缺")</f>
        <v>缺</v>
      </c>
      <c r="R37" s="37" t="n">
        <f aca="false">P37-'A_物調表候選(22案)'!$C$28</f>
        <v>144931</v>
      </c>
      <c r="S37" s="40" t="s">
        <v>83</v>
      </c>
      <c r="T37" s="4" t="s">
        <v>206</v>
      </c>
      <c r="U37" s="7" t="s">
        <v>207</v>
      </c>
      <c r="V37" s="38" t="s">
        <v>323</v>
      </c>
      <c r="W37" s="7" t="s">
        <v>100</v>
      </c>
      <c r="X37" s="7" t="s">
        <v>208</v>
      </c>
      <c r="Y37" s="7" t="s">
        <v>209</v>
      </c>
      <c r="Z37" s="7" t="s">
        <v>210</v>
      </c>
      <c r="AA37" s="14" t="s">
        <v>211</v>
      </c>
      <c r="AB37" s="39" t="s">
        <v>463</v>
      </c>
      <c r="AC37" s="39" t="s">
        <v>291</v>
      </c>
    </row>
    <row r="38" customFormat="false" ht="72" hidden="false" customHeight="true" outlineLevel="0" collapsed="false">
      <c r="A38" s="32" t="n">
        <v>34</v>
      </c>
      <c r="B38" s="33" t="s">
        <v>449</v>
      </c>
      <c r="C38" s="32" t="s">
        <v>69</v>
      </c>
      <c r="D38" s="34" t="s">
        <v>70</v>
      </c>
      <c r="E38" s="35" t="s">
        <v>27</v>
      </c>
      <c r="F38" s="7" t="s">
        <v>71</v>
      </c>
      <c r="G38" s="4" t="s">
        <v>72</v>
      </c>
      <c r="H38" s="8" t="n">
        <v>265.72</v>
      </c>
      <c r="I38" s="8" t="n">
        <v>203.79</v>
      </c>
      <c r="J38" s="9" t="n">
        <v>0.2331</v>
      </c>
      <c r="K38" s="10" t="n">
        <v>502211</v>
      </c>
      <c r="L38" s="7" t="s">
        <v>268</v>
      </c>
      <c r="M38" s="32" t="n">
        <f aca="false">H38*150</f>
        <v>39858</v>
      </c>
      <c r="N38" s="10" t="n">
        <v>0</v>
      </c>
      <c r="O38" s="7" t="s">
        <v>73</v>
      </c>
      <c r="P38" s="36" t="n">
        <f aca="false">K38+IF(ISNUMBER(M38),M38,0)+IF(ISNUMBER(N38),N38,0)</f>
        <v>542069</v>
      </c>
      <c r="Q38" s="36" t="n">
        <f aca="false">IFERROR(P38/I38,"缺")</f>
        <v>2659.93915304971</v>
      </c>
      <c r="R38" s="37" t="n">
        <f aca="false">P38-'A_物調表候選(22案)'!$C$28</f>
        <v>142069</v>
      </c>
      <c r="S38" s="35" t="n">
        <v>3</v>
      </c>
      <c r="T38" s="6" t="s">
        <v>74</v>
      </c>
      <c r="U38" s="7" t="s">
        <v>32</v>
      </c>
      <c r="V38" s="38" t="s">
        <v>450</v>
      </c>
      <c r="W38" s="7" t="s">
        <v>75</v>
      </c>
      <c r="X38" s="7" t="s">
        <v>34</v>
      </c>
      <c r="Y38" s="7" t="s">
        <v>76</v>
      </c>
      <c r="Z38" s="7" t="s">
        <v>77</v>
      </c>
      <c r="AA38" s="14" t="s">
        <v>78</v>
      </c>
      <c r="AB38" s="39" t="s">
        <v>464</v>
      </c>
      <c r="AC38" s="39" t="s">
        <v>344</v>
      </c>
    </row>
    <row r="39" customFormat="false" ht="72" hidden="false" customHeight="true" outlineLevel="0" collapsed="false">
      <c r="A39" s="32" t="n">
        <v>35</v>
      </c>
      <c r="B39" s="33" t="s">
        <v>449</v>
      </c>
      <c r="C39" s="32" t="s">
        <v>465</v>
      </c>
      <c r="D39" s="34" t="s">
        <v>466</v>
      </c>
      <c r="E39" s="35" t="s">
        <v>27</v>
      </c>
      <c r="F39" s="7" t="s">
        <v>467</v>
      </c>
      <c r="G39" s="4" t="s">
        <v>468</v>
      </c>
      <c r="H39" s="8" t="n">
        <v>257</v>
      </c>
      <c r="I39" s="40" t="s">
        <v>83</v>
      </c>
      <c r="J39" s="40" t="s">
        <v>83</v>
      </c>
      <c r="K39" s="10" t="n">
        <v>588000</v>
      </c>
      <c r="L39" s="7" t="s">
        <v>285</v>
      </c>
      <c r="M39" s="40" t="s">
        <v>83</v>
      </c>
      <c r="N39" s="40" t="s">
        <v>83</v>
      </c>
      <c r="O39" s="7" t="s">
        <v>83</v>
      </c>
      <c r="P39" s="36" t="n">
        <f aca="false">K39+IF(ISNUMBER(M39),M39,0)+IF(ISNUMBER(N39),N39,0)</f>
        <v>588000</v>
      </c>
      <c r="Q39" s="36" t="str">
        <f aca="false">IFERROR(P39/I39,"缺")</f>
        <v>缺</v>
      </c>
      <c r="R39" s="37" t="n">
        <f aca="false">P39-'A_物調表候選(22案)'!$C$28</f>
        <v>188000</v>
      </c>
      <c r="S39" s="35" t="n">
        <v>3</v>
      </c>
      <c r="T39" s="40" t="s">
        <v>83</v>
      </c>
      <c r="U39" s="40" t="s">
        <v>83</v>
      </c>
      <c r="V39" s="41" t="s">
        <v>83</v>
      </c>
      <c r="W39" s="40" t="s">
        <v>83</v>
      </c>
      <c r="X39" s="7" t="s">
        <v>286</v>
      </c>
      <c r="Y39" s="7" t="s">
        <v>287</v>
      </c>
      <c r="Z39" s="12" t="s">
        <v>469</v>
      </c>
      <c r="AA39" s="14" t="s">
        <v>470</v>
      </c>
      <c r="AB39" s="39" t="s">
        <v>471</v>
      </c>
      <c r="AC39" s="39" t="s">
        <v>291</v>
      </c>
    </row>
    <row r="40" customFormat="false" ht="72" hidden="false" customHeight="true" outlineLevel="0" collapsed="false">
      <c r="A40" s="32" t="n">
        <v>36</v>
      </c>
      <c r="B40" s="33" t="s">
        <v>449</v>
      </c>
      <c r="C40" s="32" t="s">
        <v>38</v>
      </c>
      <c r="D40" s="34" t="s">
        <v>39</v>
      </c>
      <c r="E40" s="35" t="s">
        <v>27</v>
      </c>
      <c r="F40" s="7" t="s">
        <v>40</v>
      </c>
      <c r="G40" s="4" t="s">
        <v>41</v>
      </c>
      <c r="H40" s="8" t="n">
        <v>232.22</v>
      </c>
      <c r="I40" s="8" t="n">
        <v>183.22</v>
      </c>
      <c r="J40" s="9" t="n">
        <v>0.211</v>
      </c>
      <c r="K40" s="10" t="n">
        <v>451087</v>
      </c>
      <c r="L40" s="7" t="s">
        <v>268</v>
      </c>
      <c r="M40" s="10" t="n">
        <v>32511</v>
      </c>
      <c r="N40" s="10" t="n">
        <v>10500</v>
      </c>
      <c r="O40" s="7" t="s">
        <v>42</v>
      </c>
      <c r="P40" s="36" t="n">
        <f aca="false">K40+IF(ISNUMBER(M40),M40,0)+IF(ISNUMBER(N40),N40,0)</f>
        <v>494098</v>
      </c>
      <c r="Q40" s="36" t="n">
        <f aca="false">IFERROR(P40/I40,"缺")</f>
        <v>2696.7470800131</v>
      </c>
      <c r="R40" s="37" t="n">
        <f aca="false">P40-'A_物調表候選(22案)'!$C$28</f>
        <v>94098</v>
      </c>
      <c r="S40" s="35" t="n">
        <v>3</v>
      </c>
      <c r="T40" s="4" t="s">
        <v>43</v>
      </c>
      <c r="U40" s="7" t="s">
        <v>44</v>
      </c>
      <c r="V40" s="38" t="s">
        <v>276</v>
      </c>
      <c r="W40" s="7" t="s">
        <v>45</v>
      </c>
      <c r="X40" s="7" t="s">
        <v>34</v>
      </c>
      <c r="Y40" s="7" t="s">
        <v>46</v>
      </c>
      <c r="Z40" s="7" t="s">
        <v>47</v>
      </c>
      <c r="AA40" s="14" t="s">
        <v>48</v>
      </c>
      <c r="AB40" s="39" t="s">
        <v>472</v>
      </c>
      <c r="AC40" s="39" t="s">
        <v>473</v>
      </c>
    </row>
    <row r="41" customFormat="false" ht="72" hidden="false" customHeight="true" outlineLevel="0" collapsed="false">
      <c r="A41" s="32" t="n">
        <v>37</v>
      </c>
      <c r="B41" s="33" t="s">
        <v>449</v>
      </c>
      <c r="C41" s="32" t="s">
        <v>474</v>
      </c>
      <c r="D41" s="34" t="s">
        <v>475</v>
      </c>
      <c r="E41" s="35" t="s">
        <v>27</v>
      </c>
      <c r="F41" s="7" t="s">
        <v>476</v>
      </c>
      <c r="G41" s="4" t="s">
        <v>477</v>
      </c>
      <c r="H41" s="8" t="n">
        <v>230</v>
      </c>
      <c r="I41" s="8" t="n">
        <v>179</v>
      </c>
      <c r="J41" s="9" t="n">
        <v>0.22</v>
      </c>
      <c r="K41" s="10" t="n">
        <v>478170</v>
      </c>
      <c r="L41" s="7" t="s">
        <v>285</v>
      </c>
      <c r="M41" s="10" t="n">
        <v>36800</v>
      </c>
      <c r="N41" s="10" t="n">
        <v>12000</v>
      </c>
      <c r="O41" s="12" t="s">
        <v>478</v>
      </c>
      <c r="P41" s="36" t="n">
        <f aca="false">K41+IF(ISNUMBER(M41),M41,0)+IF(ISNUMBER(N41),N41,0)</f>
        <v>526970</v>
      </c>
      <c r="Q41" s="36" t="n">
        <f aca="false">IFERROR(P41/I41,"缺")</f>
        <v>2943.96648044693</v>
      </c>
      <c r="R41" s="37" t="n">
        <f aca="false">P41-'A_物調表候選(22案)'!$C$28</f>
        <v>126970</v>
      </c>
      <c r="S41" s="35" t="n">
        <v>3</v>
      </c>
      <c r="T41" s="4" t="s">
        <v>63</v>
      </c>
      <c r="U41" s="7" t="s">
        <v>44</v>
      </c>
      <c r="V41" s="38" t="s">
        <v>276</v>
      </c>
      <c r="W41" s="7" t="s">
        <v>33</v>
      </c>
      <c r="X41" s="7" t="s">
        <v>286</v>
      </c>
      <c r="Y41" s="7" t="s">
        <v>287</v>
      </c>
      <c r="Z41" s="7" t="s">
        <v>479</v>
      </c>
      <c r="AA41" s="14" t="s">
        <v>480</v>
      </c>
      <c r="AB41" s="39" t="s">
        <v>481</v>
      </c>
      <c r="AC41" s="39" t="s">
        <v>344</v>
      </c>
    </row>
    <row r="42" customFormat="false" ht="72" hidden="false" customHeight="true" outlineLevel="0" collapsed="false">
      <c r="A42" s="32" t="n">
        <v>38</v>
      </c>
      <c r="B42" s="33" t="s">
        <v>449</v>
      </c>
      <c r="C42" s="32" t="s">
        <v>482</v>
      </c>
      <c r="D42" s="34" t="s">
        <v>483</v>
      </c>
      <c r="E42" s="35" t="s">
        <v>51</v>
      </c>
      <c r="F42" s="7" t="s">
        <v>484</v>
      </c>
      <c r="G42" s="4" t="s">
        <v>468</v>
      </c>
      <c r="H42" s="8" t="n">
        <v>226</v>
      </c>
      <c r="I42" s="40" t="s">
        <v>83</v>
      </c>
      <c r="J42" s="40" t="s">
        <v>83</v>
      </c>
      <c r="K42" s="10" t="n">
        <v>522375</v>
      </c>
      <c r="L42" s="7" t="s">
        <v>285</v>
      </c>
      <c r="M42" s="40" t="s">
        <v>83</v>
      </c>
      <c r="N42" s="40" t="s">
        <v>83</v>
      </c>
      <c r="O42" s="7" t="s">
        <v>83</v>
      </c>
      <c r="P42" s="36" t="n">
        <f aca="false">K42+IF(ISNUMBER(M42),M42,0)+IF(ISNUMBER(N42),N42,0)</f>
        <v>522375</v>
      </c>
      <c r="Q42" s="36" t="str">
        <f aca="false">IFERROR(P42/I42,"缺")</f>
        <v>缺</v>
      </c>
      <c r="R42" s="37" t="n">
        <f aca="false">P42-'A_物調表候選(22案)'!$C$28</f>
        <v>122375</v>
      </c>
      <c r="S42" s="35" t="n">
        <v>4</v>
      </c>
      <c r="T42" s="40" t="s">
        <v>83</v>
      </c>
      <c r="U42" s="40" t="s">
        <v>83</v>
      </c>
      <c r="V42" s="41" t="s">
        <v>83</v>
      </c>
      <c r="W42" s="40" t="s">
        <v>83</v>
      </c>
      <c r="X42" s="7" t="s">
        <v>286</v>
      </c>
      <c r="Y42" s="7" t="s">
        <v>287</v>
      </c>
      <c r="Z42" s="12" t="s">
        <v>485</v>
      </c>
      <c r="AA42" s="14" t="s">
        <v>289</v>
      </c>
      <c r="AB42" s="39" t="s">
        <v>486</v>
      </c>
      <c r="AC42" s="39" t="s">
        <v>291</v>
      </c>
    </row>
    <row r="43" customFormat="false" ht="72" hidden="false" customHeight="true" outlineLevel="0" collapsed="false">
      <c r="A43" s="32" t="n">
        <v>39</v>
      </c>
      <c r="B43" s="33" t="s">
        <v>449</v>
      </c>
      <c r="C43" s="32" t="s">
        <v>137</v>
      </c>
      <c r="D43" s="34" t="s">
        <v>138</v>
      </c>
      <c r="E43" s="35" t="s">
        <v>51</v>
      </c>
      <c r="F43" s="7" t="s">
        <v>139</v>
      </c>
      <c r="G43" s="4" t="s">
        <v>140</v>
      </c>
      <c r="H43" s="8" t="n">
        <v>225.83</v>
      </c>
      <c r="I43" s="8" t="n">
        <v>201.29</v>
      </c>
      <c r="J43" s="9" t="n">
        <v>0.1087</v>
      </c>
      <c r="K43" s="10" t="n">
        <v>474500</v>
      </c>
      <c r="L43" s="7" t="s">
        <v>268</v>
      </c>
      <c r="M43" s="10" t="n">
        <v>27100</v>
      </c>
      <c r="N43" s="10" t="n">
        <v>0</v>
      </c>
      <c r="O43" s="7" t="s">
        <v>141</v>
      </c>
      <c r="P43" s="36" t="n">
        <f aca="false">K43+IF(ISNUMBER(M43),M43,0)+IF(ISNUMBER(N43),N43,0)</f>
        <v>501600</v>
      </c>
      <c r="Q43" s="36" t="n">
        <f aca="false">IFERROR(P43/I43,"缺")</f>
        <v>2491.92707039595</v>
      </c>
      <c r="R43" s="37" t="n">
        <f aca="false">P43-'A_物調表候選(22案)'!$C$28</f>
        <v>101600</v>
      </c>
      <c r="S43" s="35" t="n">
        <v>3</v>
      </c>
      <c r="T43" s="4" t="s">
        <v>63</v>
      </c>
      <c r="U43" s="7" t="s">
        <v>142</v>
      </c>
      <c r="V43" s="38" t="s">
        <v>487</v>
      </c>
      <c r="W43" s="7" t="s">
        <v>100</v>
      </c>
      <c r="X43" s="7" t="s">
        <v>143</v>
      </c>
      <c r="Y43" s="7" t="s">
        <v>144</v>
      </c>
      <c r="Z43" s="7" t="s">
        <v>145</v>
      </c>
      <c r="AA43" s="14" t="s">
        <v>146</v>
      </c>
      <c r="AB43" s="39" t="s">
        <v>488</v>
      </c>
      <c r="AC43" s="39" t="s">
        <v>489</v>
      </c>
    </row>
    <row r="44" customFormat="false" ht="72" hidden="false" customHeight="true" outlineLevel="0" collapsed="false">
      <c r="A44" s="32" t="n">
        <v>40</v>
      </c>
      <c r="B44" s="33" t="s">
        <v>449</v>
      </c>
      <c r="C44" s="32" t="s">
        <v>58</v>
      </c>
      <c r="D44" s="34" t="s">
        <v>59</v>
      </c>
      <c r="E44" s="35" t="s">
        <v>51</v>
      </c>
      <c r="F44" s="7" t="s">
        <v>60</v>
      </c>
      <c r="G44" s="4" t="s">
        <v>61</v>
      </c>
      <c r="H44" s="8" t="n">
        <v>220.07</v>
      </c>
      <c r="I44" s="8" t="n">
        <v>207.21</v>
      </c>
      <c r="J44" s="9" t="n">
        <v>0.0584</v>
      </c>
      <c r="K44" s="10" t="n">
        <v>440140</v>
      </c>
      <c r="L44" s="7" t="s">
        <v>268</v>
      </c>
      <c r="M44" s="10" t="n">
        <v>48415</v>
      </c>
      <c r="N44" s="10" t="n">
        <v>8000</v>
      </c>
      <c r="O44" s="7" t="s">
        <v>62</v>
      </c>
      <c r="P44" s="36" t="n">
        <f aca="false">K44+IF(ISNUMBER(M44),M44,0)+IF(ISNUMBER(N44),N44,0)</f>
        <v>496555</v>
      </c>
      <c r="Q44" s="36" t="n">
        <f aca="false">IFERROR(P44/I44,"缺")</f>
        <v>2396.38530958931</v>
      </c>
      <c r="R44" s="37" t="n">
        <f aca="false">P44-'A_物調表候選(22案)'!$C$28</f>
        <v>96555</v>
      </c>
      <c r="S44" s="35" t="n">
        <v>3</v>
      </c>
      <c r="T44" s="4" t="s">
        <v>63</v>
      </c>
      <c r="U44" s="7" t="s">
        <v>64</v>
      </c>
      <c r="V44" s="38" t="s">
        <v>490</v>
      </c>
      <c r="W44" s="7" t="s">
        <v>65</v>
      </c>
      <c r="X44" s="7" t="s">
        <v>34</v>
      </c>
      <c r="Y44" s="7" t="s">
        <v>66</v>
      </c>
      <c r="Z44" s="7" t="s">
        <v>67</v>
      </c>
      <c r="AA44" s="13" t="s">
        <v>68</v>
      </c>
      <c r="AB44" s="39" t="s">
        <v>491</v>
      </c>
      <c r="AC44" s="39" t="s">
        <v>492</v>
      </c>
    </row>
    <row r="45" customFormat="false" ht="72" hidden="false" customHeight="true" outlineLevel="0" collapsed="false">
      <c r="A45" s="32" t="n">
        <v>41</v>
      </c>
      <c r="B45" s="33" t="s">
        <v>449</v>
      </c>
      <c r="C45" s="32" t="s">
        <v>493</v>
      </c>
      <c r="D45" s="34" t="s">
        <v>494</v>
      </c>
      <c r="E45" s="35" t="s">
        <v>27</v>
      </c>
      <c r="F45" s="7" t="s">
        <v>495</v>
      </c>
      <c r="G45" s="4" t="s">
        <v>496</v>
      </c>
      <c r="H45" s="8" t="n">
        <v>214</v>
      </c>
      <c r="I45" s="40" t="s">
        <v>83</v>
      </c>
      <c r="J45" s="40" t="s">
        <v>83</v>
      </c>
      <c r="K45" s="10" t="n">
        <v>494340</v>
      </c>
      <c r="L45" s="7" t="s">
        <v>285</v>
      </c>
      <c r="M45" s="40" t="s">
        <v>83</v>
      </c>
      <c r="N45" s="40" t="s">
        <v>83</v>
      </c>
      <c r="O45" s="7" t="s">
        <v>83</v>
      </c>
      <c r="P45" s="36" t="n">
        <f aca="false">K45+IF(ISNUMBER(M45),M45,0)+IF(ISNUMBER(N45),N45,0)</f>
        <v>494340</v>
      </c>
      <c r="Q45" s="36" t="str">
        <f aca="false">IFERROR(P45/I45,"缺")</f>
        <v>缺</v>
      </c>
      <c r="R45" s="37" t="n">
        <f aca="false">P45-'A_物調表候選(22案)'!$C$28</f>
        <v>94340</v>
      </c>
      <c r="S45" s="35" t="n">
        <v>3</v>
      </c>
      <c r="T45" s="40" t="s">
        <v>83</v>
      </c>
      <c r="U45" s="7" t="s">
        <v>32</v>
      </c>
      <c r="V45" s="38" t="s">
        <v>269</v>
      </c>
      <c r="W45" s="7" t="s">
        <v>497</v>
      </c>
      <c r="X45" s="7" t="s">
        <v>286</v>
      </c>
      <c r="Y45" s="7" t="s">
        <v>287</v>
      </c>
      <c r="Z45" s="7" t="s">
        <v>498</v>
      </c>
      <c r="AA45" s="14" t="s">
        <v>499</v>
      </c>
      <c r="AB45" s="39" t="s">
        <v>500</v>
      </c>
      <c r="AC45" s="39" t="s">
        <v>291</v>
      </c>
    </row>
    <row r="46" customFormat="false" ht="72" hidden="false" customHeight="true" outlineLevel="0" collapsed="false">
      <c r="A46" s="32" t="n">
        <v>42</v>
      </c>
      <c r="B46" s="33" t="s">
        <v>449</v>
      </c>
      <c r="C46" s="32" t="s">
        <v>501</v>
      </c>
      <c r="D46" s="34" t="s">
        <v>502</v>
      </c>
      <c r="E46" s="35" t="s">
        <v>51</v>
      </c>
      <c r="F46" s="7" t="s">
        <v>149</v>
      </c>
      <c r="G46" s="4" t="s">
        <v>503</v>
      </c>
      <c r="H46" s="8" t="n">
        <v>211</v>
      </c>
      <c r="I46" s="40" t="s">
        <v>83</v>
      </c>
      <c r="J46" s="40" t="s">
        <v>83</v>
      </c>
      <c r="K46" s="10" t="n">
        <v>400000</v>
      </c>
      <c r="L46" s="7" t="s">
        <v>504</v>
      </c>
      <c r="M46" s="40" t="s">
        <v>83</v>
      </c>
      <c r="N46" s="40" t="s">
        <v>83</v>
      </c>
      <c r="O46" s="7" t="s">
        <v>359</v>
      </c>
      <c r="P46" s="36" t="n">
        <f aca="false">K46+IF(ISNUMBER(M46),M46,0)+IF(ISNUMBER(N46),N46,0)</f>
        <v>400000</v>
      </c>
      <c r="Q46" s="36" t="str">
        <f aca="false">IFERROR(P46/I46,"缺")</f>
        <v>缺</v>
      </c>
      <c r="R46" s="37" t="n">
        <f aca="false">P46-'A_物調表候選(22案)'!$C$28</f>
        <v>0</v>
      </c>
      <c r="S46" s="40" t="s">
        <v>83</v>
      </c>
      <c r="T46" s="40" t="s">
        <v>83</v>
      </c>
      <c r="U46" s="7" t="s">
        <v>505</v>
      </c>
      <c r="V46" s="41" t="s">
        <v>83</v>
      </c>
      <c r="W46" s="40" t="s">
        <v>83</v>
      </c>
      <c r="X46" s="7" t="s">
        <v>445</v>
      </c>
      <c r="Y46" s="12" t="s">
        <v>506</v>
      </c>
      <c r="Z46" s="7" t="s">
        <v>507</v>
      </c>
      <c r="AA46" s="13" t="s">
        <v>508</v>
      </c>
      <c r="AB46" s="39" t="s">
        <v>509</v>
      </c>
      <c r="AC46" s="43" t="s">
        <v>323</v>
      </c>
    </row>
    <row r="47" customFormat="false" ht="72" hidden="false" customHeight="true" outlineLevel="0" collapsed="false">
      <c r="A47" s="32" t="n">
        <v>43</v>
      </c>
      <c r="B47" s="33" t="s">
        <v>449</v>
      </c>
      <c r="C47" s="32" t="s">
        <v>510</v>
      </c>
      <c r="D47" s="34" t="s">
        <v>511</v>
      </c>
      <c r="E47" s="35" t="s">
        <v>159</v>
      </c>
      <c r="F47" s="7" t="s">
        <v>512</v>
      </c>
      <c r="G47" s="4" t="s">
        <v>468</v>
      </c>
      <c r="H47" s="8" t="n">
        <v>210</v>
      </c>
      <c r="I47" s="40" t="s">
        <v>83</v>
      </c>
      <c r="J47" s="40" t="s">
        <v>83</v>
      </c>
      <c r="K47" s="10" t="n">
        <v>507150</v>
      </c>
      <c r="L47" s="7" t="s">
        <v>285</v>
      </c>
      <c r="M47" s="40" t="s">
        <v>83</v>
      </c>
      <c r="N47" s="40" t="s">
        <v>83</v>
      </c>
      <c r="O47" s="7" t="s">
        <v>83</v>
      </c>
      <c r="P47" s="36" t="n">
        <f aca="false">K47+IF(ISNUMBER(M47),M47,0)+IF(ISNUMBER(N47),N47,0)</f>
        <v>507150</v>
      </c>
      <c r="Q47" s="36" t="str">
        <f aca="false">IFERROR(P47/I47,"缺")</f>
        <v>缺</v>
      </c>
      <c r="R47" s="37" t="n">
        <f aca="false">P47-'A_物調表候選(22案)'!$C$28</f>
        <v>107150</v>
      </c>
      <c r="S47" s="35" t="n">
        <v>3</v>
      </c>
      <c r="T47" s="40" t="s">
        <v>83</v>
      </c>
      <c r="U47" s="40" t="s">
        <v>83</v>
      </c>
      <c r="V47" s="41" t="s">
        <v>83</v>
      </c>
      <c r="W47" s="40" t="s">
        <v>83</v>
      </c>
      <c r="X47" s="7" t="s">
        <v>286</v>
      </c>
      <c r="Y47" s="7" t="s">
        <v>287</v>
      </c>
      <c r="Z47" s="12" t="s">
        <v>513</v>
      </c>
      <c r="AA47" s="14" t="s">
        <v>321</v>
      </c>
      <c r="AB47" s="39" t="s">
        <v>514</v>
      </c>
      <c r="AC47" s="39" t="s">
        <v>291</v>
      </c>
    </row>
    <row r="48" customFormat="false" ht="72" hidden="false" customHeight="true" outlineLevel="0" collapsed="false">
      <c r="A48" s="32" t="n">
        <v>44</v>
      </c>
      <c r="B48" s="33" t="s">
        <v>449</v>
      </c>
      <c r="C48" s="32" t="s">
        <v>515</v>
      </c>
      <c r="D48" s="34" t="s">
        <v>516</v>
      </c>
      <c r="E48" s="35" t="s">
        <v>51</v>
      </c>
      <c r="F48" s="7" t="s">
        <v>517</v>
      </c>
      <c r="G48" s="4" t="s">
        <v>518</v>
      </c>
      <c r="H48" s="8" t="n">
        <v>205</v>
      </c>
      <c r="I48" s="40" t="s">
        <v>83</v>
      </c>
      <c r="J48" s="40" t="s">
        <v>83</v>
      </c>
      <c r="K48" s="10" t="n">
        <v>486465</v>
      </c>
      <c r="L48" s="7" t="s">
        <v>285</v>
      </c>
      <c r="M48" s="40" t="s">
        <v>83</v>
      </c>
      <c r="N48" s="40" t="s">
        <v>83</v>
      </c>
      <c r="O48" s="7" t="s">
        <v>83</v>
      </c>
      <c r="P48" s="36" t="n">
        <f aca="false">K48+IF(ISNUMBER(M48),M48,0)+IF(ISNUMBER(N48),N48,0)</f>
        <v>486465</v>
      </c>
      <c r="Q48" s="36" t="str">
        <f aca="false">IFERROR(P48/I48,"缺")</f>
        <v>缺</v>
      </c>
      <c r="R48" s="37" t="n">
        <f aca="false">P48-'A_物調表候選(22案)'!$C$28</f>
        <v>86465</v>
      </c>
      <c r="S48" s="35" t="n">
        <v>4</v>
      </c>
      <c r="T48" s="40" t="s">
        <v>83</v>
      </c>
      <c r="U48" s="40" t="s">
        <v>83</v>
      </c>
      <c r="V48" s="41" t="s">
        <v>83</v>
      </c>
      <c r="W48" s="40" t="s">
        <v>83</v>
      </c>
      <c r="X48" s="7" t="s">
        <v>286</v>
      </c>
      <c r="Y48" s="7" t="s">
        <v>287</v>
      </c>
      <c r="Z48" s="7" t="s">
        <v>519</v>
      </c>
      <c r="AA48" s="14" t="s">
        <v>340</v>
      </c>
      <c r="AB48" s="39" t="s">
        <v>520</v>
      </c>
      <c r="AC48" s="39" t="s">
        <v>291</v>
      </c>
    </row>
    <row r="49" customFormat="false" ht="72" hidden="false" customHeight="true" outlineLevel="0" collapsed="false">
      <c r="A49" s="32" t="n">
        <v>45</v>
      </c>
      <c r="B49" s="33" t="s">
        <v>449</v>
      </c>
      <c r="C49" s="32" t="s">
        <v>521</v>
      </c>
      <c r="D49" s="34" t="s">
        <v>522</v>
      </c>
      <c r="E49" s="35" t="s">
        <v>51</v>
      </c>
      <c r="F49" s="7" t="s">
        <v>517</v>
      </c>
      <c r="G49" s="4" t="s">
        <v>523</v>
      </c>
      <c r="H49" s="8" t="n">
        <v>205</v>
      </c>
      <c r="I49" s="40" t="s">
        <v>83</v>
      </c>
      <c r="J49" s="40" t="s">
        <v>83</v>
      </c>
      <c r="K49" s="10" t="n">
        <v>486465</v>
      </c>
      <c r="L49" s="7" t="s">
        <v>285</v>
      </c>
      <c r="M49" s="40" t="s">
        <v>83</v>
      </c>
      <c r="N49" s="40" t="s">
        <v>83</v>
      </c>
      <c r="O49" s="7" t="s">
        <v>83</v>
      </c>
      <c r="P49" s="36" t="n">
        <f aca="false">K49+IF(ISNUMBER(M49),M49,0)+IF(ISNUMBER(N49),N49,0)</f>
        <v>486465</v>
      </c>
      <c r="Q49" s="36" t="str">
        <f aca="false">IFERROR(P49/I49,"缺")</f>
        <v>缺</v>
      </c>
      <c r="R49" s="37" t="n">
        <f aca="false">P49-'A_物調表候選(22案)'!$C$28</f>
        <v>86465</v>
      </c>
      <c r="S49" s="35" t="n">
        <v>4</v>
      </c>
      <c r="T49" s="40" t="s">
        <v>83</v>
      </c>
      <c r="U49" s="40" t="s">
        <v>83</v>
      </c>
      <c r="V49" s="41" t="s">
        <v>83</v>
      </c>
      <c r="W49" s="40" t="s">
        <v>83</v>
      </c>
      <c r="X49" s="7" t="s">
        <v>286</v>
      </c>
      <c r="Y49" s="7" t="s">
        <v>287</v>
      </c>
      <c r="Z49" s="7" t="s">
        <v>524</v>
      </c>
      <c r="AA49" s="14" t="s">
        <v>340</v>
      </c>
      <c r="AB49" s="39" t="s">
        <v>520</v>
      </c>
      <c r="AC49" s="39" t="s">
        <v>291</v>
      </c>
    </row>
    <row r="50" customFormat="false" ht="72" hidden="false" customHeight="true" outlineLevel="0" collapsed="false">
      <c r="A50" s="32" t="n">
        <v>46</v>
      </c>
      <c r="B50" s="33" t="s">
        <v>449</v>
      </c>
      <c r="C50" s="32" t="s">
        <v>525</v>
      </c>
      <c r="D50" s="34" t="s">
        <v>526</v>
      </c>
      <c r="E50" s="35" t="s">
        <v>159</v>
      </c>
      <c r="F50" s="7" t="s">
        <v>527</v>
      </c>
      <c r="G50" s="4" t="s">
        <v>496</v>
      </c>
      <c r="H50" s="8" t="n">
        <v>204</v>
      </c>
      <c r="I50" s="40" t="s">
        <v>83</v>
      </c>
      <c r="J50" s="40" t="s">
        <v>83</v>
      </c>
      <c r="K50" s="10" t="n">
        <v>490245</v>
      </c>
      <c r="L50" s="7" t="s">
        <v>285</v>
      </c>
      <c r="M50" s="10" t="n">
        <v>22330</v>
      </c>
      <c r="N50" s="40" t="s">
        <v>83</v>
      </c>
      <c r="O50" s="7" t="s">
        <v>83</v>
      </c>
      <c r="P50" s="36" t="n">
        <f aca="false">K50+IF(ISNUMBER(M50),M50,0)+IF(ISNUMBER(N50),N50,0)</f>
        <v>512575</v>
      </c>
      <c r="Q50" s="36" t="str">
        <f aca="false">IFERROR(P50/I50,"缺")</f>
        <v>缺</v>
      </c>
      <c r="R50" s="37" t="n">
        <f aca="false">P50-'A_物調表候選(22案)'!$C$28</f>
        <v>112575</v>
      </c>
      <c r="S50" s="35" t="n">
        <v>4</v>
      </c>
      <c r="T50" s="40" t="s">
        <v>83</v>
      </c>
      <c r="U50" s="7" t="s">
        <v>528</v>
      </c>
      <c r="V50" s="38" t="s">
        <v>529</v>
      </c>
      <c r="W50" s="7" t="s">
        <v>530</v>
      </c>
      <c r="X50" s="7" t="s">
        <v>286</v>
      </c>
      <c r="Y50" s="7" t="s">
        <v>287</v>
      </c>
      <c r="Z50" s="7" t="s">
        <v>531</v>
      </c>
      <c r="AA50" s="14" t="s">
        <v>532</v>
      </c>
      <c r="AB50" s="39" t="s">
        <v>533</v>
      </c>
      <c r="AC50" s="39" t="s">
        <v>291</v>
      </c>
    </row>
    <row r="51" customFormat="false" ht="72" hidden="false" customHeight="true" outlineLevel="0" collapsed="false">
      <c r="A51" s="32" t="n">
        <v>47</v>
      </c>
      <c r="B51" s="33" t="s">
        <v>449</v>
      </c>
      <c r="C51" s="32" t="s">
        <v>534</v>
      </c>
      <c r="D51" s="42" t="s">
        <v>535</v>
      </c>
      <c r="E51" s="35" t="s">
        <v>159</v>
      </c>
      <c r="F51" s="7" t="s">
        <v>536</v>
      </c>
      <c r="G51" s="4" t="s">
        <v>537</v>
      </c>
      <c r="H51" s="8" t="n">
        <v>203</v>
      </c>
      <c r="I51" s="40" t="s">
        <v>83</v>
      </c>
      <c r="J51" s="40" t="s">
        <v>83</v>
      </c>
      <c r="K51" s="10" t="n">
        <v>490245</v>
      </c>
      <c r="L51" s="7" t="s">
        <v>285</v>
      </c>
      <c r="M51" s="10" t="n">
        <v>22330</v>
      </c>
      <c r="N51" s="40" t="s">
        <v>83</v>
      </c>
      <c r="O51" s="7" t="s">
        <v>92</v>
      </c>
      <c r="P51" s="36" t="n">
        <f aca="false">K51+IF(ISNUMBER(M51),M51,0)+IF(ISNUMBER(N51),N51,0)</f>
        <v>512575</v>
      </c>
      <c r="Q51" s="36" t="str">
        <f aca="false">IFERROR(P51/I51,"缺")</f>
        <v>缺</v>
      </c>
      <c r="R51" s="37" t="n">
        <f aca="false">P51-'A_物調表候選(22案)'!$C$28</f>
        <v>112575</v>
      </c>
      <c r="S51" s="40" t="s">
        <v>83</v>
      </c>
      <c r="T51" s="40" t="s">
        <v>83</v>
      </c>
      <c r="U51" s="7" t="s">
        <v>528</v>
      </c>
      <c r="V51" s="38" t="s">
        <v>529</v>
      </c>
      <c r="W51" s="7" t="s">
        <v>538</v>
      </c>
      <c r="X51" s="7" t="s">
        <v>539</v>
      </c>
      <c r="Y51" s="12" t="s">
        <v>540</v>
      </c>
      <c r="Z51" s="7" t="s">
        <v>541</v>
      </c>
      <c r="AA51" s="13" t="s">
        <v>542</v>
      </c>
      <c r="AB51" s="39" t="s">
        <v>543</v>
      </c>
      <c r="AC51" s="39" t="s">
        <v>291</v>
      </c>
    </row>
    <row r="52" customFormat="false" ht="72" hidden="false" customHeight="true" outlineLevel="0" collapsed="false">
      <c r="A52" s="32" t="n">
        <v>48</v>
      </c>
      <c r="B52" s="33" t="s">
        <v>449</v>
      </c>
      <c r="C52" s="32" t="s">
        <v>544</v>
      </c>
      <c r="D52" s="34" t="s">
        <v>545</v>
      </c>
      <c r="E52" s="35" t="s">
        <v>159</v>
      </c>
      <c r="F52" s="7" t="s">
        <v>178</v>
      </c>
      <c r="G52" s="4" t="s">
        <v>179</v>
      </c>
      <c r="H52" s="8" t="n">
        <v>253</v>
      </c>
      <c r="I52" s="40" t="s">
        <v>83</v>
      </c>
      <c r="J52" s="40" t="s">
        <v>83</v>
      </c>
      <c r="K52" s="10" t="n">
        <v>350000</v>
      </c>
      <c r="L52" s="7" t="s">
        <v>358</v>
      </c>
      <c r="M52" s="40" t="s">
        <v>83</v>
      </c>
      <c r="N52" s="40" t="s">
        <v>83</v>
      </c>
      <c r="O52" s="7" t="s">
        <v>100</v>
      </c>
      <c r="P52" s="36" t="n">
        <f aca="false">K52+IF(ISNUMBER(M52),M52,0)+IF(ISNUMBER(N52),N52,0)</f>
        <v>350000</v>
      </c>
      <c r="Q52" s="36" t="str">
        <f aca="false">IFERROR(P52/I52,"缺")</f>
        <v>缺</v>
      </c>
      <c r="R52" s="37" t="n">
        <f aca="false">P52-'A_物調表候選(22案)'!$C$28</f>
        <v>-50000</v>
      </c>
      <c r="S52" s="40" t="s">
        <v>83</v>
      </c>
      <c r="T52" s="40" t="s">
        <v>83</v>
      </c>
      <c r="U52" s="7" t="s">
        <v>546</v>
      </c>
      <c r="V52" s="41" t="s">
        <v>83</v>
      </c>
      <c r="W52" s="40" t="s">
        <v>83</v>
      </c>
      <c r="X52" s="7" t="s">
        <v>398</v>
      </c>
      <c r="Y52" s="12" t="s">
        <v>399</v>
      </c>
      <c r="Z52" s="12" t="s">
        <v>547</v>
      </c>
      <c r="AA52" s="13" t="s">
        <v>401</v>
      </c>
      <c r="AB52" s="39" t="s">
        <v>548</v>
      </c>
      <c r="AC52" s="39" t="s">
        <v>403</v>
      </c>
    </row>
    <row r="53" customFormat="false" ht="72" hidden="false" customHeight="true" outlineLevel="0" collapsed="false">
      <c r="A53" s="32" t="n">
        <v>49</v>
      </c>
      <c r="B53" s="33" t="s">
        <v>449</v>
      </c>
      <c r="C53" s="32" t="s">
        <v>229</v>
      </c>
      <c r="D53" s="34" t="s">
        <v>230</v>
      </c>
      <c r="E53" s="35" t="s">
        <v>127</v>
      </c>
      <c r="F53" s="7" t="s">
        <v>231</v>
      </c>
      <c r="G53" s="4" t="s">
        <v>232</v>
      </c>
      <c r="H53" s="8" t="n">
        <v>213.56</v>
      </c>
      <c r="I53" s="8" t="n">
        <v>204.08</v>
      </c>
      <c r="J53" s="9" t="n">
        <v>0.0444</v>
      </c>
      <c r="K53" s="10" t="n">
        <v>218000</v>
      </c>
      <c r="L53" s="7" t="s">
        <v>268</v>
      </c>
      <c r="M53" s="10" t="n">
        <v>18980</v>
      </c>
      <c r="N53" s="10" t="n">
        <v>0</v>
      </c>
      <c r="O53" s="12" t="s">
        <v>233</v>
      </c>
      <c r="P53" s="36" t="n">
        <f aca="false">K53+IF(ISNUMBER(M53),M53,0)+IF(ISNUMBER(N53),N53,0)</f>
        <v>236980</v>
      </c>
      <c r="Q53" s="36" t="n">
        <f aca="false">IFERROR(P53/I53,"缺")</f>
        <v>1161.21128969032</v>
      </c>
      <c r="R53" s="37" t="n">
        <f aca="false">P53-'A_物調表候選(22案)'!$C$28</f>
        <v>-163020</v>
      </c>
      <c r="S53" s="35" t="n">
        <v>2</v>
      </c>
      <c r="T53" s="4" t="s">
        <v>63</v>
      </c>
      <c r="U53" s="7" t="s">
        <v>131</v>
      </c>
      <c r="V53" s="38" t="s">
        <v>370</v>
      </c>
      <c r="W53" s="7" t="s">
        <v>100</v>
      </c>
      <c r="X53" s="7" t="s">
        <v>234</v>
      </c>
      <c r="Y53" s="7" t="s">
        <v>235</v>
      </c>
      <c r="Z53" s="7" t="s">
        <v>236</v>
      </c>
      <c r="AA53" s="14" t="s">
        <v>237</v>
      </c>
      <c r="AB53" s="39" t="s">
        <v>549</v>
      </c>
      <c r="AC53" s="39" t="s">
        <v>291</v>
      </c>
    </row>
    <row r="54" customFormat="false" ht="72" hidden="false" customHeight="true" outlineLevel="0" collapsed="false">
      <c r="A54" s="32" t="n">
        <v>50</v>
      </c>
      <c r="B54" s="33" t="s">
        <v>449</v>
      </c>
      <c r="C54" s="32" t="s">
        <v>186</v>
      </c>
      <c r="D54" s="34" t="s">
        <v>187</v>
      </c>
      <c r="E54" s="35" t="s">
        <v>159</v>
      </c>
      <c r="F54" s="7" t="s">
        <v>188</v>
      </c>
      <c r="G54" s="4" t="s">
        <v>189</v>
      </c>
      <c r="H54" s="8" t="n">
        <v>213.3</v>
      </c>
      <c r="I54" s="8" t="n">
        <v>87.55</v>
      </c>
      <c r="J54" s="9" t="n">
        <v>0.5895</v>
      </c>
      <c r="K54" s="10" t="n">
        <v>467500</v>
      </c>
      <c r="L54" s="7" t="s">
        <v>268</v>
      </c>
      <c r="M54" s="10" t="n">
        <v>33600</v>
      </c>
      <c r="N54" s="10" t="n">
        <v>0</v>
      </c>
      <c r="O54" s="12" t="s">
        <v>190</v>
      </c>
      <c r="P54" s="36" t="n">
        <f aca="false">K54+IF(ISNUMBER(M54),M54,0)+IF(ISNUMBER(N54),N54,0)</f>
        <v>501100</v>
      </c>
      <c r="Q54" s="36" t="n">
        <f aca="false">IFERROR(P54/I54,"缺")</f>
        <v>5723.58652198744</v>
      </c>
      <c r="R54" s="37" t="n">
        <f aca="false">P54-'A_物調表候選(22案)'!$C$28</f>
        <v>101100</v>
      </c>
      <c r="S54" s="35" t="n">
        <v>2</v>
      </c>
      <c r="T54" s="4" t="s">
        <v>31</v>
      </c>
      <c r="U54" s="7" t="s">
        <v>181</v>
      </c>
      <c r="V54" s="38" t="s">
        <v>550</v>
      </c>
      <c r="W54" s="7" t="s">
        <v>100</v>
      </c>
      <c r="X54" s="7" t="s">
        <v>191</v>
      </c>
      <c r="Y54" s="7" t="s">
        <v>192</v>
      </c>
      <c r="Z54" s="7" t="s">
        <v>193</v>
      </c>
      <c r="AA54" s="14" t="s">
        <v>194</v>
      </c>
      <c r="AB54" s="39" t="s">
        <v>551</v>
      </c>
      <c r="AC54" s="39" t="s">
        <v>344</v>
      </c>
    </row>
    <row r="56" customFormat="false" ht="15" hidden="false" customHeight="false" outlineLevel="0" collapsed="false">
      <c r="A56" s="2" t="s">
        <v>552</v>
      </c>
    </row>
  </sheetData>
  <hyperlinks>
    <hyperlink ref="D5" r:id="rId1" display="安敦國際大樓 7F ↗"/>
    <hyperlink ref="AA5" r:id="rId2" display="591 本戶7F·14張照片"/>
    <hyperlink ref="D6" r:id="rId3" display="信義 雙捷核心八德經典商辦 5F ↗"/>
    <hyperlink ref="AA6" r:id="rId4" display="信義 本戶（CZ05585）"/>
    <hyperlink ref="D7" r:id="rId5" display="信義 中山區大辦公室＋大倉儲 10F ↗"/>
    <hyperlink ref="AA7" r:id="rId6" display="信義 本戶·16張照片（C905199）"/>
    <hyperlink ref="D8" r:id="rId7" display="信義 八德正核心大辦公室 7F ↗"/>
    <hyperlink ref="AA8" r:id="rId8" display="信義 本戶·9張照片（CZ05587）"/>
    <hyperlink ref="D9" r:id="rId9" location="page=4" display="民生東路VS建國北路 2*F 225坪 ↗"/>
    <hyperlink ref="AA9" r:id="rId10" location="page=4" display="傑森愛華原始PDF 第4頁（含照片）"/>
    <hyperlink ref="D10" r:id="rId11" display="永慶 安敦國際大樓 14F ↗"/>
    <hyperlink ref="AA10" r:id="rId12" display="永慶 本戶14F·15張照片"/>
    <hyperlink ref="D11" r:id="rId13" display="敦化南路2段 (中鼎大樓 77號2樓) 2F 222坪 ↗"/>
    <hyperlink ref="AA11" r:id="rId14" display="傑森愛華單筆報表PDF（中鼎2F·2頁，含照片）"/>
    <hyperlink ref="D12" r:id="rId15" location="page=3" display="八德路vs龍江路 2F 220坪 ↗"/>
    <hyperlink ref="AA12" r:id="rId16" location="page=3" display="傑森愛華原始PDF 第3頁（此列無照片）"/>
    <hyperlink ref="D13" r:id="rId17" display="信義 光復南路大坪數辦公 6F ↗"/>
    <hyperlink ref="AA13" r:id="rId18" display="信義 本戶·19張照片（C328671）"/>
    <hyperlink ref="D14" r:id="rId19" display="591 光復南路 7F ↗"/>
    <hyperlink ref="AA14" r:id="rId20" display="HouseWeb 本戶·40張照片"/>
    <hyperlink ref="D15" r:id="rId21" location="page=3" display="敦化北路VS民生東路 2F 211坪 ↗"/>
    <hyperlink ref="AA15" r:id="rId22" location="page=3" display="傑森愛華原始PDF 第3頁（含照片）"/>
    <hyperlink ref="D16" r:id="rId23" display="仁愛路4段近復興南路 (鴻霖大樓 25號10樓之2) 10F 210坪 ↗"/>
    <hyperlink ref="AA16" r:id="rId24" display="傑森愛華單筆報表PDF（鴻霖10F之2·3頁，含照片）"/>
    <hyperlink ref="D17" r:id="rId25" location="page=2" display="中山北路1段近市民大道 9F 209坪 ↗"/>
    <hyperlink ref="AA17" r:id="rId26" location="page=2" display="傑森愛華原始PDF 第2頁（含照片）"/>
    <hyperlink ref="D18" r:id="rId27" display="白宮企業大樓 5F ↗"/>
    <hyperlink ref="AA18" r:id="rId28" display="好房網大樓頁·10張照片（本戶207坪整層無公開頁）"/>
    <hyperlink ref="D19" r:id="rId29" location="page=1" display="南京東路5段近三民站 5F 204坪 ↗"/>
    <hyperlink ref="AA19" r:id="rId30" location="page=1" display="傑森愛華原始PDF 第1頁（含照片）"/>
    <hyperlink ref="D20" r:id="rId31" display="▲敦南商圈【氣派純辦】【裝潢新】 ↗"/>
    <hyperlink ref="AA20" r:id="rId32" display="HouseWeb·26張"/>
    <hyperlink ref="D21" r:id="rId33" display="信義 光復北路新大樓 5F ↗"/>
    <hyperlink ref="AA21" r:id="rId34" display="信義國際站 本戶·14張照片（備用：www.sinyi.com.tw/rent/houseno/C355686）"/>
    <hyperlink ref="D22" r:id="rId35" display="友聯大樓 5F ↗"/>
    <hyperlink ref="AA22" r:id="rId36" display="友聯5F 現況室內8張照片（591刊登圖·使用者提供）"/>
    <hyperlink ref="D23" r:id="rId37" location="page=1" display="信義路5段(環球) 18F 201坪 ↗"/>
    <hyperlink ref="AA23" r:id="rId38" location="page=1" display="傑森愛華原始PDF 第1頁（含照片）"/>
    <hyperlink ref="D24" r:id="rId39" display="八德路近復興北路 (中影八德大樓 八德路二段260號2樓全層) 2F 200坪 ↗"/>
    <hyperlink ref="AA24" r:id="rId40" display="傑森愛華單筆報表PDF（中影八德2F·11頁，含照片/使照）"/>
    <hyperlink ref="D25" r:id="rId41" display="【大直辦公室出租】空間大好規劃、採光佳 ↗"/>
    <hyperlink ref="AA25" r:id="rId42" display="HouseWeb·27張"/>
    <hyperlink ref="D26" r:id="rId43" display="信義 明水路營業用商辦 4F ↗"/>
    <hyperlink ref="AA26" r:id="rId44" display="信義 本戶·12張照片（CZ03701）"/>
    <hyperlink ref="D27" r:id="rId45" display="【大直辦公室出租】優質辦公室、採光佳 ↗"/>
    <hyperlink ref="AA27" r:id="rId46" display="HouseWeb·37張"/>
    <hyperlink ref="D28" r:id="rId47" display="永慶／信義 家美金融大樓 15F ↗"/>
    <hyperlink ref="AA28" r:id="rId48" display="永慶 本戶15F·14張照片"/>
    <hyperlink ref="D29" r:id="rId49" display="【松山區辦公室出租】漂亮裝潢隔間、高樓層 ↗"/>
    <hyperlink ref="AA29" r:id="rId50" display="HouseWeb·38張"/>
    <hyperlink ref="D30" r:id="rId51" display="【信義區辦公室出租】全空好規劃、採光佳、高樓層 ↗"/>
    <hyperlink ref="AA30" r:id="rId52" display="HouseWeb·20張"/>
    <hyperlink ref="D31" r:id="rId53" display="【大直辦公室出租】大直氣派門面、管理佳、現成裝潢 ↗"/>
    <hyperlink ref="AA31" r:id="rId54" display="HouseWeb·43張"/>
    <hyperlink ref="D32" r:id="rId55" display="中山區辦公室出租 ↗"/>
    <hyperlink ref="AA32" r:id="rId56" display="HouseWeb·27張"/>
    <hyperlink ref="D33" r:id="rId57" display="旭寶大樓 5F ↗"/>
    <hyperlink ref="AA33" r:id="rId58" display="好房網大樓頁·19張照片(本戶無公開頁)"/>
    <hyperlink ref="D34" r:id="rId59" display="信義 復興南路稀有大空間地下室 B1 ↗"/>
    <hyperlink ref="AA34" r:id="rId60" display="信義 本戶·5張照片（C348029）"/>
    <hyperlink ref="D35" r:id="rId61" location="page=6" display="忠孝東路4段VS延吉街 4F 276坪 ↗"/>
    <hyperlink ref="AA35" r:id="rId62" location="page=6" display="傑森愛華原始PDF 第6頁（含照片）"/>
    <hyperlink ref="D36" r:id="rId63" display="信義 環球世貿 10F ↗"/>
    <hyperlink ref="AA36" r:id="rId64" display="信義 本戶（C360646）"/>
    <hyperlink ref="D37" r:id="rId65" display="信義 信義大樓 21F ↗"/>
    <hyperlink ref="AA37" r:id="rId66" display="信義 本戶（C904707）"/>
    <hyperlink ref="D38" r:id="rId67" display="國泰世華銀行大樓 6F ↗"/>
    <hyperlink ref="AA38" r:id="rId68" display="信義社區頁·4張外觀照(本戶無公開頁)"/>
    <hyperlink ref="D39" r:id="rId69" location="page=5" display="市民大道3段近復興南路 8F 257坪 ↗"/>
    <hyperlink ref="AA39" r:id="rId70" location="page=5" display="傑森愛華原始PDF 第5頁（此列無照片）"/>
    <hyperlink ref="D40" r:id="rId71" display="中鼎大樓 15F之1 ↗"/>
    <hyperlink ref="AA40" r:id="rId72" display="信義 本戶15F·15張照片（CZ05572）"/>
    <hyperlink ref="D41" r:id="rId73" display="敦化南路2段(中鼎大樓 77號22樓) 22F 230坪 ↗"/>
    <hyperlink ref="AA41" r:id="rId74" display="傑森愛華單筆報表PDF（中鼎22F·3頁，含照片）"/>
    <hyperlink ref="D42" r:id="rId75" location="page=4" display="民生東路近敦化北路 8F 226坪 ↗"/>
    <hyperlink ref="AA42" r:id="rId76" location="page=4" display="傑森愛華原始PDF 第4頁（含照片）"/>
    <hyperlink ref="D43" r:id="rId77" display="信義 敦北長城大樓 3F ↗"/>
    <hyperlink ref="AA43" r:id="rId78" display="信義 本戶·21張照片（CZ05326）"/>
    <hyperlink ref="D44" r:id="rId79" display="敦化財經大樓 4F之1 ↗"/>
    <hyperlink ref="AA44" r:id="rId80" display="591 疑同戶4F 220坪·星辰地產"/>
    <hyperlink ref="D45" r:id="rId81" location="page=3" display="安和路一段 (即安敦國際大樓17F) 17F 214坪 ↗"/>
    <hyperlink ref="AA45" r:id="rId82" location="page=3" display="傑森愛華原始PDF 第3頁（含照片）；同戶另見信義CZ05290"/>
    <hyperlink ref="D46" r:id="rId83" display="松山區辦公室出租 ↗"/>
    <hyperlink ref="AA46" r:id="rId84" display="HouseWeb·40張"/>
    <hyperlink ref="D47" r:id="rId85" location="page=3" display="南京東路近龍江路 8F 210坪 ↗"/>
    <hyperlink ref="AA47" r:id="rId86" location="page=3" display="傑森愛華原始PDF 第3頁（含照片）"/>
    <hyperlink ref="D48" r:id="rId87" location="page=2" display="民生東路3段vs復興北路 11F 205坪 ↗"/>
    <hyperlink ref="AA48" r:id="rId88" location="page=2" display="傑森愛華原始PDF 第2頁（含照片）"/>
    <hyperlink ref="D49" r:id="rId89" location="page=2" display="民生東路3段vs復興北路 3F 205坪 ↗"/>
    <hyperlink ref="AA49" r:id="rId90" location="page=2" display="傑森愛華原始PDF 第2頁（含照片）"/>
    <hyperlink ref="D50" r:id="rId91" location="page=1" display="中山北路近市民大道 17F 204坪 ↗"/>
    <hyperlink ref="AA50" r:id="rId92" location="page=1" display="傑森愛華原始PDF 第1頁（此列無照片）；同戶照片見W08 HouseWeb"/>
    <hyperlink ref="D51" r:id="rId93" display="☆捷運台北車站☆漂亮商辦、一層一戶、高樓層 ↗"/>
    <hyperlink ref="AA51" r:id="rId94" display="HouseWeb·35張"/>
    <hyperlink ref="D52" r:id="rId95" display="【大直辦公室出租】空間大好規劃、優質美辦 ↗"/>
    <hyperlink ref="AA52" r:id="rId96" display="HouseWeb·27張"/>
    <hyperlink ref="D53" r:id="rId97" display="信義 永春地下大空間店商辦 B1 ↗"/>
    <hyperlink ref="AA53" r:id="rId98" display="信義 本戶·18張照片（C360351）"/>
    <hyperlink ref="D54" r:id="rId99" display="信義 國票大樓 15F C ↗"/>
    <hyperlink ref="AA54" r:id="rId100" display="信義 本戶·12張照片（C346398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553</v>
      </c>
    </row>
    <row r="2" customFormat="false" ht="15" hidden="false" customHeight="false" outlineLevel="0" collapsed="false">
      <c r="A2" s="2" t="s">
        <v>554</v>
      </c>
    </row>
    <row r="3" customFormat="false" ht="15" hidden="false" customHeight="false" outlineLevel="0" collapsed="false">
      <c r="B3" s="2" t="s">
        <v>555</v>
      </c>
      <c r="C3" s="2" t="s">
        <v>556</v>
      </c>
      <c r="D3" s="2" t="s">
        <v>557</v>
      </c>
      <c r="E3" s="2" t="s">
        <v>558</v>
      </c>
    </row>
    <row r="4" customFormat="false" ht="15" hidden="false" customHeight="false" outlineLevel="0" collapsed="false">
      <c r="A4" s="22" t="s">
        <v>559</v>
      </c>
      <c r="B4" s="44" t="n">
        <v>0.35</v>
      </c>
      <c r="C4" s="44" t="n">
        <v>0.25</v>
      </c>
      <c r="D4" s="44" t="n">
        <v>0.2</v>
      </c>
      <c r="E4" s="44" t="n">
        <v>0.2</v>
      </c>
    </row>
    <row r="6" customFormat="false" ht="31.5" hidden="false" customHeight="true" outlineLevel="0" collapsed="false">
      <c r="A6" s="3" t="s">
        <v>560</v>
      </c>
      <c r="B6" s="3" t="s">
        <v>561</v>
      </c>
      <c r="C6" s="3" t="s">
        <v>2</v>
      </c>
      <c r="D6" s="3" t="s">
        <v>3</v>
      </c>
      <c r="E6" s="3" t="s">
        <v>562</v>
      </c>
      <c r="F6" s="3" t="s">
        <v>563</v>
      </c>
      <c r="G6" s="24" t="s">
        <v>564</v>
      </c>
      <c r="H6" s="3" t="s">
        <v>565</v>
      </c>
      <c r="I6" s="3" t="s">
        <v>566</v>
      </c>
      <c r="J6" s="3" t="s">
        <v>567</v>
      </c>
      <c r="K6" s="3" t="s">
        <v>568</v>
      </c>
      <c r="L6" s="3" t="s">
        <v>569</v>
      </c>
      <c r="M6" s="3" t="s">
        <v>264</v>
      </c>
      <c r="N6" s="3" t="s">
        <v>555</v>
      </c>
      <c r="O6" s="3" t="s">
        <v>556</v>
      </c>
      <c r="P6" s="3" t="s">
        <v>557</v>
      </c>
      <c r="Q6" s="3" t="s">
        <v>558</v>
      </c>
      <c r="R6" s="3" t="s">
        <v>570</v>
      </c>
      <c r="S6" s="3" t="s">
        <v>571</v>
      </c>
      <c r="T6" s="3" t="s">
        <v>572</v>
      </c>
      <c r="U6" s="3" t="s">
        <v>573</v>
      </c>
      <c r="V6" s="3" t="s">
        <v>574</v>
      </c>
      <c r="W6" s="3" t="s">
        <v>575</v>
      </c>
      <c r="X6" s="3" t="s">
        <v>576</v>
      </c>
      <c r="Y6" s="3" t="s">
        <v>577</v>
      </c>
      <c r="Z6" s="3" t="s">
        <v>24</v>
      </c>
    </row>
    <row r="7" customFormat="false" ht="39.75" hidden="false" customHeight="true" outlineLevel="0" collapsed="false">
      <c r="A7" s="45" t="n">
        <v>1</v>
      </c>
      <c r="B7" s="45" t="n">
        <v>1</v>
      </c>
      <c r="C7" s="45" t="s">
        <v>25</v>
      </c>
      <c r="D7" s="46" t="s">
        <v>26</v>
      </c>
      <c r="E7" s="47" t="s">
        <v>27</v>
      </c>
      <c r="F7" s="47" t="s">
        <v>578</v>
      </c>
      <c r="G7" s="47" t="s">
        <v>267</v>
      </c>
      <c r="H7" s="48" t="n">
        <v>220.81</v>
      </c>
      <c r="I7" s="48" t="n">
        <v>189.32</v>
      </c>
      <c r="J7" s="49" t="n">
        <v>420000</v>
      </c>
      <c r="K7" s="49" t="n">
        <v>450913</v>
      </c>
      <c r="L7" s="49" t="n">
        <v>2382</v>
      </c>
      <c r="M7" s="45" t="s">
        <v>269</v>
      </c>
      <c r="N7" s="50" t="n">
        <v>3.5</v>
      </c>
      <c r="O7" s="50" t="n">
        <v>5</v>
      </c>
      <c r="P7" s="50" t="n">
        <v>3.5</v>
      </c>
      <c r="Q7" s="50" t="n">
        <v>3</v>
      </c>
      <c r="R7" s="50" t="n">
        <v>0</v>
      </c>
      <c r="S7" s="51" t="n">
        <f aca="false">ROUND((N7*$B$4+O7*$C$4+P7*$D$4+Q7*$E$4)*20-R7*4,1)</f>
        <v>75.5</v>
      </c>
      <c r="T7" s="47" t="s">
        <v>579</v>
      </c>
      <c r="U7" s="52" t="s">
        <v>580</v>
      </c>
      <c r="V7" s="52" t="s">
        <v>581</v>
      </c>
      <c r="W7" s="52" t="s">
        <v>582</v>
      </c>
      <c r="X7" s="52" t="s">
        <v>583</v>
      </c>
      <c r="Y7" s="53" t="s">
        <v>323</v>
      </c>
      <c r="Z7" s="54" t="s">
        <v>37</v>
      </c>
    </row>
    <row r="8" customFormat="false" ht="39.75" hidden="false" customHeight="true" outlineLevel="0" collapsed="false">
      <c r="A8" s="55"/>
      <c r="B8" s="55" t="n">
        <v>2</v>
      </c>
      <c r="C8" s="55" t="s">
        <v>79</v>
      </c>
      <c r="D8" s="56" t="s">
        <v>80</v>
      </c>
      <c r="E8" s="57" t="s">
        <v>51</v>
      </c>
      <c r="F8" s="57" t="s">
        <v>578</v>
      </c>
      <c r="G8" s="57" t="s">
        <v>272</v>
      </c>
      <c r="H8" s="58" t="n">
        <v>203.26</v>
      </c>
      <c r="I8" s="58" t="n">
        <v>189.91</v>
      </c>
      <c r="J8" s="59" t="n">
        <v>405504</v>
      </c>
      <c r="K8" s="59" t="n">
        <v>413004</v>
      </c>
      <c r="L8" s="60" t="s">
        <v>83</v>
      </c>
      <c r="M8" s="55" t="s">
        <v>370</v>
      </c>
      <c r="N8" s="61" t="n">
        <v>4</v>
      </c>
      <c r="O8" s="61" t="n">
        <v>4.5</v>
      </c>
      <c r="P8" s="61" t="n">
        <v>3</v>
      </c>
      <c r="Q8" s="61" t="n">
        <v>3</v>
      </c>
      <c r="R8" s="61" t="n">
        <v>0</v>
      </c>
      <c r="S8" s="62" t="n">
        <f aca="false">ROUND((N8*$B$4+O8*$C$4+P8*$D$4+Q8*$E$4)*20-R8*4,1)</f>
        <v>74.5</v>
      </c>
      <c r="T8" s="57" t="s">
        <v>579</v>
      </c>
      <c r="U8" s="63" t="s">
        <v>584</v>
      </c>
      <c r="V8" s="63" t="s">
        <v>585</v>
      </c>
      <c r="W8" s="63" t="s">
        <v>586</v>
      </c>
      <c r="X8" s="63" t="s">
        <v>587</v>
      </c>
      <c r="Y8" s="64" t="s">
        <v>323</v>
      </c>
      <c r="Z8" s="14" t="s">
        <v>87</v>
      </c>
    </row>
    <row r="9" customFormat="false" ht="39.75" hidden="false" customHeight="true" outlineLevel="0" collapsed="false">
      <c r="A9" s="55"/>
      <c r="B9" s="55" t="n">
        <v>3</v>
      </c>
      <c r="C9" s="55" t="s">
        <v>115</v>
      </c>
      <c r="D9" s="56" t="s">
        <v>116</v>
      </c>
      <c r="E9" s="57" t="s">
        <v>27</v>
      </c>
      <c r="F9" s="57" t="s">
        <v>588</v>
      </c>
      <c r="G9" s="57" t="s">
        <v>272</v>
      </c>
      <c r="H9" s="58" t="n">
        <v>224.18</v>
      </c>
      <c r="I9" s="65" t="s">
        <v>83</v>
      </c>
      <c r="J9" s="59" t="n">
        <v>448000</v>
      </c>
      <c r="K9" s="59" t="n">
        <v>480000</v>
      </c>
      <c r="L9" s="60" t="s">
        <v>83</v>
      </c>
      <c r="M9" s="55" t="s">
        <v>292</v>
      </c>
      <c r="N9" s="61" t="n">
        <v>3.5</v>
      </c>
      <c r="O9" s="61" t="n">
        <v>5</v>
      </c>
      <c r="P9" s="61" t="n">
        <v>3.5</v>
      </c>
      <c r="Q9" s="61" t="n">
        <v>3</v>
      </c>
      <c r="R9" s="61" t="n">
        <v>0.5</v>
      </c>
      <c r="S9" s="62" t="n">
        <f aca="false">ROUND((N9*$B$4+O9*$C$4+P9*$D$4+Q9*$E$4)*20-R9*4,1)</f>
        <v>73.5</v>
      </c>
      <c r="T9" s="57" t="s">
        <v>579</v>
      </c>
      <c r="U9" s="63" t="s">
        <v>589</v>
      </c>
      <c r="V9" s="63" t="s">
        <v>590</v>
      </c>
      <c r="W9" s="63" t="s">
        <v>591</v>
      </c>
      <c r="X9" s="63" t="s">
        <v>592</v>
      </c>
      <c r="Y9" s="63" t="s">
        <v>593</v>
      </c>
      <c r="Z9" s="14" t="s">
        <v>124</v>
      </c>
    </row>
    <row r="10" customFormat="false" ht="39.75" hidden="false" customHeight="true" outlineLevel="0" collapsed="false">
      <c r="A10" s="55"/>
      <c r="B10" s="55" t="n">
        <v>4</v>
      </c>
      <c r="C10" s="55" t="s">
        <v>305</v>
      </c>
      <c r="D10" s="56" t="s">
        <v>306</v>
      </c>
      <c r="E10" s="57" t="s">
        <v>51</v>
      </c>
      <c r="F10" s="57" t="s">
        <v>286</v>
      </c>
      <c r="G10" s="57" t="s">
        <v>272</v>
      </c>
      <c r="H10" s="58" t="n">
        <v>220</v>
      </c>
      <c r="I10" s="65" t="s">
        <v>83</v>
      </c>
      <c r="J10" s="59" t="n">
        <v>369600</v>
      </c>
      <c r="K10" s="59" t="n">
        <v>369600</v>
      </c>
      <c r="L10" s="60" t="s">
        <v>83</v>
      </c>
      <c r="M10" s="57" t="s">
        <v>83</v>
      </c>
      <c r="N10" s="61" t="n">
        <v>4.5</v>
      </c>
      <c r="O10" s="61" t="n">
        <v>3.5</v>
      </c>
      <c r="P10" s="61" t="n">
        <v>2.5</v>
      </c>
      <c r="Q10" s="61" t="n">
        <v>3.5</v>
      </c>
      <c r="R10" s="61" t="n">
        <v>0</v>
      </c>
      <c r="S10" s="62" t="n">
        <f aca="false">ROUND((N10*$B$4+O10*$C$4+P10*$D$4+Q10*$E$4)*20-R10*4,1)</f>
        <v>73</v>
      </c>
      <c r="T10" s="57" t="s">
        <v>579</v>
      </c>
      <c r="U10" s="63" t="s">
        <v>594</v>
      </c>
      <c r="V10" s="63" t="s">
        <v>595</v>
      </c>
      <c r="W10" s="63" t="s">
        <v>596</v>
      </c>
      <c r="X10" s="63" t="s">
        <v>597</v>
      </c>
      <c r="Y10" s="64" t="s">
        <v>323</v>
      </c>
      <c r="Z10" s="14" t="s">
        <v>309</v>
      </c>
    </row>
    <row r="11" customFormat="false" ht="39.75" hidden="false" customHeight="true" outlineLevel="0" collapsed="false">
      <c r="A11" s="55"/>
      <c r="B11" s="55" t="n">
        <v>5</v>
      </c>
      <c r="C11" s="55" t="s">
        <v>105</v>
      </c>
      <c r="D11" s="56" t="s">
        <v>106</v>
      </c>
      <c r="E11" s="57" t="s">
        <v>51</v>
      </c>
      <c r="F11" s="57" t="s">
        <v>598</v>
      </c>
      <c r="G11" s="57" t="s">
        <v>272</v>
      </c>
      <c r="H11" s="58" t="n">
        <v>203.56</v>
      </c>
      <c r="I11" s="58" t="n">
        <v>119.66</v>
      </c>
      <c r="J11" s="59" t="n">
        <v>305340</v>
      </c>
      <c r="K11" s="59" t="n">
        <v>337910</v>
      </c>
      <c r="L11" s="59" t="n">
        <v>2824</v>
      </c>
      <c r="M11" s="55" t="s">
        <v>367</v>
      </c>
      <c r="N11" s="61" t="n">
        <v>5</v>
      </c>
      <c r="O11" s="61" t="n">
        <v>3.5</v>
      </c>
      <c r="P11" s="61" t="n">
        <v>5</v>
      </c>
      <c r="Q11" s="61" t="n">
        <v>1</v>
      </c>
      <c r="R11" s="61" t="n">
        <v>1</v>
      </c>
      <c r="S11" s="62" t="n">
        <f aca="false">ROUND((N11*$B$4+O11*$C$4+P11*$D$4+Q11*$E$4)*20-R11*4,1)</f>
        <v>72.5</v>
      </c>
      <c r="T11" s="57" t="s">
        <v>579</v>
      </c>
      <c r="U11" s="63" t="s">
        <v>599</v>
      </c>
      <c r="V11" s="63" t="s">
        <v>595</v>
      </c>
      <c r="W11" s="63" t="s">
        <v>600</v>
      </c>
      <c r="X11" s="63" t="s">
        <v>601</v>
      </c>
      <c r="Y11" s="63" t="s">
        <v>602</v>
      </c>
      <c r="Z11" s="14" t="s">
        <v>114</v>
      </c>
    </row>
    <row r="12" customFormat="false" ht="39.75" hidden="false" customHeight="true" outlineLevel="0" collapsed="false">
      <c r="A12" s="55"/>
      <c r="B12" s="55" t="n">
        <v>6</v>
      </c>
      <c r="C12" s="55" t="s">
        <v>168</v>
      </c>
      <c r="D12" s="56" t="s">
        <v>169</v>
      </c>
      <c r="E12" s="57" t="s">
        <v>159</v>
      </c>
      <c r="F12" s="57" t="s">
        <v>598</v>
      </c>
      <c r="G12" s="57" t="s">
        <v>272</v>
      </c>
      <c r="H12" s="58" t="n">
        <v>254.06</v>
      </c>
      <c r="I12" s="65" t="s">
        <v>83</v>
      </c>
      <c r="J12" s="59" t="n">
        <v>381090</v>
      </c>
      <c r="K12" s="59" t="n">
        <v>423010</v>
      </c>
      <c r="L12" s="60" t="s">
        <v>83</v>
      </c>
      <c r="M12" s="55" t="s">
        <v>273</v>
      </c>
      <c r="N12" s="61" t="n">
        <v>3.5</v>
      </c>
      <c r="O12" s="61" t="n">
        <v>3.5</v>
      </c>
      <c r="P12" s="61" t="n">
        <v>3.5</v>
      </c>
      <c r="Q12" s="61" t="n">
        <v>4</v>
      </c>
      <c r="R12" s="61" t="n">
        <v>0.5</v>
      </c>
      <c r="S12" s="62" t="n">
        <f aca="false">ROUND((N12*$B$4+O12*$C$4+P12*$D$4+Q12*$E$4)*20-R12*4,1)</f>
        <v>70</v>
      </c>
      <c r="T12" s="57" t="s">
        <v>579</v>
      </c>
      <c r="U12" s="63" t="s">
        <v>603</v>
      </c>
      <c r="V12" s="63" t="s">
        <v>595</v>
      </c>
      <c r="W12" s="63" t="s">
        <v>604</v>
      </c>
      <c r="X12" s="63" t="s">
        <v>605</v>
      </c>
      <c r="Y12" s="63" t="s">
        <v>606</v>
      </c>
      <c r="Z12" s="14" t="s">
        <v>175</v>
      </c>
    </row>
    <row r="13" customFormat="false" ht="39.75" hidden="false" customHeight="true" outlineLevel="0" collapsed="false">
      <c r="A13" s="55"/>
      <c r="B13" s="55" t="n">
        <v>7</v>
      </c>
      <c r="C13" s="55" t="s">
        <v>373</v>
      </c>
      <c r="D13" s="56" t="s">
        <v>374</v>
      </c>
      <c r="E13" s="57" t="s">
        <v>127</v>
      </c>
      <c r="F13" s="57" t="s">
        <v>286</v>
      </c>
      <c r="G13" s="57" t="s">
        <v>272</v>
      </c>
      <c r="H13" s="58" t="n">
        <v>201</v>
      </c>
      <c r="I13" s="65" t="s">
        <v>83</v>
      </c>
      <c r="J13" s="59" t="n">
        <v>401100</v>
      </c>
      <c r="K13" s="59" t="n">
        <v>401100</v>
      </c>
      <c r="L13" s="60" t="s">
        <v>83</v>
      </c>
      <c r="M13" s="57" t="s">
        <v>83</v>
      </c>
      <c r="N13" s="61" t="n">
        <v>4</v>
      </c>
      <c r="O13" s="61" t="n">
        <v>4</v>
      </c>
      <c r="P13" s="61" t="n">
        <v>2.5</v>
      </c>
      <c r="Q13" s="61" t="n">
        <v>3</v>
      </c>
      <c r="R13" s="61" t="n">
        <v>0</v>
      </c>
      <c r="S13" s="62" t="n">
        <f aca="false">ROUND((N13*$B$4+O13*$C$4+P13*$D$4+Q13*$E$4)*20-R13*4,1)</f>
        <v>70</v>
      </c>
      <c r="T13" s="57" t="s">
        <v>579</v>
      </c>
      <c r="U13" s="63" t="s">
        <v>607</v>
      </c>
      <c r="V13" s="63" t="s">
        <v>608</v>
      </c>
      <c r="W13" s="63" t="s">
        <v>609</v>
      </c>
      <c r="X13" s="63" t="s">
        <v>610</v>
      </c>
      <c r="Y13" s="64" t="s">
        <v>323</v>
      </c>
      <c r="Z13" s="14" t="s">
        <v>351</v>
      </c>
    </row>
    <row r="14" customFormat="false" ht="39.75" hidden="false" customHeight="true" outlineLevel="0" collapsed="false">
      <c r="A14" s="55"/>
      <c r="B14" s="55" t="n">
        <v>8</v>
      </c>
      <c r="C14" s="55" t="s">
        <v>125</v>
      </c>
      <c r="D14" s="56" t="s">
        <v>126</v>
      </c>
      <c r="E14" s="57" t="s">
        <v>127</v>
      </c>
      <c r="F14" s="57" t="s">
        <v>588</v>
      </c>
      <c r="G14" s="57" t="s">
        <v>272</v>
      </c>
      <c r="H14" s="58" t="n">
        <v>208.96</v>
      </c>
      <c r="I14" s="58" t="n">
        <v>164.05</v>
      </c>
      <c r="J14" s="59" t="n">
        <v>398000</v>
      </c>
      <c r="K14" s="59" t="n">
        <v>434435</v>
      </c>
      <c r="L14" s="59" t="n">
        <v>2648</v>
      </c>
      <c r="M14" s="55" t="s">
        <v>361</v>
      </c>
      <c r="N14" s="61" t="n">
        <v>4.5</v>
      </c>
      <c r="O14" s="61" t="n">
        <v>4</v>
      </c>
      <c r="P14" s="61" t="n">
        <v>3</v>
      </c>
      <c r="Q14" s="61" t="n">
        <v>2</v>
      </c>
      <c r="R14" s="61" t="n">
        <v>0.5</v>
      </c>
      <c r="S14" s="62" t="n">
        <f aca="false">ROUND((N14*$B$4+O14*$C$4+P14*$D$4+Q14*$E$4)*20-R14*4,1)</f>
        <v>69.5</v>
      </c>
      <c r="T14" s="57" t="s">
        <v>579</v>
      </c>
      <c r="U14" s="63" t="s">
        <v>611</v>
      </c>
      <c r="V14" s="63" t="s">
        <v>612</v>
      </c>
      <c r="W14" s="63" t="s">
        <v>613</v>
      </c>
      <c r="X14" s="63" t="s">
        <v>614</v>
      </c>
      <c r="Y14" s="63" t="s">
        <v>615</v>
      </c>
      <c r="Z14" s="14" t="s">
        <v>136</v>
      </c>
    </row>
    <row r="15" customFormat="false" ht="39.75" hidden="false" customHeight="true" outlineLevel="0" collapsed="false">
      <c r="A15" s="55"/>
      <c r="B15" s="55" t="n">
        <v>9</v>
      </c>
      <c r="C15" s="55" t="s">
        <v>381</v>
      </c>
      <c r="D15" s="56" t="s">
        <v>382</v>
      </c>
      <c r="E15" s="57" t="s">
        <v>159</v>
      </c>
      <c r="F15" s="57" t="s">
        <v>286</v>
      </c>
      <c r="G15" s="57" t="s">
        <v>272</v>
      </c>
      <c r="H15" s="58" t="n">
        <v>200</v>
      </c>
      <c r="I15" s="58" t="n">
        <v>150</v>
      </c>
      <c r="J15" s="59" t="n">
        <v>308700</v>
      </c>
      <c r="K15" s="59" t="n">
        <v>346050</v>
      </c>
      <c r="L15" s="59" t="n">
        <v>2307</v>
      </c>
      <c r="M15" s="55" t="s">
        <v>387</v>
      </c>
      <c r="N15" s="61" t="n">
        <v>5</v>
      </c>
      <c r="O15" s="61" t="n">
        <v>3.2</v>
      </c>
      <c r="P15" s="61" t="n">
        <v>2.5</v>
      </c>
      <c r="Q15" s="61" t="n">
        <v>3</v>
      </c>
      <c r="R15" s="61" t="n">
        <v>1</v>
      </c>
      <c r="S15" s="62" t="n">
        <f aca="false">ROUND((N15*$B$4+O15*$C$4+P15*$D$4+Q15*$E$4)*20-R15*4,1)</f>
        <v>69</v>
      </c>
      <c r="T15" s="57" t="s">
        <v>579</v>
      </c>
      <c r="U15" s="63" t="s">
        <v>616</v>
      </c>
      <c r="V15" s="63" t="s">
        <v>617</v>
      </c>
      <c r="W15" s="63" t="s">
        <v>618</v>
      </c>
      <c r="X15" s="63" t="s">
        <v>619</v>
      </c>
      <c r="Y15" s="63" t="s">
        <v>620</v>
      </c>
      <c r="Z15" s="14" t="s">
        <v>389</v>
      </c>
    </row>
    <row r="16" customFormat="false" ht="39.75" hidden="false" customHeight="true" outlineLevel="0" collapsed="false">
      <c r="A16" s="55"/>
      <c r="B16" s="55" t="n">
        <v>10</v>
      </c>
      <c r="C16" s="55" t="s">
        <v>414</v>
      </c>
      <c r="D16" s="56" t="s">
        <v>415</v>
      </c>
      <c r="E16" s="57" t="s">
        <v>51</v>
      </c>
      <c r="F16" s="55" t="s">
        <v>621</v>
      </c>
      <c r="G16" s="57" t="s">
        <v>272</v>
      </c>
      <c r="H16" s="58" t="n">
        <v>206</v>
      </c>
      <c r="I16" s="65" t="s">
        <v>83</v>
      </c>
      <c r="J16" s="59" t="n">
        <v>350900</v>
      </c>
      <c r="K16" s="59" t="n">
        <v>350900</v>
      </c>
      <c r="L16" s="60" t="s">
        <v>83</v>
      </c>
      <c r="M16" s="57" t="s">
        <v>83</v>
      </c>
      <c r="N16" s="61" t="n">
        <v>4.5</v>
      </c>
      <c r="O16" s="61" t="n">
        <v>2.5</v>
      </c>
      <c r="P16" s="61" t="n">
        <v>2.5</v>
      </c>
      <c r="Q16" s="61" t="n">
        <v>3.5</v>
      </c>
      <c r="R16" s="61" t="n">
        <v>0</v>
      </c>
      <c r="S16" s="62" t="n">
        <f aca="false">ROUND((N16*$B$4+O16*$C$4+P16*$D$4+Q16*$E$4)*20-R16*4,1)</f>
        <v>68</v>
      </c>
      <c r="T16" s="57" t="s">
        <v>579</v>
      </c>
      <c r="U16" s="63" t="s">
        <v>622</v>
      </c>
      <c r="V16" s="63" t="s">
        <v>623</v>
      </c>
      <c r="W16" s="63" t="s">
        <v>624</v>
      </c>
      <c r="X16" s="63" t="s">
        <v>625</v>
      </c>
      <c r="Y16" s="64" t="s">
        <v>323</v>
      </c>
      <c r="Z16" s="13" t="s">
        <v>421</v>
      </c>
    </row>
    <row r="17" customFormat="false" ht="39.75" hidden="false" customHeight="true" outlineLevel="0" collapsed="false">
      <c r="A17" s="55"/>
      <c r="B17" s="55" t="n">
        <v>11</v>
      </c>
      <c r="C17" s="55" t="s">
        <v>88</v>
      </c>
      <c r="D17" s="56" t="s">
        <v>89</v>
      </c>
      <c r="E17" s="57" t="s">
        <v>51</v>
      </c>
      <c r="F17" s="57" t="s">
        <v>578</v>
      </c>
      <c r="G17" s="57" t="s">
        <v>272</v>
      </c>
      <c r="H17" s="58" t="n">
        <v>207.04</v>
      </c>
      <c r="I17" s="58" t="n">
        <v>156.93</v>
      </c>
      <c r="J17" s="59" t="n">
        <v>360150</v>
      </c>
      <c r="K17" s="59" t="n">
        <v>389134</v>
      </c>
      <c r="L17" s="59" t="n">
        <v>2480</v>
      </c>
      <c r="M17" s="55" t="s">
        <v>342</v>
      </c>
      <c r="N17" s="61" t="n">
        <v>5</v>
      </c>
      <c r="O17" s="61" t="n">
        <v>4.5</v>
      </c>
      <c r="P17" s="61" t="n">
        <v>1</v>
      </c>
      <c r="Q17" s="61" t="n">
        <v>3</v>
      </c>
      <c r="R17" s="61" t="n">
        <v>1.5</v>
      </c>
      <c r="S17" s="62" t="n">
        <f aca="false">ROUND((N17*$B$4+O17*$C$4+P17*$D$4+Q17*$E$4)*20-R17*4,1)</f>
        <v>67.5</v>
      </c>
      <c r="T17" s="57" t="s">
        <v>579</v>
      </c>
      <c r="U17" s="63" t="s">
        <v>626</v>
      </c>
      <c r="V17" s="63" t="s">
        <v>627</v>
      </c>
      <c r="W17" s="63" t="s">
        <v>628</v>
      </c>
      <c r="X17" s="63" t="s">
        <v>629</v>
      </c>
      <c r="Y17" s="63" t="s">
        <v>630</v>
      </c>
      <c r="Z17" s="14" t="s">
        <v>95</v>
      </c>
    </row>
    <row r="18" customFormat="false" ht="39.75" hidden="false" customHeight="true" outlineLevel="0" collapsed="false">
      <c r="A18" s="55"/>
      <c r="B18" s="55" t="n">
        <v>12</v>
      </c>
      <c r="C18" s="55" t="s">
        <v>345</v>
      </c>
      <c r="D18" s="56" t="s">
        <v>346</v>
      </c>
      <c r="E18" s="57" t="s">
        <v>51</v>
      </c>
      <c r="F18" s="57" t="s">
        <v>286</v>
      </c>
      <c r="G18" s="57" t="s">
        <v>272</v>
      </c>
      <c r="H18" s="58" t="n">
        <v>204</v>
      </c>
      <c r="I18" s="65" t="s">
        <v>83</v>
      </c>
      <c r="J18" s="59" t="n">
        <v>404985</v>
      </c>
      <c r="K18" s="59" t="n">
        <v>404985</v>
      </c>
      <c r="L18" s="60" t="s">
        <v>83</v>
      </c>
      <c r="M18" s="57" t="s">
        <v>83</v>
      </c>
      <c r="N18" s="61" t="n">
        <v>4</v>
      </c>
      <c r="O18" s="61" t="n">
        <v>3.5</v>
      </c>
      <c r="P18" s="61" t="n">
        <v>2.5</v>
      </c>
      <c r="Q18" s="61" t="n">
        <v>3</v>
      </c>
      <c r="R18" s="61" t="n">
        <v>0</v>
      </c>
      <c r="S18" s="62" t="n">
        <f aca="false">ROUND((N18*$B$4+O18*$C$4+P18*$D$4+Q18*$E$4)*20-R18*4,1)</f>
        <v>67.5</v>
      </c>
      <c r="T18" s="57" t="s">
        <v>579</v>
      </c>
      <c r="U18" s="63" t="s">
        <v>631</v>
      </c>
      <c r="V18" s="63" t="s">
        <v>595</v>
      </c>
      <c r="W18" s="63" t="s">
        <v>632</v>
      </c>
      <c r="X18" s="63" t="s">
        <v>633</v>
      </c>
      <c r="Y18" s="64" t="s">
        <v>323</v>
      </c>
      <c r="Z18" s="14" t="s">
        <v>351</v>
      </c>
    </row>
    <row r="19" customFormat="false" ht="39.75" hidden="false" customHeight="true" outlineLevel="0" collapsed="false">
      <c r="A19" s="55"/>
      <c r="B19" s="55" t="n">
        <v>13</v>
      </c>
      <c r="C19" s="55" t="s">
        <v>501</v>
      </c>
      <c r="D19" s="56" t="s">
        <v>502</v>
      </c>
      <c r="E19" s="57" t="s">
        <v>51</v>
      </c>
      <c r="F19" s="55" t="s">
        <v>621</v>
      </c>
      <c r="G19" s="57" t="s">
        <v>449</v>
      </c>
      <c r="H19" s="58" t="n">
        <v>211</v>
      </c>
      <c r="I19" s="65" t="s">
        <v>83</v>
      </c>
      <c r="J19" s="59" t="n">
        <v>400000</v>
      </c>
      <c r="K19" s="59" t="n">
        <v>400000</v>
      </c>
      <c r="L19" s="60" t="s">
        <v>83</v>
      </c>
      <c r="M19" s="57" t="s">
        <v>83</v>
      </c>
      <c r="N19" s="61" t="n">
        <v>4</v>
      </c>
      <c r="O19" s="61" t="n">
        <v>3.8</v>
      </c>
      <c r="P19" s="61" t="n">
        <v>2</v>
      </c>
      <c r="Q19" s="61" t="n">
        <v>3</v>
      </c>
      <c r="R19" s="61" t="n">
        <v>0</v>
      </c>
      <c r="S19" s="62" t="n">
        <f aca="false">ROUND((N19*$B$4+O19*$C$4+P19*$D$4+Q19*$E$4)*20-R19*4,1)</f>
        <v>67</v>
      </c>
      <c r="T19" s="57" t="s">
        <v>579</v>
      </c>
      <c r="U19" s="63" t="s">
        <v>634</v>
      </c>
      <c r="V19" s="63" t="s">
        <v>635</v>
      </c>
      <c r="W19" s="63" t="s">
        <v>636</v>
      </c>
      <c r="X19" s="63" t="s">
        <v>637</v>
      </c>
      <c r="Y19" s="64" t="s">
        <v>323</v>
      </c>
      <c r="Z19" s="13" t="s">
        <v>508</v>
      </c>
    </row>
    <row r="20" customFormat="false" ht="39.75" hidden="false" customHeight="true" outlineLevel="0" collapsed="false">
      <c r="A20" s="55"/>
      <c r="B20" s="55" t="n">
        <v>14</v>
      </c>
      <c r="C20" s="55" t="s">
        <v>96</v>
      </c>
      <c r="D20" s="66" t="s">
        <v>97</v>
      </c>
      <c r="E20" s="57" t="s">
        <v>51</v>
      </c>
      <c r="F20" s="55" t="s">
        <v>638</v>
      </c>
      <c r="G20" s="57" t="s">
        <v>272</v>
      </c>
      <c r="H20" s="58" t="n">
        <v>211</v>
      </c>
      <c r="I20" s="65" t="s">
        <v>83</v>
      </c>
      <c r="J20" s="59" t="n">
        <v>400000</v>
      </c>
      <c r="K20" s="59" t="n">
        <v>417935</v>
      </c>
      <c r="L20" s="60" t="s">
        <v>83</v>
      </c>
      <c r="M20" s="57" t="s">
        <v>83</v>
      </c>
      <c r="N20" s="61" t="n">
        <v>4.5</v>
      </c>
      <c r="O20" s="61" t="n">
        <v>3.8</v>
      </c>
      <c r="P20" s="61" t="n">
        <v>2</v>
      </c>
      <c r="Q20" s="61" t="n">
        <v>3</v>
      </c>
      <c r="R20" s="61" t="n">
        <v>1</v>
      </c>
      <c r="S20" s="62" t="n">
        <f aca="false">ROUND((N20*$B$4+O20*$C$4+P20*$D$4+Q20*$E$4)*20-R20*4,1)</f>
        <v>66.5</v>
      </c>
      <c r="T20" s="57" t="s">
        <v>579</v>
      </c>
      <c r="U20" s="63" t="s">
        <v>639</v>
      </c>
      <c r="V20" s="63" t="s">
        <v>635</v>
      </c>
      <c r="W20" s="63" t="s">
        <v>636</v>
      </c>
      <c r="X20" s="63" t="s">
        <v>637</v>
      </c>
      <c r="Y20" s="63" t="s">
        <v>640</v>
      </c>
      <c r="Z20" s="13" t="s">
        <v>104</v>
      </c>
    </row>
    <row r="21" customFormat="false" ht="39.75" hidden="false" customHeight="true" outlineLevel="0" collapsed="false">
      <c r="A21" s="55"/>
      <c r="B21" s="55" t="n">
        <v>15</v>
      </c>
      <c r="C21" s="55" t="s">
        <v>137</v>
      </c>
      <c r="D21" s="56" t="s">
        <v>138</v>
      </c>
      <c r="E21" s="57" t="s">
        <v>51</v>
      </c>
      <c r="F21" s="57" t="s">
        <v>598</v>
      </c>
      <c r="G21" s="57" t="s">
        <v>449</v>
      </c>
      <c r="H21" s="58" t="n">
        <v>225.83</v>
      </c>
      <c r="I21" s="58" t="n">
        <v>201.29</v>
      </c>
      <c r="J21" s="59" t="n">
        <v>474500</v>
      </c>
      <c r="K21" s="59" t="n">
        <v>501600</v>
      </c>
      <c r="L21" s="59" t="n">
        <v>2492</v>
      </c>
      <c r="M21" s="55" t="s">
        <v>487</v>
      </c>
      <c r="N21" s="61" t="n">
        <v>3</v>
      </c>
      <c r="O21" s="61" t="n">
        <v>3.5</v>
      </c>
      <c r="P21" s="61" t="n">
        <v>3.5</v>
      </c>
      <c r="Q21" s="61" t="n">
        <v>3</v>
      </c>
      <c r="R21" s="61" t="n">
        <v>0</v>
      </c>
      <c r="S21" s="62" t="n">
        <f aca="false">ROUND((N21*$B$4+O21*$C$4+P21*$D$4+Q21*$E$4)*20-R21*4,1)</f>
        <v>64.5</v>
      </c>
      <c r="T21" s="57" t="s">
        <v>579</v>
      </c>
      <c r="U21" s="63" t="s">
        <v>641</v>
      </c>
      <c r="V21" s="63" t="s">
        <v>595</v>
      </c>
      <c r="W21" s="63" t="s">
        <v>642</v>
      </c>
      <c r="X21" s="63" t="s">
        <v>643</v>
      </c>
      <c r="Y21" s="64" t="s">
        <v>323</v>
      </c>
      <c r="Z21" s="14" t="s">
        <v>146</v>
      </c>
    </row>
    <row r="22" customFormat="false" ht="39.75" hidden="false" customHeight="true" outlineLevel="0" collapsed="false">
      <c r="A22" s="55"/>
      <c r="B22" s="55" t="n">
        <v>16</v>
      </c>
      <c r="C22" s="55" t="s">
        <v>157</v>
      </c>
      <c r="D22" s="56" t="s">
        <v>158</v>
      </c>
      <c r="E22" s="57" t="s">
        <v>159</v>
      </c>
      <c r="F22" s="57" t="s">
        <v>598</v>
      </c>
      <c r="G22" s="57" t="s">
        <v>272</v>
      </c>
      <c r="H22" s="58" t="n">
        <v>278.04</v>
      </c>
      <c r="I22" s="58" t="n">
        <v>262.5</v>
      </c>
      <c r="J22" s="59" t="n">
        <v>388500</v>
      </c>
      <c r="K22" s="59" t="n">
        <v>431000</v>
      </c>
      <c r="L22" s="59" t="n">
        <v>1642</v>
      </c>
      <c r="M22" s="55" t="s">
        <v>276</v>
      </c>
      <c r="N22" s="61" t="n">
        <v>3</v>
      </c>
      <c r="O22" s="61" t="n">
        <v>3.5</v>
      </c>
      <c r="P22" s="61" t="n">
        <v>2</v>
      </c>
      <c r="Q22" s="61" t="n">
        <v>5</v>
      </c>
      <c r="R22" s="61" t="n">
        <v>0.5</v>
      </c>
      <c r="S22" s="62" t="n">
        <f aca="false">ROUND((N22*$B$4+O22*$C$4+P22*$D$4+Q22*$E$4)*20-R22*4,1)</f>
        <v>64.5</v>
      </c>
      <c r="T22" s="57" t="s">
        <v>579</v>
      </c>
      <c r="U22" s="63" t="s">
        <v>644</v>
      </c>
      <c r="V22" s="63" t="s">
        <v>595</v>
      </c>
      <c r="W22" s="63" t="s">
        <v>645</v>
      </c>
      <c r="X22" s="63" t="s">
        <v>646</v>
      </c>
      <c r="Y22" s="63" t="s">
        <v>647</v>
      </c>
      <c r="Z22" s="14" t="s">
        <v>167</v>
      </c>
    </row>
    <row r="23" customFormat="false" ht="39.75" hidden="false" customHeight="true" outlineLevel="0" collapsed="false">
      <c r="A23" s="55"/>
      <c r="B23" s="55" t="n">
        <v>17</v>
      </c>
      <c r="C23" s="55" t="s">
        <v>493</v>
      </c>
      <c r="D23" s="56" t="s">
        <v>494</v>
      </c>
      <c r="E23" s="57" t="s">
        <v>27</v>
      </c>
      <c r="F23" s="57" t="s">
        <v>286</v>
      </c>
      <c r="G23" s="57" t="s">
        <v>449</v>
      </c>
      <c r="H23" s="58" t="n">
        <v>214</v>
      </c>
      <c r="I23" s="65" t="s">
        <v>83</v>
      </c>
      <c r="J23" s="59" t="n">
        <v>494340</v>
      </c>
      <c r="K23" s="59" t="n">
        <v>494340</v>
      </c>
      <c r="L23" s="60" t="s">
        <v>83</v>
      </c>
      <c r="M23" s="55" t="s">
        <v>269</v>
      </c>
      <c r="N23" s="61" t="n">
        <v>3</v>
      </c>
      <c r="O23" s="61" t="n">
        <v>5</v>
      </c>
      <c r="P23" s="61" t="n">
        <v>3.5</v>
      </c>
      <c r="Q23" s="61" t="n">
        <v>1</v>
      </c>
      <c r="R23" s="61" t="n">
        <v>0</v>
      </c>
      <c r="S23" s="62" t="n">
        <f aca="false">ROUND((N23*$B$4+O23*$C$4+P23*$D$4+Q23*$E$4)*20-R23*4,1)</f>
        <v>64</v>
      </c>
      <c r="T23" s="57" t="s">
        <v>579</v>
      </c>
      <c r="U23" s="63" t="s">
        <v>648</v>
      </c>
      <c r="V23" s="63" t="s">
        <v>581</v>
      </c>
      <c r="W23" s="63" t="s">
        <v>649</v>
      </c>
      <c r="X23" s="63" t="s">
        <v>650</v>
      </c>
      <c r="Y23" s="64" t="s">
        <v>323</v>
      </c>
      <c r="Z23" s="14" t="s">
        <v>499</v>
      </c>
    </row>
    <row r="24" customFormat="false" ht="39.75" hidden="false" customHeight="true" outlineLevel="0" collapsed="false">
      <c r="A24" s="55"/>
      <c r="B24" s="55" t="n">
        <v>18</v>
      </c>
      <c r="C24" s="55" t="s">
        <v>229</v>
      </c>
      <c r="D24" s="56" t="s">
        <v>230</v>
      </c>
      <c r="E24" s="57" t="s">
        <v>127</v>
      </c>
      <c r="F24" s="57" t="s">
        <v>598</v>
      </c>
      <c r="G24" s="57" t="s">
        <v>449</v>
      </c>
      <c r="H24" s="58" t="n">
        <v>213.56</v>
      </c>
      <c r="I24" s="58" t="n">
        <v>204.08</v>
      </c>
      <c r="J24" s="59" t="n">
        <v>218000</v>
      </c>
      <c r="K24" s="59" t="n">
        <v>236980</v>
      </c>
      <c r="L24" s="59" t="n">
        <v>1161</v>
      </c>
      <c r="M24" s="55" t="s">
        <v>370</v>
      </c>
      <c r="N24" s="61" t="n">
        <v>5</v>
      </c>
      <c r="O24" s="61" t="n">
        <v>2.5</v>
      </c>
      <c r="P24" s="61" t="n">
        <v>2</v>
      </c>
      <c r="Q24" s="61" t="n">
        <v>5</v>
      </c>
      <c r="R24" s="61" t="n">
        <v>3</v>
      </c>
      <c r="S24" s="62" t="n">
        <f aca="false">ROUND((N24*$B$4+O24*$C$4+P24*$D$4+Q24*$E$4)*20-R24*4,1)</f>
        <v>63.5</v>
      </c>
      <c r="T24" s="57" t="s">
        <v>651</v>
      </c>
      <c r="U24" s="63" t="s">
        <v>652</v>
      </c>
      <c r="V24" s="63" t="s">
        <v>623</v>
      </c>
      <c r="W24" s="63" t="s">
        <v>653</v>
      </c>
      <c r="X24" s="63" t="s">
        <v>654</v>
      </c>
      <c r="Y24" s="63" t="s">
        <v>655</v>
      </c>
      <c r="Z24" s="14" t="s">
        <v>237</v>
      </c>
    </row>
    <row r="25" customFormat="false" ht="39.75" hidden="false" customHeight="true" outlineLevel="0" collapsed="false">
      <c r="A25" s="55"/>
      <c r="B25" s="55" t="n">
        <v>19</v>
      </c>
      <c r="C25" s="55" t="s">
        <v>424</v>
      </c>
      <c r="D25" s="56" t="s">
        <v>425</v>
      </c>
      <c r="E25" s="57" t="s">
        <v>127</v>
      </c>
      <c r="F25" s="55" t="s">
        <v>621</v>
      </c>
      <c r="G25" s="57" t="s">
        <v>272</v>
      </c>
      <c r="H25" s="58" t="n">
        <v>205</v>
      </c>
      <c r="I25" s="65" t="s">
        <v>83</v>
      </c>
      <c r="J25" s="59" t="n">
        <v>300000</v>
      </c>
      <c r="K25" s="59" t="n">
        <v>300000</v>
      </c>
      <c r="L25" s="60" t="s">
        <v>83</v>
      </c>
      <c r="M25" s="57" t="s">
        <v>83</v>
      </c>
      <c r="N25" s="61" t="n">
        <v>4.5</v>
      </c>
      <c r="O25" s="61" t="n">
        <v>2</v>
      </c>
      <c r="P25" s="61" t="n">
        <v>1.5</v>
      </c>
      <c r="Q25" s="61" t="n">
        <v>4</v>
      </c>
      <c r="R25" s="61" t="n">
        <v>0.5</v>
      </c>
      <c r="S25" s="62" t="n">
        <f aca="false">ROUND((N25*$B$4+O25*$C$4+P25*$D$4+Q25*$E$4)*20-R25*4,1)</f>
        <v>61.5</v>
      </c>
      <c r="T25" s="57" t="s">
        <v>579</v>
      </c>
      <c r="U25" s="63" t="s">
        <v>656</v>
      </c>
      <c r="V25" s="63" t="s">
        <v>657</v>
      </c>
      <c r="W25" s="63" t="s">
        <v>658</v>
      </c>
      <c r="X25" s="63" t="s">
        <v>659</v>
      </c>
      <c r="Y25" s="63" t="s">
        <v>660</v>
      </c>
      <c r="Z25" s="13" t="s">
        <v>430</v>
      </c>
    </row>
    <row r="26" customFormat="false" ht="39.75" hidden="false" customHeight="true" outlineLevel="0" collapsed="false">
      <c r="A26" s="55"/>
      <c r="B26" s="55" t="n">
        <v>20</v>
      </c>
      <c r="C26" s="55" t="s">
        <v>440</v>
      </c>
      <c r="D26" s="56" t="s">
        <v>441</v>
      </c>
      <c r="E26" s="57" t="s">
        <v>159</v>
      </c>
      <c r="F26" s="55" t="s">
        <v>621</v>
      </c>
      <c r="G26" s="57" t="s">
        <v>272</v>
      </c>
      <c r="H26" s="58" t="n">
        <v>200.79</v>
      </c>
      <c r="I26" s="65" t="s">
        <v>83</v>
      </c>
      <c r="J26" s="59" t="n">
        <v>320000</v>
      </c>
      <c r="K26" s="59" t="n">
        <v>320000</v>
      </c>
      <c r="L26" s="60" t="s">
        <v>83</v>
      </c>
      <c r="M26" s="57" t="s">
        <v>83</v>
      </c>
      <c r="N26" s="61" t="n">
        <v>4.5</v>
      </c>
      <c r="O26" s="61" t="n">
        <v>2</v>
      </c>
      <c r="P26" s="61" t="n">
        <v>1.5</v>
      </c>
      <c r="Q26" s="61" t="n">
        <v>4</v>
      </c>
      <c r="R26" s="61" t="n">
        <v>0.5</v>
      </c>
      <c r="S26" s="62" t="n">
        <f aca="false">ROUND((N26*$B$4+O26*$C$4+P26*$D$4+Q26*$E$4)*20-R26*4,1)</f>
        <v>61.5</v>
      </c>
      <c r="T26" s="57" t="s">
        <v>579</v>
      </c>
      <c r="U26" s="63" t="s">
        <v>661</v>
      </c>
      <c r="V26" s="63" t="s">
        <v>657</v>
      </c>
      <c r="W26" s="63" t="s">
        <v>662</v>
      </c>
      <c r="X26" s="63" t="s">
        <v>663</v>
      </c>
      <c r="Y26" s="63" t="s">
        <v>92</v>
      </c>
      <c r="Z26" s="13" t="s">
        <v>401</v>
      </c>
    </row>
    <row r="27" customFormat="false" ht="39.75" hidden="false" customHeight="true" outlineLevel="0" collapsed="false">
      <c r="A27" s="55"/>
      <c r="B27" s="55" t="n">
        <v>21</v>
      </c>
      <c r="C27" s="55" t="s">
        <v>147</v>
      </c>
      <c r="D27" s="56" t="s">
        <v>148</v>
      </c>
      <c r="E27" s="57" t="s">
        <v>51</v>
      </c>
      <c r="F27" s="57" t="s">
        <v>598</v>
      </c>
      <c r="G27" s="57" t="s">
        <v>272</v>
      </c>
      <c r="H27" s="58" t="n">
        <v>211.38</v>
      </c>
      <c r="I27" s="65" t="s">
        <v>83</v>
      </c>
      <c r="J27" s="59" t="n">
        <v>388500</v>
      </c>
      <c r="K27" s="59" t="n">
        <v>405500</v>
      </c>
      <c r="L27" s="60" t="s">
        <v>83</v>
      </c>
      <c r="M27" s="55" t="s">
        <v>312</v>
      </c>
      <c r="N27" s="61" t="n">
        <v>4.5</v>
      </c>
      <c r="O27" s="61" t="n">
        <v>3.5</v>
      </c>
      <c r="P27" s="61" t="n">
        <v>1</v>
      </c>
      <c r="Q27" s="61" t="n">
        <v>3</v>
      </c>
      <c r="R27" s="61" t="n">
        <v>1</v>
      </c>
      <c r="S27" s="62" t="n">
        <f aca="false">ROUND((N27*$B$4+O27*$C$4+P27*$D$4+Q27*$E$4)*20-R27*4,1)</f>
        <v>61</v>
      </c>
      <c r="T27" s="57" t="s">
        <v>579</v>
      </c>
      <c r="U27" s="63" t="s">
        <v>664</v>
      </c>
      <c r="V27" s="63" t="s">
        <v>595</v>
      </c>
      <c r="W27" s="63" t="s">
        <v>665</v>
      </c>
      <c r="X27" s="63" t="s">
        <v>666</v>
      </c>
      <c r="Y27" s="63" t="s">
        <v>667</v>
      </c>
      <c r="Z27" s="14" t="s">
        <v>156</v>
      </c>
    </row>
    <row r="28" customFormat="false" ht="39.75" hidden="false" customHeight="true" outlineLevel="0" collapsed="false">
      <c r="A28" s="55"/>
      <c r="B28" s="55" t="n">
        <v>22</v>
      </c>
      <c r="C28" s="55" t="s">
        <v>38</v>
      </c>
      <c r="D28" s="56" t="s">
        <v>39</v>
      </c>
      <c r="E28" s="57" t="s">
        <v>27</v>
      </c>
      <c r="F28" s="57" t="s">
        <v>578</v>
      </c>
      <c r="G28" s="57" t="s">
        <v>449</v>
      </c>
      <c r="H28" s="58" t="n">
        <v>232.22</v>
      </c>
      <c r="I28" s="58" t="n">
        <v>183.22</v>
      </c>
      <c r="J28" s="59" t="n">
        <v>451087</v>
      </c>
      <c r="K28" s="59" t="n">
        <v>494098</v>
      </c>
      <c r="L28" s="59" t="n">
        <v>2697</v>
      </c>
      <c r="M28" s="55" t="s">
        <v>276</v>
      </c>
      <c r="N28" s="61" t="n">
        <v>3</v>
      </c>
      <c r="O28" s="61" t="n">
        <v>4.2</v>
      </c>
      <c r="P28" s="61" t="n">
        <v>3</v>
      </c>
      <c r="Q28" s="61" t="n">
        <v>2</v>
      </c>
      <c r="R28" s="61" t="n">
        <v>0.5</v>
      </c>
      <c r="S28" s="62" t="n">
        <f aca="false">ROUND((N28*$B$4+O28*$C$4+P28*$D$4+Q28*$E$4)*20-R28*4,1)</f>
        <v>60</v>
      </c>
      <c r="T28" s="57" t="s">
        <v>579</v>
      </c>
      <c r="U28" s="63" t="s">
        <v>668</v>
      </c>
      <c r="V28" s="63" t="s">
        <v>669</v>
      </c>
      <c r="W28" s="63" t="s">
        <v>670</v>
      </c>
      <c r="X28" s="63" t="s">
        <v>671</v>
      </c>
      <c r="Y28" s="63" t="s">
        <v>672</v>
      </c>
      <c r="Z28" s="14" t="s">
        <v>48</v>
      </c>
    </row>
    <row r="29" customFormat="false" ht="39.75" hidden="false" customHeight="true" outlineLevel="0" collapsed="false">
      <c r="A29" s="55"/>
      <c r="B29" s="55" t="n">
        <v>23</v>
      </c>
      <c r="C29" s="55" t="s">
        <v>176</v>
      </c>
      <c r="D29" s="56" t="s">
        <v>177</v>
      </c>
      <c r="E29" s="57" t="s">
        <v>159</v>
      </c>
      <c r="F29" s="57" t="s">
        <v>598</v>
      </c>
      <c r="G29" s="57" t="s">
        <v>272</v>
      </c>
      <c r="H29" s="58" t="n">
        <v>253.16</v>
      </c>
      <c r="I29" s="58" t="n">
        <v>166.77</v>
      </c>
      <c r="J29" s="59" t="n">
        <v>350000</v>
      </c>
      <c r="K29" s="59" t="n">
        <v>386676</v>
      </c>
      <c r="L29" s="59" t="n">
        <v>2319</v>
      </c>
      <c r="M29" s="55" t="s">
        <v>404</v>
      </c>
      <c r="N29" s="61" t="n">
        <v>4</v>
      </c>
      <c r="O29" s="61" t="n">
        <v>2</v>
      </c>
      <c r="P29" s="61" t="n">
        <v>3</v>
      </c>
      <c r="Q29" s="61" t="n">
        <v>3</v>
      </c>
      <c r="R29" s="61" t="n">
        <v>0.5</v>
      </c>
      <c r="S29" s="62" t="n">
        <f aca="false">ROUND((N29*$B$4+O29*$C$4+P29*$D$4+Q29*$E$4)*20-R29*4,1)</f>
        <v>60</v>
      </c>
      <c r="T29" s="57" t="s">
        <v>579</v>
      </c>
      <c r="U29" s="63" t="s">
        <v>673</v>
      </c>
      <c r="V29" s="63" t="s">
        <v>657</v>
      </c>
      <c r="W29" s="63" t="s">
        <v>674</v>
      </c>
      <c r="X29" s="63" t="s">
        <v>675</v>
      </c>
      <c r="Y29" s="63" t="s">
        <v>676</v>
      </c>
      <c r="Z29" s="14" t="s">
        <v>185</v>
      </c>
    </row>
    <row r="30" customFormat="false" ht="39.75" hidden="false" customHeight="true" outlineLevel="0" collapsed="false">
      <c r="A30" s="55"/>
      <c r="B30" s="55" t="n">
        <v>24</v>
      </c>
      <c r="C30" s="55" t="s">
        <v>195</v>
      </c>
      <c r="D30" s="56" t="s">
        <v>196</v>
      </c>
      <c r="E30" s="57" t="s">
        <v>159</v>
      </c>
      <c r="F30" s="57" t="s">
        <v>598</v>
      </c>
      <c r="G30" s="57" t="s">
        <v>272</v>
      </c>
      <c r="H30" s="58" t="n">
        <v>285.67</v>
      </c>
      <c r="I30" s="65" t="s">
        <v>83</v>
      </c>
      <c r="J30" s="59" t="n">
        <v>428505</v>
      </c>
      <c r="K30" s="59" t="n">
        <v>428505</v>
      </c>
      <c r="L30" s="60" t="s">
        <v>83</v>
      </c>
      <c r="M30" s="55" t="s">
        <v>273</v>
      </c>
      <c r="N30" s="61" t="n">
        <v>2</v>
      </c>
      <c r="O30" s="61" t="n">
        <v>3.5</v>
      </c>
      <c r="P30" s="61" t="n">
        <v>3</v>
      </c>
      <c r="Q30" s="61" t="n">
        <v>4</v>
      </c>
      <c r="R30" s="61" t="n">
        <v>0</v>
      </c>
      <c r="S30" s="62" t="n">
        <f aca="false">ROUND((N30*$B$4+O30*$C$4+P30*$D$4+Q30*$E$4)*20-R30*4,1)</f>
        <v>59.5</v>
      </c>
      <c r="T30" s="57" t="s">
        <v>579</v>
      </c>
      <c r="U30" s="63" t="s">
        <v>677</v>
      </c>
      <c r="V30" s="63" t="s">
        <v>595</v>
      </c>
      <c r="W30" s="63" t="s">
        <v>678</v>
      </c>
      <c r="X30" s="63" t="s">
        <v>605</v>
      </c>
      <c r="Y30" s="64" t="s">
        <v>323</v>
      </c>
      <c r="Z30" s="14" t="s">
        <v>201</v>
      </c>
    </row>
    <row r="31" customFormat="false" ht="39.75" hidden="false" customHeight="true" outlineLevel="0" collapsed="false">
      <c r="A31" s="55"/>
      <c r="B31" s="55" t="n">
        <v>25</v>
      </c>
      <c r="C31" s="55" t="s">
        <v>295</v>
      </c>
      <c r="D31" s="56" t="s">
        <v>296</v>
      </c>
      <c r="E31" s="57" t="s">
        <v>27</v>
      </c>
      <c r="F31" s="57" t="s">
        <v>286</v>
      </c>
      <c r="G31" s="57" t="s">
        <v>272</v>
      </c>
      <c r="H31" s="58" t="n">
        <v>222</v>
      </c>
      <c r="I31" s="58" t="n">
        <v>173</v>
      </c>
      <c r="J31" s="59" t="n">
        <v>420000</v>
      </c>
      <c r="K31" s="59" t="n">
        <v>474300</v>
      </c>
      <c r="L31" s="59" t="n">
        <v>2742</v>
      </c>
      <c r="M31" s="55" t="s">
        <v>276</v>
      </c>
      <c r="N31" s="61" t="n">
        <v>3.5</v>
      </c>
      <c r="O31" s="61" t="n">
        <v>4.2</v>
      </c>
      <c r="P31" s="61" t="n">
        <v>3</v>
      </c>
      <c r="Q31" s="61" t="n">
        <v>1</v>
      </c>
      <c r="R31" s="61" t="n">
        <v>0.5</v>
      </c>
      <c r="S31" s="62" t="n">
        <f aca="false">ROUND((N31*$B$4+O31*$C$4+P31*$D$4+Q31*$E$4)*20-R31*4,1)</f>
        <v>59.5</v>
      </c>
      <c r="T31" s="57" t="s">
        <v>579</v>
      </c>
      <c r="U31" s="63" t="s">
        <v>679</v>
      </c>
      <c r="V31" s="63" t="s">
        <v>669</v>
      </c>
      <c r="W31" s="63" t="s">
        <v>680</v>
      </c>
      <c r="X31" s="63" t="s">
        <v>681</v>
      </c>
      <c r="Y31" s="63" t="s">
        <v>682</v>
      </c>
      <c r="Z31" s="14" t="s">
        <v>302</v>
      </c>
    </row>
    <row r="32" customFormat="false" ht="39.75" hidden="false" customHeight="true" outlineLevel="0" collapsed="false">
      <c r="A32" s="55"/>
      <c r="B32" s="55" t="n">
        <v>26</v>
      </c>
      <c r="C32" s="55" t="s">
        <v>58</v>
      </c>
      <c r="D32" s="56" t="s">
        <v>59</v>
      </c>
      <c r="E32" s="57" t="s">
        <v>51</v>
      </c>
      <c r="F32" s="57" t="s">
        <v>578</v>
      </c>
      <c r="G32" s="57" t="s">
        <v>449</v>
      </c>
      <c r="H32" s="58" t="n">
        <v>220.07</v>
      </c>
      <c r="I32" s="58" t="n">
        <v>207.21</v>
      </c>
      <c r="J32" s="59" t="n">
        <v>440140</v>
      </c>
      <c r="K32" s="59" t="n">
        <v>496555</v>
      </c>
      <c r="L32" s="59" t="n">
        <v>2396</v>
      </c>
      <c r="M32" s="55" t="s">
        <v>490</v>
      </c>
      <c r="N32" s="61" t="n">
        <v>3</v>
      </c>
      <c r="O32" s="61" t="n">
        <v>3.2</v>
      </c>
      <c r="P32" s="61" t="n">
        <v>3</v>
      </c>
      <c r="Q32" s="61" t="n">
        <v>3</v>
      </c>
      <c r="R32" s="61" t="n">
        <v>0.5</v>
      </c>
      <c r="S32" s="62" t="n">
        <f aca="false">ROUND((N32*$B$4+O32*$C$4+P32*$D$4+Q32*$E$4)*20-R32*4,1)</f>
        <v>59</v>
      </c>
      <c r="T32" s="57" t="s">
        <v>579</v>
      </c>
      <c r="U32" s="63" t="s">
        <v>683</v>
      </c>
      <c r="V32" s="63" t="s">
        <v>617</v>
      </c>
      <c r="W32" s="63" t="s">
        <v>684</v>
      </c>
      <c r="X32" s="63" t="s">
        <v>685</v>
      </c>
      <c r="Y32" s="63" t="s">
        <v>686</v>
      </c>
      <c r="Z32" s="13" t="s">
        <v>68</v>
      </c>
    </row>
    <row r="33" customFormat="false" ht="39.75" hidden="false" customHeight="true" outlineLevel="0" collapsed="false">
      <c r="A33" s="55"/>
      <c r="B33" s="55" t="n">
        <v>27</v>
      </c>
      <c r="C33" s="55" t="s">
        <v>335</v>
      </c>
      <c r="D33" s="56" t="s">
        <v>336</v>
      </c>
      <c r="E33" s="57" t="s">
        <v>159</v>
      </c>
      <c r="F33" s="57" t="s">
        <v>286</v>
      </c>
      <c r="G33" s="57" t="s">
        <v>272</v>
      </c>
      <c r="H33" s="58" t="n">
        <v>209</v>
      </c>
      <c r="I33" s="65" t="s">
        <v>83</v>
      </c>
      <c r="J33" s="59" t="n">
        <v>438900</v>
      </c>
      <c r="K33" s="59" t="n">
        <v>438900</v>
      </c>
      <c r="L33" s="60" t="s">
        <v>83</v>
      </c>
      <c r="M33" s="57" t="s">
        <v>83</v>
      </c>
      <c r="N33" s="61" t="n">
        <v>3.5</v>
      </c>
      <c r="O33" s="61" t="n">
        <v>3.5</v>
      </c>
      <c r="P33" s="61" t="n">
        <v>2</v>
      </c>
      <c r="Q33" s="61" t="n">
        <v>2</v>
      </c>
      <c r="R33" s="61" t="n">
        <v>0</v>
      </c>
      <c r="S33" s="62" t="n">
        <f aca="false">ROUND((N33*$B$4+O33*$C$4+P33*$D$4+Q33*$E$4)*20-R33*4,1)</f>
        <v>58</v>
      </c>
      <c r="T33" s="57" t="s">
        <v>579</v>
      </c>
      <c r="U33" s="63" t="s">
        <v>687</v>
      </c>
      <c r="V33" s="63" t="s">
        <v>595</v>
      </c>
      <c r="W33" s="63" t="s">
        <v>636</v>
      </c>
      <c r="X33" s="63" t="s">
        <v>688</v>
      </c>
      <c r="Y33" s="64" t="s">
        <v>323</v>
      </c>
      <c r="Z33" s="14" t="s">
        <v>340</v>
      </c>
    </row>
    <row r="34" customFormat="false" ht="39.75" hidden="false" customHeight="true" outlineLevel="0" collapsed="false">
      <c r="A34" s="55"/>
      <c r="B34" s="55" t="n">
        <v>28</v>
      </c>
      <c r="C34" s="55" t="s">
        <v>317</v>
      </c>
      <c r="D34" s="56" t="s">
        <v>318</v>
      </c>
      <c r="E34" s="57" t="s">
        <v>51</v>
      </c>
      <c r="F34" s="57" t="s">
        <v>286</v>
      </c>
      <c r="G34" s="57" t="s">
        <v>272</v>
      </c>
      <c r="H34" s="58" t="n">
        <v>211</v>
      </c>
      <c r="I34" s="65" t="s">
        <v>83</v>
      </c>
      <c r="J34" s="59" t="n">
        <v>436800</v>
      </c>
      <c r="K34" s="59" t="n">
        <v>436800</v>
      </c>
      <c r="L34" s="60" t="s">
        <v>83</v>
      </c>
      <c r="M34" s="57" t="s">
        <v>83</v>
      </c>
      <c r="N34" s="61" t="n">
        <v>3.5</v>
      </c>
      <c r="O34" s="61" t="n">
        <v>3.5</v>
      </c>
      <c r="P34" s="61" t="n">
        <v>2</v>
      </c>
      <c r="Q34" s="61" t="n">
        <v>2</v>
      </c>
      <c r="R34" s="61" t="n">
        <v>0</v>
      </c>
      <c r="S34" s="62" t="n">
        <f aca="false">ROUND((N34*$B$4+O34*$C$4+P34*$D$4+Q34*$E$4)*20-R34*4,1)</f>
        <v>58</v>
      </c>
      <c r="T34" s="57" t="s">
        <v>579</v>
      </c>
      <c r="U34" s="63" t="s">
        <v>689</v>
      </c>
      <c r="V34" s="63" t="s">
        <v>595</v>
      </c>
      <c r="W34" s="63" t="s">
        <v>636</v>
      </c>
      <c r="X34" s="63" t="s">
        <v>690</v>
      </c>
      <c r="Y34" s="64" t="s">
        <v>323</v>
      </c>
      <c r="Z34" s="14" t="s">
        <v>321</v>
      </c>
    </row>
    <row r="35" customFormat="false" ht="39.75" hidden="false" customHeight="true" outlineLevel="0" collapsed="false">
      <c r="A35" s="55"/>
      <c r="B35" s="55" t="n">
        <v>29</v>
      </c>
      <c r="C35" s="55" t="s">
        <v>324</v>
      </c>
      <c r="D35" s="56" t="s">
        <v>325</v>
      </c>
      <c r="E35" s="57" t="s">
        <v>27</v>
      </c>
      <c r="F35" s="57" t="s">
        <v>286</v>
      </c>
      <c r="G35" s="57" t="s">
        <v>272</v>
      </c>
      <c r="H35" s="58" t="n">
        <v>210</v>
      </c>
      <c r="I35" s="58" t="n">
        <v>153</v>
      </c>
      <c r="J35" s="59" t="n">
        <v>367500</v>
      </c>
      <c r="K35" s="59" t="n">
        <v>407400</v>
      </c>
      <c r="L35" s="59" t="n">
        <v>2663</v>
      </c>
      <c r="M35" s="55" t="s">
        <v>330</v>
      </c>
      <c r="N35" s="61" t="n">
        <v>4.5</v>
      </c>
      <c r="O35" s="61" t="n">
        <v>4</v>
      </c>
      <c r="P35" s="61" t="n">
        <v>0.5</v>
      </c>
      <c r="Q35" s="61" t="n">
        <v>2</v>
      </c>
      <c r="R35" s="61" t="n">
        <v>1</v>
      </c>
      <c r="S35" s="62" t="n">
        <f aca="false">ROUND((N35*$B$4+O35*$C$4+P35*$D$4+Q35*$E$4)*20-R35*4,1)</f>
        <v>57.5</v>
      </c>
      <c r="T35" s="57" t="s">
        <v>579</v>
      </c>
      <c r="U35" s="63" t="s">
        <v>691</v>
      </c>
      <c r="V35" s="63" t="s">
        <v>608</v>
      </c>
      <c r="W35" s="63" t="s">
        <v>692</v>
      </c>
      <c r="X35" s="63" t="s">
        <v>693</v>
      </c>
      <c r="Y35" s="63" t="s">
        <v>694</v>
      </c>
      <c r="Z35" s="14" t="s">
        <v>332</v>
      </c>
    </row>
    <row r="36" customFormat="false" ht="39.75" hidden="false" customHeight="true" outlineLevel="0" collapsed="false">
      <c r="A36" s="55"/>
      <c r="B36" s="55" t="n">
        <v>30</v>
      </c>
      <c r="C36" s="55" t="s">
        <v>354</v>
      </c>
      <c r="D36" s="66" t="s">
        <v>355</v>
      </c>
      <c r="E36" s="57" t="s">
        <v>27</v>
      </c>
      <c r="F36" s="55" t="s">
        <v>621</v>
      </c>
      <c r="G36" s="57" t="s">
        <v>272</v>
      </c>
      <c r="H36" s="58" t="n">
        <v>204</v>
      </c>
      <c r="I36" s="65" t="s">
        <v>83</v>
      </c>
      <c r="J36" s="59" t="n">
        <v>469000</v>
      </c>
      <c r="K36" s="59" t="n">
        <v>469000</v>
      </c>
      <c r="L36" s="60" t="s">
        <v>83</v>
      </c>
      <c r="M36" s="55" t="s">
        <v>361</v>
      </c>
      <c r="N36" s="61" t="n">
        <v>3</v>
      </c>
      <c r="O36" s="61" t="n">
        <v>4</v>
      </c>
      <c r="P36" s="61" t="n">
        <v>3</v>
      </c>
      <c r="Q36" s="61" t="n">
        <v>1</v>
      </c>
      <c r="R36" s="61" t="n">
        <v>0</v>
      </c>
      <c r="S36" s="62" t="n">
        <f aca="false">ROUND((N36*$B$4+O36*$C$4+P36*$D$4+Q36*$E$4)*20-R36*4,1)</f>
        <v>57</v>
      </c>
      <c r="T36" s="57" t="s">
        <v>579</v>
      </c>
      <c r="U36" s="63" t="s">
        <v>695</v>
      </c>
      <c r="V36" s="63" t="s">
        <v>608</v>
      </c>
      <c r="W36" s="63" t="s">
        <v>613</v>
      </c>
      <c r="X36" s="63" t="s">
        <v>696</v>
      </c>
      <c r="Y36" s="64" t="s">
        <v>323</v>
      </c>
      <c r="Z36" s="13" t="s">
        <v>365</v>
      </c>
    </row>
    <row r="37" customFormat="false" ht="39.75" hidden="false" customHeight="true" outlineLevel="0" collapsed="false">
      <c r="A37" s="55"/>
      <c r="B37" s="55" t="n">
        <v>31</v>
      </c>
      <c r="C37" s="55" t="s">
        <v>544</v>
      </c>
      <c r="D37" s="56" t="s">
        <v>545</v>
      </c>
      <c r="E37" s="57" t="s">
        <v>159</v>
      </c>
      <c r="F37" s="55" t="s">
        <v>621</v>
      </c>
      <c r="G37" s="57" t="s">
        <v>449</v>
      </c>
      <c r="H37" s="58" t="n">
        <v>253</v>
      </c>
      <c r="I37" s="65" t="s">
        <v>83</v>
      </c>
      <c r="J37" s="59" t="n">
        <v>350000</v>
      </c>
      <c r="K37" s="59" t="n">
        <v>350000</v>
      </c>
      <c r="L37" s="60" t="s">
        <v>83</v>
      </c>
      <c r="M37" s="57" t="s">
        <v>83</v>
      </c>
      <c r="N37" s="61" t="n">
        <v>3.5</v>
      </c>
      <c r="O37" s="61" t="n">
        <v>2</v>
      </c>
      <c r="P37" s="61" t="n">
        <v>2</v>
      </c>
      <c r="Q37" s="61" t="n">
        <v>4</v>
      </c>
      <c r="R37" s="61" t="n">
        <v>0.5</v>
      </c>
      <c r="S37" s="62" t="n">
        <f aca="false">ROUND((N37*$B$4+O37*$C$4+P37*$D$4+Q37*$E$4)*20-R37*4,1)</f>
        <v>56.5</v>
      </c>
      <c r="T37" s="57" t="s">
        <v>579</v>
      </c>
      <c r="U37" s="63" t="s">
        <v>697</v>
      </c>
      <c r="V37" s="63" t="s">
        <v>657</v>
      </c>
      <c r="W37" s="63" t="s">
        <v>636</v>
      </c>
      <c r="X37" s="63" t="s">
        <v>698</v>
      </c>
      <c r="Y37" s="63" t="s">
        <v>676</v>
      </c>
      <c r="Z37" s="13" t="s">
        <v>401</v>
      </c>
    </row>
    <row r="38" customFormat="false" ht="39.75" hidden="false" customHeight="true" outlineLevel="0" collapsed="false">
      <c r="A38" s="55"/>
      <c r="B38" s="55" t="n">
        <v>32</v>
      </c>
      <c r="C38" s="55" t="s">
        <v>406</v>
      </c>
      <c r="D38" s="56" t="s">
        <v>407</v>
      </c>
      <c r="E38" s="57" t="s">
        <v>159</v>
      </c>
      <c r="F38" s="55" t="s">
        <v>621</v>
      </c>
      <c r="G38" s="57" t="s">
        <v>272</v>
      </c>
      <c r="H38" s="58" t="n">
        <v>252</v>
      </c>
      <c r="I38" s="65" t="s">
        <v>83</v>
      </c>
      <c r="J38" s="59" t="n">
        <v>380000</v>
      </c>
      <c r="K38" s="59" t="n">
        <v>380000</v>
      </c>
      <c r="L38" s="60" t="s">
        <v>83</v>
      </c>
      <c r="M38" s="57" t="s">
        <v>83</v>
      </c>
      <c r="N38" s="61" t="n">
        <v>3.5</v>
      </c>
      <c r="O38" s="61" t="n">
        <v>2</v>
      </c>
      <c r="P38" s="61" t="n">
        <v>2</v>
      </c>
      <c r="Q38" s="61" t="n">
        <v>4</v>
      </c>
      <c r="R38" s="61" t="n">
        <v>0.5</v>
      </c>
      <c r="S38" s="62" t="n">
        <f aca="false">ROUND((N38*$B$4+O38*$C$4+P38*$D$4+Q38*$E$4)*20-R38*4,1)</f>
        <v>56.5</v>
      </c>
      <c r="T38" s="57" t="s">
        <v>579</v>
      </c>
      <c r="U38" s="63" t="s">
        <v>699</v>
      </c>
      <c r="V38" s="63" t="s">
        <v>657</v>
      </c>
      <c r="W38" s="63" t="s">
        <v>636</v>
      </c>
      <c r="X38" s="63" t="s">
        <v>700</v>
      </c>
      <c r="Y38" s="63" t="s">
        <v>676</v>
      </c>
      <c r="Z38" s="13" t="s">
        <v>410</v>
      </c>
    </row>
    <row r="39" customFormat="false" ht="39.75" hidden="false" customHeight="true" outlineLevel="0" collapsed="false">
      <c r="A39" s="55"/>
      <c r="B39" s="55" t="n">
        <v>33</v>
      </c>
      <c r="C39" s="55" t="s">
        <v>474</v>
      </c>
      <c r="D39" s="56" t="s">
        <v>475</v>
      </c>
      <c r="E39" s="57" t="s">
        <v>27</v>
      </c>
      <c r="F39" s="57" t="s">
        <v>286</v>
      </c>
      <c r="G39" s="57" t="s">
        <v>449</v>
      </c>
      <c r="H39" s="58" t="n">
        <v>230</v>
      </c>
      <c r="I39" s="58" t="n">
        <v>179</v>
      </c>
      <c r="J39" s="59" t="n">
        <v>478170</v>
      </c>
      <c r="K39" s="59" t="n">
        <v>526970</v>
      </c>
      <c r="L39" s="59" t="n">
        <v>2944</v>
      </c>
      <c r="M39" s="55" t="s">
        <v>276</v>
      </c>
      <c r="N39" s="61" t="n">
        <v>3</v>
      </c>
      <c r="O39" s="61" t="n">
        <v>4.2</v>
      </c>
      <c r="P39" s="61" t="n">
        <v>3</v>
      </c>
      <c r="Q39" s="61" t="n">
        <v>1</v>
      </c>
      <c r="R39" s="61" t="n">
        <v>0.5</v>
      </c>
      <c r="S39" s="62" t="n">
        <f aca="false">ROUND((N39*$B$4+O39*$C$4+P39*$D$4+Q39*$E$4)*20-R39*4,1)</f>
        <v>56</v>
      </c>
      <c r="T39" s="57" t="s">
        <v>579</v>
      </c>
      <c r="U39" s="63" t="s">
        <v>701</v>
      </c>
      <c r="V39" s="63" t="s">
        <v>669</v>
      </c>
      <c r="W39" s="63" t="s">
        <v>702</v>
      </c>
      <c r="X39" s="63" t="s">
        <v>703</v>
      </c>
      <c r="Y39" s="63" t="s">
        <v>704</v>
      </c>
      <c r="Z39" s="14" t="s">
        <v>480</v>
      </c>
    </row>
    <row r="40" customFormat="false" ht="39.75" hidden="false" customHeight="true" outlineLevel="0" collapsed="false">
      <c r="A40" s="55"/>
      <c r="B40" s="55" t="n">
        <v>34</v>
      </c>
      <c r="C40" s="55" t="s">
        <v>525</v>
      </c>
      <c r="D40" s="56" t="s">
        <v>526</v>
      </c>
      <c r="E40" s="57" t="s">
        <v>159</v>
      </c>
      <c r="F40" s="57" t="s">
        <v>286</v>
      </c>
      <c r="G40" s="57" t="s">
        <v>449</v>
      </c>
      <c r="H40" s="58" t="n">
        <v>204</v>
      </c>
      <c r="I40" s="65" t="s">
        <v>83</v>
      </c>
      <c r="J40" s="59" t="n">
        <v>490245</v>
      </c>
      <c r="K40" s="59" t="n">
        <v>512575</v>
      </c>
      <c r="L40" s="60" t="s">
        <v>83</v>
      </c>
      <c r="M40" s="55" t="s">
        <v>529</v>
      </c>
      <c r="N40" s="61" t="n">
        <v>3</v>
      </c>
      <c r="O40" s="61" t="n">
        <v>3.5</v>
      </c>
      <c r="P40" s="61" t="n">
        <v>3</v>
      </c>
      <c r="Q40" s="61" t="n">
        <v>1</v>
      </c>
      <c r="R40" s="61" t="n">
        <v>0</v>
      </c>
      <c r="S40" s="62" t="n">
        <f aca="false">ROUND((N40*$B$4+O40*$C$4+P40*$D$4+Q40*$E$4)*20-R40*4,1)</f>
        <v>54.5</v>
      </c>
      <c r="T40" s="57" t="s">
        <v>579</v>
      </c>
      <c r="U40" s="63" t="s">
        <v>705</v>
      </c>
      <c r="V40" s="63" t="s">
        <v>595</v>
      </c>
      <c r="W40" s="63" t="s">
        <v>706</v>
      </c>
      <c r="X40" s="63" t="s">
        <v>707</v>
      </c>
      <c r="Y40" s="64" t="s">
        <v>323</v>
      </c>
      <c r="Z40" s="14" t="s">
        <v>532</v>
      </c>
    </row>
    <row r="41" customFormat="false" ht="39.75" hidden="false" customHeight="true" outlineLevel="0" collapsed="false">
      <c r="A41" s="55"/>
      <c r="B41" s="55" t="n">
        <v>35</v>
      </c>
      <c r="C41" s="55" t="s">
        <v>281</v>
      </c>
      <c r="D41" s="56" t="s">
        <v>282</v>
      </c>
      <c r="E41" s="57" t="s">
        <v>159</v>
      </c>
      <c r="F41" s="57" t="s">
        <v>286</v>
      </c>
      <c r="G41" s="57" t="s">
        <v>272</v>
      </c>
      <c r="H41" s="58" t="n">
        <v>225</v>
      </c>
      <c r="I41" s="65" t="s">
        <v>83</v>
      </c>
      <c r="J41" s="59" t="n">
        <v>472500</v>
      </c>
      <c r="K41" s="59" t="n">
        <v>472500</v>
      </c>
      <c r="L41" s="60" t="s">
        <v>83</v>
      </c>
      <c r="M41" s="57" t="s">
        <v>83</v>
      </c>
      <c r="N41" s="61" t="n">
        <v>3</v>
      </c>
      <c r="O41" s="61" t="n">
        <v>3.5</v>
      </c>
      <c r="P41" s="61" t="n">
        <v>2</v>
      </c>
      <c r="Q41" s="61" t="n">
        <v>2</v>
      </c>
      <c r="R41" s="61" t="n">
        <v>0</v>
      </c>
      <c r="S41" s="62" t="n">
        <f aca="false">ROUND((N41*$B$4+O41*$C$4+P41*$D$4+Q41*$E$4)*20-R41*4,1)</f>
        <v>54.5</v>
      </c>
      <c r="T41" s="57" t="s">
        <v>579</v>
      </c>
      <c r="U41" s="63" t="s">
        <v>708</v>
      </c>
      <c r="V41" s="63" t="s">
        <v>595</v>
      </c>
      <c r="W41" s="63" t="s">
        <v>636</v>
      </c>
      <c r="X41" s="63" t="s">
        <v>688</v>
      </c>
      <c r="Y41" s="64" t="s">
        <v>323</v>
      </c>
      <c r="Z41" s="14" t="s">
        <v>289</v>
      </c>
    </row>
    <row r="42" customFormat="false" ht="39.75" hidden="false" customHeight="true" outlineLevel="0" collapsed="false">
      <c r="A42" s="55"/>
      <c r="B42" s="55" t="n">
        <v>36</v>
      </c>
      <c r="C42" s="55" t="s">
        <v>534</v>
      </c>
      <c r="D42" s="66" t="s">
        <v>535</v>
      </c>
      <c r="E42" s="57" t="s">
        <v>159</v>
      </c>
      <c r="F42" s="55" t="s">
        <v>621</v>
      </c>
      <c r="G42" s="57" t="s">
        <v>449</v>
      </c>
      <c r="H42" s="58" t="n">
        <v>203</v>
      </c>
      <c r="I42" s="65" t="s">
        <v>83</v>
      </c>
      <c r="J42" s="59" t="n">
        <v>490245</v>
      </c>
      <c r="K42" s="59" t="n">
        <v>512575</v>
      </c>
      <c r="L42" s="60" t="s">
        <v>83</v>
      </c>
      <c r="M42" s="55" t="s">
        <v>529</v>
      </c>
      <c r="N42" s="61" t="n">
        <v>3</v>
      </c>
      <c r="O42" s="61" t="n">
        <v>3.5</v>
      </c>
      <c r="P42" s="61" t="n">
        <v>3</v>
      </c>
      <c r="Q42" s="61" t="n">
        <v>1</v>
      </c>
      <c r="R42" s="61" t="n">
        <v>0</v>
      </c>
      <c r="S42" s="62" t="n">
        <f aca="false">ROUND((N42*$B$4+O42*$C$4+P42*$D$4+Q42*$E$4)*20-R42*4,1)</f>
        <v>54.5</v>
      </c>
      <c r="T42" s="57" t="s">
        <v>579</v>
      </c>
      <c r="U42" s="63" t="s">
        <v>705</v>
      </c>
      <c r="V42" s="63" t="s">
        <v>595</v>
      </c>
      <c r="W42" s="63" t="s">
        <v>706</v>
      </c>
      <c r="X42" s="63" t="s">
        <v>709</v>
      </c>
      <c r="Y42" s="64" t="s">
        <v>323</v>
      </c>
      <c r="Z42" s="13" t="s">
        <v>542</v>
      </c>
    </row>
    <row r="43" customFormat="false" ht="39.75" hidden="false" customHeight="true" outlineLevel="0" collapsed="false">
      <c r="A43" s="55"/>
      <c r="B43" s="55" t="n">
        <v>37</v>
      </c>
      <c r="C43" s="55" t="s">
        <v>49</v>
      </c>
      <c r="D43" s="56" t="s">
        <v>50</v>
      </c>
      <c r="E43" s="57" t="s">
        <v>51</v>
      </c>
      <c r="F43" s="57" t="s">
        <v>578</v>
      </c>
      <c r="G43" s="57" t="s">
        <v>449</v>
      </c>
      <c r="H43" s="58" t="n">
        <v>282.06</v>
      </c>
      <c r="I43" s="58" t="n">
        <v>255.38</v>
      </c>
      <c r="J43" s="59" t="n">
        <v>472500</v>
      </c>
      <c r="K43" s="59" t="n">
        <v>506347</v>
      </c>
      <c r="L43" s="59" t="n">
        <v>1983</v>
      </c>
      <c r="M43" s="55" t="s">
        <v>450</v>
      </c>
      <c r="N43" s="61" t="n">
        <v>1.5</v>
      </c>
      <c r="O43" s="61" t="n">
        <v>3.2</v>
      </c>
      <c r="P43" s="61" t="n">
        <v>2</v>
      </c>
      <c r="Q43" s="61" t="n">
        <v>5</v>
      </c>
      <c r="R43" s="61" t="n">
        <v>0.5</v>
      </c>
      <c r="S43" s="62" t="n">
        <f aca="false">ROUND((N43*$B$4+O43*$C$4+P43*$D$4+Q43*$E$4)*20-R43*4,1)</f>
        <v>52.5</v>
      </c>
      <c r="T43" s="57" t="s">
        <v>579</v>
      </c>
      <c r="U43" s="63" t="s">
        <v>710</v>
      </c>
      <c r="V43" s="63" t="s">
        <v>617</v>
      </c>
      <c r="W43" s="63" t="s">
        <v>711</v>
      </c>
      <c r="X43" s="63" t="s">
        <v>712</v>
      </c>
      <c r="Y43" s="63" t="s">
        <v>713</v>
      </c>
      <c r="Z43" s="14" t="s">
        <v>57</v>
      </c>
    </row>
    <row r="44" customFormat="false" ht="39.75" hidden="false" customHeight="true" outlineLevel="0" collapsed="false">
      <c r="A44" s="55"/>
      <c r="B44" s="55" t="n">
        <v>38</v>
      </c>
      <c r="C44" s="55" t="s">
        <v>510</v>
      </c>
      <c r="D44" s="56" t="s">
        <v>511</v>
      </c>
      <c r="E44" s="57" t="s">
        <v>159</v>
      </c>
      <c r="F44" s="57" t="s">
        <v>286</v>
      </c>
      <c r="G44" s="57" t="s">
        <v>449</v>
      </c>
      <c r="H44" s="58" t="n">
        <v>210</v>
      </c>
      <c r="I44" s="65" t="s">
        <v>83</v>
      </c>
      <c r="J44" s="59" t="n">
        <v>507150</v>
      </c>
      <c r="K44" s="59" t="n">
        <v>507150</v>
      </c>
      <c r="L44" s="60" t="s">
        <v>83</v>
      </c>
      <c r="M44" s="57" t="s">
        <v>83</v>
      </c>
      <c r="N44" s="61" t="n">
        <v>3</v>
      </c>
      <c r="O44" s="61" t="n">
        <v>3.5</v>
      </c>
      <c r="P44" s="61" t="n">
        <v>2.5</v>
      </c>
      <c r="Q44" s="61" t="n">
        <v>1</v>
      </c>
      <c r="R44" s="61" t="n">
        <v>0</v>
      </c>
      <c r="S44" s="62" t="n">
        <f aca="false">ROUND((N44*$B$4+O44*$C$4+P44*$D$4+Q44*$E$4)*20-R44*4,1)</f>
        <v>52.5</v>
      </c>
      <c r="T44" s="57" t="s">
        <v>579</v>
      </c>
      <c r="U44" s="63" t="s">
        <v>714</v>
      </c>
      <c r="V44" s="63" t="s">
        <v>595</v>
      </c>
      <c r="W44" s="63" t="s">
        <v>715</v>
      </c>
      <c r="X44" s="63" t="s">
        <v>709</v>
      </c>
      <c r="Y44" s="64" t="s">
        <v>323</v>
      </c>
      <c r="Z44" s="14" t="s">
        <v>321</v>
      </c>
    </row>
    <row r="45" customFormat="false" ht="39.75" hidden="false" customHeight="true" outlineLevel="0" collapsed="false">
      <c r="A45" s="55"/>
      <c r="B45" s="55" t="n">
        <v>39</v>
      </c>
      <c r="C45" s="55" t="s">
        <v>482</v>
      </c>
      <c r="D45" s="56" t="s">
        <v>483</v>
      </c>
      <c r="E45" s="57" t="s">
        <v>51</v>
      </c>
      <c r="F45" s="57" t="s">
        <v>286</v>
      </c>
      <c r="G45" s="57" t="s">
        <v>449</v>
      </c>
      <c r="H45" s="58" t="n">
        <v>226</v>
      </c>
      <c r="I45" s="65" t="s">
        <v>83</v>
      </c>
      <c r="J45" s="59" t="n">
        <v>522375</v>
      </c>
      <c r="K45" s="59" t="n">
        <v>522375</v>
      </c>
      <c r="L45" s="60" t="s">
        <v>83</v>
      </c>
      <c r="M45" s="57" t="s">
        <v>83</v>
      </c>
      <c r="N45" s="61" t="n">
        <v>3</v>
      </c>
      <c r="O45" s="61" t="n">
        <v>3.5</v>
      </c>
      <c r="P45" s="61" t="n">
        <v>2.5</v>
      </c>
      <c r="Q45" s="61" t="n">
        <v>1</v>
      </c>
      <c r="R45" s="61" t="n">
        <v>0</v>
      </c>
      <c r="S45" s="62" t="n">
        <f aca="false">ROUND((N45*$B$4+O45*$C$4+P45*$D$4+Q45*$E$4)*20-R45*4,1)</f>
        <v>52.5</v>
      </c>
      <c r="T45" s="57" t="s">
        <v>579</v>
      </c>
      <c r="U45" s="63" t="s">
        <v>716</v>
      </c>
      <c r="V45" s="63" t="s">
        <v>595</v>
      </c>
      <c r="W45" s="63" t="s">
        <v>717</v>
      </c>
      <c r="X45" s="63" t="s">
        <v>718</v>
      </c>
      <c r="Y45" s="64" t="s">
        <v>323</v>
      </c>
      <c r="Z45" s="14" t="s">
        <v>289</v>
      </c>
    </row>
    <row r="46" customFormat="false" ht="39.75" hidden="false" customHeight="true" outlineLevel="0" collapsed="false">
      <c r="A46" s="55"/>
      <c r="B46" s="55" t="n">
        <v>40</v>
      </c>
      <c r="C46" s="55" t="s">
        <v>69</v>
      </c>
      <c r="D46" s="56" t="s">
        <v>70</v>
      </c>
      <c r="E46" s="57" t="s">
        <v>27</v>
      </c>
      <c r="F46" s="57" t="s">
        <v>578</v>
      </c>
      <c r="G46" s="57" t="s">
        <v>449</v>
      </c>
      <c r="H46" s="58" t="n">
        <v>265.72</v>
      </c>
      <c r="I46" s="58" t="n">
        <v>203.79</v>
      </c>
      <c r="J46" s="59" t="n">
        <v>502211</v>
      </c>
      <c r="K46" s="59" t="n">
        <v>502211</v>
      </c>
      <c r="L46" s="60" t="s">
        <v>83</v>
      </c>
      <c r="M46" s="55" t="s">
        <v>450</v>
      </c>
      <c r="N46" s="61" t="n">
        <v>1.5</v>
      </c>
      <c r="O46" s="61" t="n">
        <v>5</v>
      </c>
      <c r="P46" s="61" t="n">
        <v>3</v>
      </c>
      <c r="Q46" s="61" t="n">
        <v>3</v>
      </c>
      <c r="R46" s="61" t="n">
        <v>2</v>
      </c>
      <c r="S46" s="62" t="n">
        <f aca="false">ROUND((N46*$B$4+O46*$C$4+P46*$D$4+Q46*$E$4)*20-R46*4,1)</f>
        <v>51.5</v>
      </c>
      <c r="T46" s="57" t="s">
        <v>579</v>
      </c>
      <c r="U46" s="63" t="s">
        <v>719</v>
      </c>
      <c r="V46" s="63" t="s">
        <v>581</v>
      </c>
      <c r="W46" s="63" t="s">
        <v>720</v>
      </c>
      <c r="X46" s="63" t="s">
        <v>721</v>
      </c>
      <c r="Y46" s="63" t="s">
        <v>722</v>
      </c>
      <c r="Z46" s="14" t="s">
        <v>78</v>
      </c>
    </row>
    <row r="47" customFormat="false" ht="39.75" hidden="false" customHeight="true" outlineLevel="0" collapsed="false">
      <c r="A47" s="55"/>
      <c r="B47" s="55" t="n">
        <v>41</v>
      </c>
      <c r="C47" s="55" t="s">
        <v>202</v>
      </c>
      <c r="D47" s="56" t="s">
        <v>203</v>
      </c>
      <c r="E47" s="57" t="s">
        <v>127</v>
      </c>
      <c r="F47" s="57" t="s">
        <v>598</v>
      </c>
      <c r="G47" s="57" t="s">
        <v>449</v>
      </c>
      <c r="H47" s="58" t="n">
        <v>265.82</v>
      </c>
      <c r="I47" s="65" t="s">
        <v>83</v>
      </c>
      <c r="J47" s="59" t="n">
        <v>544931</v>
      </c>
      <c r="K47" s="59" t="n">
        <v>544931</v>
      </c>
      <c r="L47" s="60" t="s">
        <v>83</v>
      </c>
      <c r="M47" s="57" t="s">
        <v>83</v>
      </c>
      <c r="N47" s="61" t="n">
        <v>1.5</v>
      </c>
      <c r="O47" s="61" t="n">
        <v>4</v>
      </c>
      <c r="P47" s="61" t="n">
        <v>3</v>
      </c>
      <c r="Q47" s="61" t="n">
        <v>2</v>
      </c>
      <c r="R47" s="61" t="n">
        <v>0</v>
      </c>
      <c r="S47" s="62" t="n">
        <f aca="false">ROUND((N47*$B$4+O47*$C$4+P47*$D$4+Q47*$E$4)*20-R47*4,1)</f>
        <v>50.5</v>
      </c>
      <c r="T47" s="57" t="s">
        <v>579</v>
      </c>
      <c r="U47" s="63" t="s">
        <v>723</v>
      </c>
      <c r="V47" s="63" t="s">
        <v>608</v>
      </c>
      <c r="W47" s="63" t="s">
        <v>724</v>
      </c>
      <c r="X47" s="63" t="s">
        <v>725</v>
      </c>
      <c r="Y47" s="64" t="s">
        <v>323</v>
      </c>
      <c r="Z47" s="14" t="s">
        <v>211</v>
      </c>
    </row>
    <row r="48" customFormat="false" ht="39.75" hidden="false" customHeight="true" outlineLevel="0" collapsed="false">
      <c r="A48" s="55"/>
      <c r="B48" s="55" t="n">
        <v>42</v>
      </c>
      <c r="C48" s="55" t="s">
        <v>515</v>
      </c>
      <c r="D48" s="56" t="s">
        <v>516</v>
      </c>
      <c r="E48" s="57" t="s">
        <v>51</v>
      </c>
      <c r="F48" s="57" t="s">
        <v>286</v>
      </c>
      <c r="G48" s="57" t="s">
        <v>449</v>
      </c>
      <c r="H48" s="58" t="n">
        <v>205</v>
      </c>
      <c r="I48" s="65" t="s">
        <v>83</v>
      </c>
      <c r="J48" s="59" t="n">
        <v>486465</v>
      </c>
      <c r="K48" s="59" t="n">
        <v>486465</v>
      </c>
      <c r="L48" s="60" t="s">
        <v>83</v>
      </c>
      <c r="M48" s="57" t="s">
        <v>83</v>
      </c>
      <c r="N48" s="61" t="n">
        <v>3</v>
      </c>
      <c r="O48" s="61" t="n">
        <v>3.5</v>
      </c>
      <c r="P48" s="61" t="n">
        <v>2</v>
      </c>
      <c r="Q48" s="61" t="n">
        <v>1</v>
      </c>
      <c r="R48" s="61" t="n">
        <v>0</v>
      </c>
      <c r="S48" s="62" t="n">
        <f aca="false">ROUND((N48*$B$4+O48*$C$4+P48*$D$4+Q48*$E$4)*20-R48*4,1)</f>
        <v>50.5</v>
      </c>
      <c r="T48" s="57" t="s">
        <v>579</v>
      </c>
      <c r="U48" s="63" t="s">
        <v>726</v>
      </c>
      <c r="V48" s="63" t="s">
        <v>595</v>
      </c>
      <c r="W48" s="63" t="s">
        <v>636</v>
      </c>
      <c r="X48" s="63" t="s">
        <v>727</v>
      </c>
      <c r="Y48" s="64" t="s">
        <v>323</v>
      </c>
      <c r="Z48" s="14" t="s">
        <v>340</v>
      </c>
    </row>
    <row r="49" customFormat="false" ht="39.75" hidden="false" customHeight="true" outlineLevel="0" collapsed="false">
      <c r="A49" s="55"/>
      <c r="B49" s="55" t="n">
        <v>43</v>
      </c>
      <c r="C49" s="55" t="s">
        <v>521</v>
      </c>
      <c r="D49" s="56" t="s">
        <v>522</v>
      </c>
      <c r="E49" s="57" t="s">
        <v>51</v>
      </c>
      <c r="F49" s="57" t="s">
        <v>286</v>
      </c>
      <c r="G49" s="57" t="s">
        <v>449</v>
      </c>
      <c r="H49" s="58" t="n">
        <v>205</v>
      </c>
      <c r="I49" s="65" t="s">
        <v>83</v>
      </c>
      <c r="J49" s="59" t="n">
        <v>486465</v>
      </c>
      <c r="K49" s="59" t="n">
        <v>486465</v>
      </c>
      <c r="L49" s="60" t="s">
        <v>83</v>
      </c>
      <c r="M49" s="57" t="s">
        <v>83</v>
      </c>
      <c r="N49" s="61" t="n">
        <v>3</v>
      </c>
      <c r="O49" s="61" t="n">
        <v>3.5</v>
      </c>
      <c r="P49" s="61" t="n">
        <v>2</v>
      </c>
      <c r="Q49" s="61" t="n">
        <v>1</v>
      </c>
      <c r="R49" s="61" t="n">
        <v>0</v>
      </c>
      <c r="S49" s="62" t="n">
        <f aca="false">ROUND((N49*$B$4+O49*$C$4+P49*$D$4+Q49*$E$4)*20-R49*4,1)</f>
        <v>50.5</v>
      </c>
      <c r="T49" s="57" t="s">
        <v>579</v>
      </c>
      <c r="U49" s="63" t="s">
        <v>726</v>
      </c>
      <c r="V49" s="63" t="s">
        <v>595</v>
      </c>
      <c r="W49" s="63" t="s">
        <v>636</v>
      </c>
      <c r="X49" s="63" t="s">
        <v>727</v>
      </c>
      <c r="Y49" s="64" t="s">
        <v>323</v>
      </c>
      <c r="Z49" s="14" t="s">
        <v>340</v>
      </c>
    </row>
    <row r="50" customFormat="false" ht="39.75" hidden="false" customHeight="true" outlineLevel="0" collapsed="false">
      <c r="A50" s="55"/>
      <c r="B50" s="55" t="n">
        <v>44</v>
      </c>
      <c r="C50" s="55" t="s">
        <v>455</v>
      </c>
      <c r="D50" s="56" t="s">
        <v>456</v>
      </c>
      <c r="E50" s="57" t="s">
        <v>27</v>
      </c>
      <c r="F50" s="57" t="s">
        <v>286</v>
      </c>
      <c r="G50" s="57" t="s">
        <v>449</v>
      </c>
      <c r="H50" s="58" t="n">
        <v>276</v>
      </c>
      <c r="I50" s="65" t="s">
        <v>83</v>
      </c>
      <c r="J50" s="59" t="n">
        <v>504000</v>
      </c>
      <c r="K50" s="59" t="n">
        <v>504000</v>
      </c>
      <c r="L50" s="60" t="s">
        <v>83</v>
      </c>
      <c r="M50" s="57" t="s">
        <v>83</v>
      </c>
      <c r="N50" s="61" t="n">
        <v>1.5</v>
      </c>
      <c r="O50" s="61" t="n">
        <v>4</v>
      </c>
      <c r="P50" s="61" t="n">
        <v>2</v>
      </c>
      <c r="Q50" s="61" t="n">
        <v>3</v>
      </c>
      <c r="R50" s="61" t="n">
        <v>0</v>
      </c>
      <c r="S50" s="62" t="n">
        <f aca="false">ROUND((N50*$B$4+O50*$C$4+P50*$D$4+Q50*$E$4)*20-R50*4,1)</f>
        <v>50.5</v>
      </c>
      <c r="T50" s="57" t="s">
        <v>579</v>
      </c>
      <c r="U50" s="63" t="s">
        <v>728</v>
      </c>
      <c r="V50" s="63" t="s">
        <v>608</v>
      </c>
      <c r="W50" s="63" t="s">
        <v>636</v>
      </c>
      <c r="X50" s="63" t="s">
        <v>729</v>
      </c>
      <c r="Y50" s="64" t="s">
        <v>323</v>
      </c>
      <c r="Z50" s="14" t="s">
        <v>460</v>
      </c>
    </row>
    <row r="51" customFormat="false" ht="39.75" hidden="false" customHeight="true" outlineLevel="0" collapsed="false">
      <c r="A51" s="55"/>
      <c r="B51" s="55" t="n">
        <v>45</v>
      </c>
      <c r="C51" s="55" t="s">
        <v>392</v>
      </c>
      <c r="D51" s="56" t="s">
        <v>393</v>
      </c>
      <c r="E51" s="57" t="s">
        <v>159</v>
      </c>
      <c r="F51" s="55" t="s">
        <v>621</v>
      </c>
      <c r="G51" s="57" t="s">
        <v>272</v>
      </c>
      <c r="H51" s="58" t="n">
        <v>276</v>
      </c>
      <c r="I51" s="65" t="s">
        <v>83</v>
      </c>
      <c r="J51" s="59" t="n">
        <v>413800</v>
      </c>
      <c r="K51" s="59" t="n">
        <v>413800</v>
      </c>
      <c r="L51" s="60" t="s">
        <v>83</v>
      </c>
      <c r="M51" s="57" t="s">
        <v>83</v>
      </c>
      <c r="N51" s="61" t="n">
        <v>2.5</v>
      </c>
      <c r="O51" s="61" t="n">
        <v>2</v>
      </c>
      <c r="P51" s="61" t="n">
        <v>2</v>
      </c>
      <c r="Q51" s="61" t="n">
        <v>4</v>
      </c>
      <c r="R51" s="61" t="n">
        <v>0.5</v>
      </c>
      <c r="S51" s="62" t="n">
        <f aca="false">ROUND((N51*$B$4+O51*$C$4+P51*$D$4+Q51*$E$4)*20-R51*4,1)</f>
        <v>49.5</v>
      </c>
      <c r="T51" s="57" t="s">
        <v>579</v>
      </c>
      <c r="U51" s="63" t="s">
        <v>730</v>
      </c>
      <c r="V51" s="63" t="s">
        <v>657</v>
      </c>
      <c r="W51" s="63" t="s">
        <v>636</v>
      </c>
      <c r="X51" s="63" t="s">
        <v>731</v>
      </c>
      <c r="Y51" s="63" t="s">
        <v>676</v>
      </c>
      <c r="Z51" s="13" t="s">
        <v>401</v>
      </c>
    </row>
    <row r="52" customFormat="false" ht="39.75" hidden="false" customHeight="true" outlineLevel="0" collapsed="false">
      <c r="A52" s="55"/>
      <c r="B52" s="55" t="n">
        <v>46</v>
      </c>
      <c r="C52" s="55" t="s">
        <v>212</v>
      </c>
      <c r="D52" s="56" t="s">
        <v>213</v>
      </c>
      <c r="E52" s="57" t="s">
        <v>127</v>
      </c>
      <c r="F52" s="57" t="s">
        <v>598</v>
      </c>
      <c r="G52" s="57" t="s">
        <v>449</v>
      </c>
      <c r="H52" s="58" t="n">
        <v>266.36</v>
      </c>
      <c r="I52" s="65" t="s">
        <v>83</v>
      </c>
      <c r="J52" s="59" t="n">
        <v>560000</v>
      </c>
      <c r="K52" s="59" t="n">
        <v>560000</v>
      </c>
      <c r="L52" s="60" t="s">
        <v>83</v>
      </c>
      <c r="M52" s="57" t="s">
        <v>83</v>
      </c>
      <c r="N52" s="61" t="n">
        <v>1.5</v>
      </c>
      <c r="O52" s="61" t="n">
        <v>4</v>
      </c>
      <c r="P52" s="61" t="n">
        <v>2.5</v>
      </c>
      <c r="Q52" s="61" t="n">
        <v>2</v>
      </c>
      <c r="R52" s="61" t="n">
        <v>0</v>
      </c>
      <c r="S52" s="62" t="n">
        <f aca="false">ROUND((N52*$B$4+O52*$C$4+P52*$D$4+Q52*$E$4)*20-R52*4,1)</f>
        <v>48.5</v>
      </c>
      <c r="T52" s="57" t="s">
        <v>579</v>
      </c>
      <c r="U52" s="63" t="s">
        <v>732</v>
      </c>
      <c r="V52" s="63" t="s">
        <v>608</v>
      </c>
      <c r="W52" s="63" t="s">
        <v>733</v>
      </c>
      <c r="X52" s="63" t="s">
        <v>734</v>
      </c>
      <c r="Y52" s="64" t="s">
        <v>323</v>
      </c>
      <c r="Z52" s="14" t="s">
        <v>220</v>
      </c>
    </row>
    <row r="53" customFormat="false" ht="39.75" hidden="false" customHeight="true" outlineLevel="0" collapsed="false">
      <c r="A53" s="55"/>
      <c r="B53" s="55" t="n">
        <v>47</v>
      </c>
      <c r="C53" s="55" t="s">
        <v>186</v>
      </c>
      <c r="D53" s="56" t="s">
        <v>187</v>
      </c>
      <c r="E53" s="57" t="s">
        <v>159</v>
      </c>
      <c r="F53" s="57" t="s">
        <v>598</v>
      </c>
      <c r="G53" s="57" t="s">
        <v>449</v>
      </c>
      <c r="H53" s="58" t="n">
        <v>213.3</v>
      </c>
      <c r="I53" s="58" t="n">
        <v>87.55</v>
      </c>
      <c r="J53" s="59" t="n">
        <v>467500</v>
      </c>
      <c r="K53" s="59" t="n">
        <v>501100</v>
      </c>
      <c r="L53" s="59" t="n">
        <v>5724</v>
      </c>
      <c r="M53" s="55" t="s">
        <v>550</v>
      </c>
      <c r="N53" s="61" t="n">
        <v>3</v>
      </c>
      <c r="O53" s="61" t="n">
        <v>2</v>
      </c>
      <c r="P53" s="61" t="n">
        <v>4.5</v>
      </c>
      <c r="Q53" s="61" t="n">
        <v>1</v>
      </c>
      <c r="R53" s="61" t="n">
        <v>1.5</v>
      </c>
      <c r="S53" s="62" t="n">
        <f aca="false">ROUND((N53*$B$4+O53*$C$4+P53*$D$4+Q53*$E$4)*20-R53*4,1)</f>
        <v>47</v>
      </c>
      <c r="T53" s="57" t="s">
        <v>579</v>
      </c>
      <c r="U53" s="63" t="s">
        <v>735</v>
      </c>
      <c r="V53" s="63" t="s">
        <v>657</v>
      </c>
      <c r="W53" s="63" t="s">
        <v>736</v>
      </c>
      <c r="X53" s="63" t="s">
        <v>737</v>
      </c>
      <c r="Y53" s="63" t="s">
        <v>738</v>
      </c>
      <c r="Z53" s="14" t="s">
        <v>194</v>
      </c>
    </row>
    <row r="54" customFormat="false" ht="39.75" hidden="false" customHeight="true" outlineLevel="0" collapsed="false">
      <c r="A54" s="55"/>
      <c r="B54" s="55" t="n">
        <v>48</v>
      </c>
      <c r="C54" s="55" t="s">
        <v>465</v>
      </c>
      <c r="D54" s="56" t="s">
        <v>466</v>
      </c>
      <c r="E54" s="57" t="s">
        <v>27</v>
      </c>
      <c r="F54" s="57" t="s">
        <v>286</v>
      </c>
      <c r="G54" s="57" t="s">
        <v>449</v>
      </c>
      <c r="H54" s="58" t="n">
        <v>257</v>
      </c>
      <c r="I54" s="65" t="s">
        <v>83</v>
      </c>
      <c r="J54" s="59" t="n">
        <v>588000</v>
      </c>
      <c r="K54" s="59" t="n">
        <v>588000</v>
      </c>
      <c r="L54" s="60" t="s">
        <v>83</v>
      </c>
      <c r="M54" s="57" t="s">
        <v>83</v>
      </c>
      <c r="N54" s="61" t="n">
        <v>2</v>
      </c>
      <c r="O54" s="61" t="n">
        <v>3.5</v>
      </c>
      <c r="P54" s="61" t="n">
        <v>2.5</v>
      </c>
      <c r="Q54" s="61" t="n">
        <v>1</v>
      </c>
      <c r="R54" s="61" t="n">
        <v>0</v>
      </c>
      <c r="S54" s="62" t="n">
        <f aca="false">ROUND((N54*$B$4+O54*$C$4+P54*$D$4+Q54*$E$4)*20-R54*4,1)</f>
        <v>45.5</v>
      </c>
      <c r="T54" s="57" t="s">
        <v>579</v>
      </c>
      <c r="U54" s="63" t="s">
        <v>739</v>
      </c>
      <c r="V54" s="63" t="s">
        <v>595</v>
      </c>
      <c r="W54" s="63" t="s">
        <v>740</v>
      </c>
      <c r="X54" s="63" t="s">
        <v>741</v>
      </c>
      <c r="Y54" s="64" t="s">
        <v>323</v>
      </c>
      <c r="Z54" s="14" t="s">
        <v>470</v>
      </c>
    </row>
    <row r="55" customFormat="false" ht="39.75" hidden="false" customHeight="true" outlineLevel="0" collapsed="false">
      <c r="A55" s="55"/>
      <c r="B55" s="55" t="n">
        <v>49</v>
      </c>
      <c r="C55" s="55" t="s">
        <v>221</v>
      </c>
      <c r="D55" s="56" t="s">
        <v>222</v>
      </c>
      <c r="E55" s="57" t="s">
        <v>27</v>
      </c>
      <c r="F55" s="57" t="s">
        <v>598</v>
      </c>
      <c r="G55" s="57" t="s">
        <v>449</v>
      </c>
      <c r="H55" s="58" t="n">
        <v>277.81</v>
      </c>
      <c r="I55" s="58" t="n">
        <v>256.87</v>
      </c>
      <c r="J55" s="59" t="n">
        <v>300000</v>
      </c>
      <c r="K55" s="59" t="n">
        <v>300000</v>
      </c>
      <c r="L55" s="60" t="s">
        <v>83</v>
      </c>
      <c r="M55" s="55" t="s">
        <v>453</v>
      </c>
      <c r="N55" s="61" t="n">
        <v>3</v>
      </c>
      <c r="O55" s="61" t="n">
        <v>4</v>
      </c>
      <c r="P55" s="61" t="n">
        <v>0</v>
      </c>
      <c r="Q55" s="61" t="n">
        <v>4</v>
      </c>
      <c r="R55" s="61" t="n">
        <v>3</v>
      </c>
      <c r="S55" s="62" t="n">
        <f aca="false">ROUND((N55*$B$4+O55*$C$4+P55*$D$4+Q55*$E$4)*20-R55*4,1)</f>
        <v>45</v>
      </c>
      <c r="T55" s="57" t="s">
        <v>651</v>
      </c>
      <c r="U55" s="63" t="s">
        <v>742</v>
      </c>
      <c r="V55" s="63" t="s">
        <v>608</v>
      </c>
      <c r="W55" s="63" t="s">
        <v>743</v>
      </c>
      <c r="X55" s="63" t="s">
        <v>744</v>
      </c>
      <c r="Y55" s="63" t="s">
        <v>655</v>
      </c>
      <c r="Z55" s="14" t="s">
        <v>228</v>
      </c>
    </row>
    <row r="56" customFormat="false" ht="39.75" hidden="false" customHeight="true" outlineLevel="0" collapsed="false">
      <c r="A56" s="55"/>
      <c r="B56" s="55" t="n">
        <v>50</v>
      </c>
      <c r="C56" s="55" t="s">
        <v>433</v>
      </c>
      <c r="D56" s="56" t="s">
        <v>434</v>
      </c>
      <c r="E56" s="57" t="s">
        <v>159</v>
      </c>
      <c r="F56" s="55" t="s">
        <v>621</v>
      </c>
      <c r="G56" s="57" t="s">
        <v>272</v>
      </c>
      <c r="H56" s="58" t="n">
        <v>203</v>
      </c>
      <c r="I56" s="65" t="s">
        <v>83</v>
      </c>
      <c r="J56" s="59" t="n">
        <v>446800</v>
      </c>
      <c r="K56" s="59" t="n">
        <v>446800</v>
      </c>
      <c r="L56" s="60" t="s">
        <v>83</v>
      </c>
      <c r="M56" s="57" t="s">
        <v>83</v>
      </c>
      <c r="N56" s="61" t="n">
        <v>3.5</v>
      </c>
      <c r="O56" s="61" t="n">
        <v>2</v>
      </c>
      <c r="P56" s="61" t="n">
        <v>2</v>
      </c>
      <c r="Q56" s="61" t="n">
        <v>1</v>
      </c>
      <c r="R56" s="61" t="n">
        <v>0.5</v>
      </c>
      <c r="S56" s="62" t="n">
        <f aca="false">ROUND((N56*$B$4+O56*$C$4+P56*$D$4+Q56*$E$4)*20-R56*4,1)</f>
        <v>44.5</v>
      </c>
      <c r="T56" s="57" t="s">
        <v>579</v>
      </c>
      <c r="U56" s="63" t="s">
        <v>745</v>
      </c>
      <c r="V56" s="63" t="s">
        <v>657</v>
      </c>
      <c r="W56" s="63" t="s">
        <v>636</v>
      </c>
      <c r="X56" s="63" t="s">
        <v>746</v>
      </c>
      <c r="Y56" s="63" t="s">
        <v>676</v>
      </c>
      <c r="Z56" s="13" t="s">
        <v>438</v>
      </c>
    </row>
  </sheetData>
  <hyperlinks>
    <hyperlink ref="D7" r:id="rId1" display="安敦國際大樓 7F ↗"/>
    <hyperlink ref="Z7" r:id="rId2" display="591 本戶7F·14張照片"/>
    <hyperlink ref="D8" r:id="rId3" display="友聯大樓 5F ↗"/>
    <hyperlink ref="Z8" r:id="rId4" display="友聯5F 現況室內8張照片（591刊登圖·使用者提供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信義 光復北路新大樓 5F ↗"/>
    <hyperlink ref="Z11" r:id="rId10" display="信義國際站 本戶·14張照片（備用：www.sinyi.com.tw/rent/houseno/C355686）"/>
    <hyperlink ref="D12" r:id="rId11" display="信義 八德正核心大辦公室 7F ↗"/>
    <hyperlink ref="Z12" r:id="rId12" display="信義 本戶·9張照片（CZ05587）"/>
    <hyperlink ref="D13" r:id="rId13" location="page=1" display="信義路5段(環球) 18F 201坪 ↗"/>
    <hyperlink ref="Z13" r:id="rId14" location="page=1" display="傑森愛華原始PDF 第1頁（含照片）"/>
    <hyperlink ref="D14" r:id="rId15" display="永慶／信義 家美金融大樓 15F ↗"/>
    <hyperlink ref="Z14" r:id="rId16" display="永慶 本戶15F·14張照片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【松山區辦公室出租】漂亮裝潢隔間、高樓層 ↗"/>
    <hyperlink ref="Z16" r:id="rId20" display="HouseWeb·38張"/>
    <hyperlink ref="D17" r:id="rId21" display="白宮企業大樓 5F ↗"/>
    <hyperlink ref="Z17" r:id="rId22" display="好房網大樓頁·10張照片（本戶207坪整層無公開頁）"/>
    <hyperlink ref="D18" r:id="rId23" location="page=1" display="南京東路5段近三民站 5F 204坪 ↗"/>
    <hyperlink ref="Z18" r:id="rId24" location="page=1" display="傑森愛華原始PDF 第1頁（含照片）"/>
    <hyperlink ref="D19" r:id="rId25" display="松山區辦公室出租 ↗"/>
    <hyperlink ref="Z19" r:id="rId26" display="HouseWeb·40張"/>
    <hyperlink ref="D20" r:id="rId27" display="591 光復南路 7F ↗"/>
    <hyperlink ref="Z20" r:id="rId28" display="HouseWeb 本戶·40張照片"/>
    <hyperlink ref="D21" r:id="rId29" display="信義 敦北長城大樓 3F ↗"/>
    <hyperlink ref="Z21" r:id="rId30" display="信義 本戶·21張照片（CZ05326）"/>
    <hyperlink ref="D22" r:id="rId31" display="信義 中山區大辦公室＋大倉儲 10F ↗"/>
    <hyperlink ref="Z22" r:id="rId32" display="信義 本戶·16張照片（C905199）"/>
    <hyperlink ref="D23" r:id="rId33" location="page=3" display="安和路一段 (即安敦國際大樓17F) 17F 214坪 ↗"/>
    <hyperlink ref="Z23" r:id="rId34" location="page=3" display="傑森愛華原始PDF 第3頁（含照片）；同戶另見信義CZ05290"/>
    <hyperlink ref="D24" r:id="rId35" display="信義 永春地下大空間店商辦 B1 ↗"/>
    <hyperlink ref="Z24" r:id="rId36" display="信義 本戶·18張照片（C360351）"/>
    <hyperlink ref="D25" r:id="rId37" display="【信義區辦公室出租】全空好規劃、採光佳、高樓層 ↗"/>
    <hyperlink ref="Z25" r:id="rId38" display="HouseWeb·20張"/>
    <hyperlink ref="D26" r:id="rId39" display="中山區辦公室出租 ↗"/>
    <hyperlink ref="Z26" r:id="rId40" display="HouseWeb·27張"/>
    <hyperlink ref="D27" r:id="rId41" display="信義 光復南路大坪數辦公 6F ↗"/>
    <hyperlink ref="Z27" r:id="rId42" display="信義 本戶·19張照片（C328671）"/>
    <hyperlink ref="D28" r:id="rId43" display="中鼎大樓 15F之1 ↗"/>
    <hyperlink ref="Z28" r:id="rId44" display="信義 本戶15F·15張照片（CZ05572）"/>
    <hyperlink ref="D29" r:id="rId45" display="信義 明水路營業用商辦 4F ↗"/>
    <hyperlink ref="Z29" r:id="rId46" display="信義 本戶·12張照片（CZ03701）"/>
    <hyperlink ref="D30" r:id="rId47" display="信義 雙捷核心八德經典商辦 5F ↗"/>
    <hyperlink ref="Z30" r:id="rId48" display="信義 本戶（CZ05585）"/>
    <hyperlink ref="D31" r:id="rId49" display="敦化南路2段 (中鼎大樓 77號2樓) 2F 222坪 ↗"/>
    <hyperlink ref="Z31" r:id="rId50" display="傑森愛華單筆報表PDF（中鼎2F·2頁，含照片）"/>
    <hyperlink ref="D32" r:id="rId51" display="敦化財經大樓 4F之1 ↗"/>
    <hyperlink ref="Z32" r:id="rId52" display="591 疑同戶4F 220坪·星辰地產"/>
    <hyperlink ref="D33" r:id="rId53" location="page=2" display="中山北路1段近市民大道 9F 209坪 ↗"/>
    <hyperlink ref="Z33" r:id="rId54" location="page=2" display="傑森愛華原始PDF 第2頁（含照片）"/>
    <hyperlink ref="D34" r:id="rId55" location="page=3" display="敦化北路VS民生東路 2F 211坪 ↗"/>
    <hyperlink ref="Z34" r:id="rId56" location="page=3" display="傑森愛華原始PDF 第3頁（含照片）"/>
    <hyperlink ref="D35" r:id="rId57" display="仁愛路4段近復興南路 (鴻霖大樓 25號10樓之2) 10F 210坪 ↗"/>
    <hyperlink ref="Z35" r:id="rId58" display="傑森愛華單筆報表PDF（鴻霖10F之2·3頁，含照片）"/>
    <hyperlink ref="D36" r:id="rId59" display="▲敦南商圈【氣派純辦】【裝潢新】 ↗"/>
    <hyperlink ref="Z36" r:id="rId60" display="HouseWeb·26張"/>
    <hyperlink ref="D37" r:id="rId61" display="【大直辦公室出租】空間大好規劃、優質美辦 ↗"/>
    <hyperlink ref="Z37" r:id="rId62" display="HouseWeb·27張"/>
    <hyperlink ref="D38" r:id="rId63" display="【大直辦公室出租】優質辦公室、採光佳 ↗"/>
    <hyperlink ref="Z38" r:id="rId64" display="HouseWeb·37張"/>
    <hyperlink ref="D39" r:id="rId65" display="敦化南路2段(中鼎大樓 77號22樓) 22F 230坪 ↗"/>
    <hyperlink ref="Z39" r:id="rId66" display="傑森愛華單筆報表PDF（中鼎22F·3頁，含照片）"/>
    <hyperlink ref="D40" r:id="rId67" location="page=1" display="中山北路近市民大道 17F 204坪 ↗"/>
    <hyperlink ref="Z40" r:id="rId68" location="page=1" display="傑森愛華原始PDF 第1頁（此列無照片）；同戶照片見W08 HouseWeb"/>
    <hyperlink ref="D41" r:id="rId69" location="page=4" display="民生東路VS建國北路 2*F 225坪 ↗"/>
    <hyperlink ref="Z41" r:id="rId70" location="page=4" display="傑森愛華原始PDF 第4頁（含照片）"/>
    <hyperlink ref="D42" r:id="rId71" display="☆捷運台北車站☆漂亮商辦、一層一戶、高樓層 ↗"/>
    <hyperlink ref="Z42" r:id="rId72" display="HouseWeb·35張"/>
    <hyperlink ref="D43" r:id="rId73" display="旭寶大樓 5F ↗"/>
    <hyperlink ref="Z43" r:id="rId74" display="好房網大樓頁·19張照片(本戶無公開頁)"/>
    <hyperlink ref="D44" r:id="rId75" location="page=3" display="南京東路近龍江路 8F 210坪 ↗"/>
    <hyperlink ref="Z44" r:id="rId76" location="page=3" display="傑森愛華原始PDF 第3頁（含照片）"/>
    <hyperlink ref="D45" r:id="rId77" location="page=4" display="民生東路近敦化北路 8F 226坪 ↗"/>
    <hyperlink ref="Z45" r:id="rId78" location="page=4" display="傑森愛華原始PDF 第4頁（含照片）"/>
    <hyperlink ref="D46" r:id="rId79" display="國泰世華銀行大樓 6F ↗"/>
    <hyperlink ref="Z46" r:id="rId80" display="信義社區頁·4張外觀照(本戶無公開頁)"/>
    <hyperlink ref="D47" r:id="rId81" display="信義 信義大樓 21F ↗"/>
    <hyperlink ref="Z47" r:id="rId82" display="信義 本戶（C904707）"/>
    <hyperlink ref="D48" r:id="rId83" location="page=2" display="民生東路3段vs復興北路 11F 205坪 ↗"/>
    <hyperlink ref="Z48" r:id="rId84" location="page=2" display="傑森愛華原始PDF 第2頁（含照片）"/>
    <hyperlink ref="D49" r:id="rId85" location="page=2" display="民生東路3段vs復興北路 3F 205坪 ↗"/>
    <hyperlink ref="Z49" r:id="rId86" location="page=2" display="傑森愛華原始PDF 第2頁（含照片）"/>
    <hyperlink ref="D50" r:id="rId87" location="page=6" display="忠孝東路4段VS延吉街 4F 276坪 ↗"/>
    <hyperlink ref="Z50" r:id="rId88" location="page=6" display="傑森愛華原始PDF 第6頁（含照片）"/>
    <hyperlink ref="D51" r:id="rId89" display="【大直辦公室出租】空間大好規劃、採光佳 ↗"/>
    <hyperlink ref="Z51" r:id="rId90" display="HouseWeb·27張"/>
    <hyperlink ref="D52" r:id="rId91" display="信義 環球世貿 10F ↗"/>
    <hyperlink ref="Z52" r:id="rId92" display="信義 本戶（C360646）"/>
    <hyperlink ref="D53" r:id="rId93" display="信義 國票大樓 15F C ↗"/>
    <hyperlink ref="Z53" r:id="rId94" display="信義 本戶·12張照片（C346398）"/>
    <hyperlink ref="D54" r:id="rId95" location="page=5" display="市民大道3段近復興南路 8F 257坪 ↗"/>
    <hyperlink ref="Z54" r:id="rId96" location="page=5" display="傑森愛華原始PDF 第5頁（此列無照片）"/>
    <hyperlink ref="D55" r:id="rId97" display="信義 復興南路稀有大空間地下室 B1 ↗"/>
    <hyperlink ref="Z55" r:id="rId98" display="信義 本戶·5張照片（C348029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747</v>
      </c>
    </row>
    <row r="2" customFormat="false" ht="31.5" hidden="false" customHeight="true" outlineLevel="0" collapsed="false">
      <c r="A2" s="67" t="s">
        <v>748</v>
      </c>
      <c r="B2" s="67"/>
      <c r="C2" s="67"/>
      <c r="D2" s="67"/>
      <c r="E2" s="67"/>
      <c r="F2" s="67"/>
      <c r="G2" s="67"/>
      <c r="H2" s="67"/>
    </row>
    <row r="4" customFormat="false" ht="15" hidden="false" customHeight="false" outlineLevel="0" collapsed="false">
      <c r="A4" s="68" t="s">
        <v>749</v>
      </c>
      <c r="B4" s="68" t="s">
        <v>2</v>
      </c>
      <c r="C4" s="68" t="s">
        <v>3</v>
      </c>
      <c r="D4" s="68" t="s">
        <v>264</v>
      </c>
      <c r="E4" s="68" t="s">
        <v>750</v>
      </c>
      <c r="F4" s="68" t="s">
        <v>751</v>
      </c>
      <c r="G4" s="68" t="s">
        <v>752</v>
      </c>
      <c r="H4" s="68" t="s">
        <v>753</v>
      </c>
      <c r="I4" s="68" t="s">
        <v>24</v>
      </c>
    </row>
    <row r="5" customFormat="false" ht="57.75" hidden="false" customHeight="true" outlineLevel="0" collapsed="false">
      <c r="A5" s="53" t="n">
        <v>1</v>
      </c>
      <c r="B5" s="53" t="s">
        <v>105</v>
      </c>
      <c r="C5" s="69" t="s">
        <v>106</v>
      </c>
      <c r="D5" s="53" t="s">
        <v>367</v>
      </c>
      <c r="E5" s="52" t="s">
        <v>754</v>
      </c>
      <c r="F5" s="52" t="s">
        <v>755</v>
      </c>
      <c r="G5" s="52" t="s">
        <v>756</v>
      </c>
      <c r="H5" s="52" t="s">
        <v>757</v>
      </c>
      <c r="I5" s="70" t="s">
        <v>114</v>
      </c>
    </row>
    <row r="6" customFormat="false" ht="57.75" hidden="false" customHeight="true" outlineLevel="0" collapsed="false">
      <c r="A6" s="64" t="n">
        <v>2</v>
      </c>
      <c r="B6" s="64" t="s">
        <v>758</v>
      </c>
      <c r="C6" s="71" t="s">
        <v>759</v>
      </c>
      <c r="D6" s="64" t="s">
        <v>276</v>
      </c>
      <c r="E6" s="63" t="s">
        <v>760</v>
      </c>
      <c r="F6" s="64" t="s">
        <v>761</v>
      </c>
      <c r="G6" s="63" t="s">
        <v>762</v>
      </c>
      <c r="H6" s="63" t="s">
        <v>763</v>
      </c>
      <c r="I6" s="14" t="s">
        <v>48</v>
      </c>
    </row>
    <row r="7" customFormat="false" ht="57.75" hidden="false" customHeight="true" outlineLevel="0" collapsed="false">
      <c r="A7" s="64" t="n">
        <v>3</v>
      </c>
      <c r="B7" s="64" t="s">
        <v>69</v>
      </c>
      <c r="C7" s="71" t="s">
        <v>70</v>
      </c>
      <c r="D7" s="64" t="s">
        <v>450</v>
      </c>
      <c r="E7" s="63" t="s">
        <v>764</v>
      </c>
      <c r="F7" s="63" t="s">
        <v>765</v>
      </c>
      <c r="G7" s="63" t="s">
        <v>766</v>
      </c>
      <c r="H7" s="63" t="s">
        <v>767</v>
      </c>
      <c r="I7" s="14" t="s">
        <v>78</v>
      </c>
    </row>
    <row r="8" customFormat="false" ht="57.75" hidden="false" customHeight="true" outlineLevel="0" collapsed="false">
      <c r="A8" s="64" t="n">
        <v>4</v>
      </c>
      <c r="B8" s="64" t="s">
        <v>25</v>
      </c>
      <c r="C8" s="71" t="s">
        <v>26</v>
      </c>
      <c r="D8" s="64" t="s">
        <v>269</v>
      </c>
      <c r="E8" s="63" t="s">
        <v>768</v>
      </c>
      <c r="F8" s="63" t="s">
        <v>769</v>
      </c>
      <c r="G8" s="63" t="s">
        <v>770</v>
      </c>
      <c r="H8" s="64" t="s">
        <v>771</v>
      </c>
      <c r="I8" s="13" t="s">
        <v>37</v>
      </c>
    </row>
    <row r="9" customFormat="false" ht="57.75" hidden="false" customHeight="true" outlineLevel="0" collapsed="false">
      <c r="A9" s="64" t="n">
        <v>5</v>
      </c>
      <c r="B9" s="64" t="s">
        <v>772</v>
      </c>
      <c r="C9" s="71" t="s">
        <v>773</v>
      </c>
      <c r="D9" s="63" t="s">
        <v>100</v>
      </c>
      <c r="E9" s="63" t="s">
        <v>774</v>
      </c>
      <c r="F9" s="63" t="s">
        <v>100</v>
      </c>
      <c r="G9" s="63" t="s">
        <v>775</v>
      </c>
      <c r="H9" s="64" t="s">
        <v>776</v>
      </c>
      <c r="I9" s="14" t="s">
        <v>351</v>
      </c>
    </row>
    <row r="10" customFormat="false" ht="57.75" hidden="false" customHeight="true" outlineLevel="0" collapsed="false">
      <c r="A10" s="64" t="n">
        <v>7</v>
      </c>
      <c r="B10" s="64" t="s">
        <v>414</v>
      </c>
      <c r="C10" s="72" t="s">
        <v>777</v>
      </c>
      <c r="D10" s="63" t="s">
        <v>100</v>
      </c>
      <c r="E10" s="64" t="s">
        <v>778</v>
      </c>
      <c r="F10" s="63" t="s">
        <v>779</v>
      </c>
      <c r="G10" s="64" t="s">
        <v>780</v>
      </c>
      <c r="H10" s="63" t="s">
        <v>781</v>
      </c>
      <c r="I10" s="13" t="s">
        <v>421</v>
      </c>
    </row>
    <row r="11" customFormat="false" ht="57.75" hidden="false" customHeight="true" outlineLevel="0" collapsed="false">
      <c r="A11" s="64" t="n">
        <v>8</v>
      </c>
      <c r="B11" s="64" t="s">
        <v>424</v>
      </c>
      <c r="C11" s="72" t="s">
        <v>782</v>
      </c>
      <c r="D11" s="63" t="s">
        <v>100</v>
      </c>
      <c r="E11" s="64" t="s">
        <v>783</v>
      </c>
      <c r="F11" s="63" t="s">
        <v>784</v>
      </c>
      <c r="G11" s="64" t="s">
        <v>785</v>
      </c>
      <c r="H11" s="64" t="s">
        <v>786</v>
      </c>
      <c r="I11" s="13" t="s">
        <v>430</v>
      </c>
    </row>
    <row r="12" customFormat="false" ht="57.75" hidden="false" customHeight="true" outlineLevel="0" collapsed="false">
      <c r="A12" s="64" t="n">
        <v>9</v>
      </c>
      <c r="B12" s="64" t="s">
        <v>787</v>
      </c>
      <c r="C12" s="71" t="s">
        <v>788</v>
      </c>
      <c r="D12" s="64" t="s">
        <v>789</v>
      </c>
      <c r="E12" s="63" t="s">
        <v>790</v>
      </c>
      <c r="F12" s="63" t="s">
        <v>791</v>
      </c>
      <c r="G12" s="63" t="s">
        <v>792</v>
      </c>
      <c r="H12" s="64" t="s">
        <v>323</v>
      </c>
      <c r="I12" s="13" t="s">
        <v>68</v>
      </c>
    </row>
    <row r="13" customFormat="false" ht="57.75" hidden="false" customHeight="true" outlineLevel="0" collapsed="false">
      <c r="A13" s="64" t="n">
        <v>10</v>
      </c>
      <c r="B13" s="64" t="s">
        <v>324</v>
      </c>
      <c r="C13" s="71" t="s">
        <v>793</v>
      </c>
      <c r="D13" s="64" t="s">
        <v>330</v>
      </c>
      <c r="E13" s="63" t="s">
        <v>794</v>
      </c>
      <c r="F13" s="63" t="s">
        <v>795</v>
      </c>
      <c r="G13" s="63" t="s">
        <v>796</v>
      </c>
      <c r="H13" s="64" t="s">
        <v>323</v>
      </c>
      <c r="I13" s="14" t="s">
        <v>332</v>
      </c>
    </row>
    <row r="14" customFormat="false" ht="57.75" hidden="false" customHeight="true" outlineLevel="0" collapsed="false">
      <c r="A14" s="64" t="n">
        <v>11</v>
      </c>
      <c r="B14" s="64" t="s">
        <v>797</v>
      </c>
      <c r="C14" s="72" t="s">
        <v>798</v>
      </c>
      <c r="D14" s="63" t="s">
        <v>100</v>
      </c>
      <c r="E14" s="63" t="s">
        <v>799</v>
      </c>
      <c r="F14" s="63" t="s">
        <v>800</v>
      </c>
      <c r="G14" s="64" t="s">
        <v>801</v>
      </c>
      <c r="H14" s="63" t="s">
        <v>802</v>
      </c>
      <c r="I14" s="13" t="s">
        <v>401</v>
      </c>
    </row>
    <row r="15" customFormat="false" ht="57.75" hidden="false" customHeight="true" outlineLevel="0" collapsed="false">
      <c r="A15" s="64" t="n">
        <v>12</v>
      </c>
      <c r="B15" s="64" t="s">
        <v>803</v>
      </c>
      <c r="C15" s="71" t="s">
        <v>804</v>
      </c>
      <c r="D15" s="64" t="s">
        <v>805</v>
      </c>
      <c r="E15" s="63" t="s">
        <v>806</v>
      </c>
      <c r="F15" s="64" t="s">
        <v>323</v>
      </c>
      <c r="G15" s="63" t="s">
        <v>807</v>
      </c>
      <c r="H15" s="64" t="s">
        <v>323</v>
      </c>
      <c r="I15" s="14" t="s">
        <v>95</v>
      </c>
    </row>
    <row r="19" customFormat="false" ht="15" hidden="false" customHeight="true" outlineLevel="0" collapsed="false">
      <c r="A19" s="67" t="s">
        <v>808</v>
      </c>
      <c r="B19" s="67"/>
      <c r="C19" s="67"/>
      <c r="D19" s="67"/>
      <c r="E19" s="67"/>
      <c r="F19" s="67"/>
      <c r="G19" s="67"/>
      <c r="H19" s="67"/>
    </row>
    <row r="20" customFormat="false" ht="15" hidden="false" customHeight="false" outlineLevel="0" collapsed="false">
      <c r="A20" s="67"/>
      <c r="B20" s="67"/>
      <c r="C20" s="67"/>
      <c r="D20" s="67"/>
      <c r="E20" s="67"/>
      <c r="F20" s="67"/>
      <c r="G20" s="67"/>
      <c r="H20" s="67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國際站 本戶·14張照片（備用：www.sinyi.com.tw/rent/houseno/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809</v>
      </c>
    </row>
    <row r="2" customFormat="false" ht="15" hidden="false" customHeight="false" outlineLevel="0" collapsed="false">
      <c r="A2" s="2" t="s">
        <v>810</v>
      </c>
    </row>
    <row r="4" customFormat="false" ht="33.75" hidden="false" customHeight="true" outlineLevel="0" collapsed="false">
      <c r="A4" s="3" t="s">
        <v>811</v>
      </c>
      <c r="B4" s="3" t="s">
        <v>812</v>
      </c>
      <c r="C4" s="3" t="s">
        <v>6</v>
      </c>
      <c r="D4" s="3" t="s">
        <v>813</v>
      </c>
      <c r="E4" s="3" t="s">
        <v>814</v>
      </c>
      <c r="F4" s="3" t="s">
        <v>815</v>
      </c>
      <c r="G4" s="3" t="s">
        <v>816</v>
      </c>
      <c r="H4" s="3" t="s">
        <v>817</v>
      </c>
      <c r="I4" s="3" t="s">
        <v>818</v>
      </c>
      <c r="J4" s="3" t="s">
        <v>14</v>
      </c>
      <c r="K4" s="3" t="s">
        <v>819</v>
      </c>
      <c r="L4" s="3" t="s">
        <v>820</v>
      </c>
      <c r="M4" s="3" t="s">
        <v>821</v>
      </c>
      <c r="N4" s="3" t="s">
        <v>822</v>
      </c>
      <c r="O4" s="3" t="s">
        <v>24</v>
      </c>
      <c r="P4" s="3" t="s">
        <v>264</v>
      </c>
    </row>
    <row r="5" customFormat="false" ht="30" hidden="false" customHeight="true" outlineLevel="0" collapsed="false">
      <c r="A5" s="55" t="s">
        <v>373</v>
      </c>
      <c r="B5" s="56" t="s">
        <v>823</v>
      </c>
      <c r="C5" s="61" t="s">
        <v>824</v>
      </c>
      <c r="D5" s="73" t="n">
        <v>201</v>
      </c>
      <c r="E5" s="59" t="n">
        <v>382000</v>
      </c>
      <c r="F5" s="59" t="n">
        <v>1900</v>
      </c>
      <c r="G5" s="74" t="n">
        <f aca="false">E5*1.05</f>
        <v>401100</v>
      </c>
      <c r="H5" s="74" t="n">
        <f aca="false">G5/D5</f>
        <v>1995.5223880597</v>
      </c>
      <c r="I5" s="75" t="n">
        <f aca="false">G5-400000</f>
        <v>1100</v>
      </c>
      <c r="J5" s="61" t="n">
        <v>3</v>
      </c>
      <c r="K5" s="76" t="s">
        <v>127</v>
      </c>
      <c r="L5" s="77" t="n">
        <f aca="false">D5-220</f>
        <v>-19</v>
      </c>
      <c r="M5" s="55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78" t="s">
        <v>378</v>
      </c>
      <c r="O5" s="14" t="s">
        <v>351</v>
      </c>
      <c r="P5" s="41" t="s">
        <v>83</v>
      </c>
    </row>
    <row r="6" customFormat="false" ht="30" hidden="false" customHeight="true" outlineLevel="0" collapsed="false">
      <c r="A6" s="55" t="s">
        <v>345</v>
      </c>
      <c r="B6" s="56" t="s">
        <v>825</v>
      </c>
      <c r="C6" s="61" t="s">
        <v>826</v>
      </c>
      <c r="D6" s="73" t="n">
        <v>204</v>
      </c>
      <c r="E6" s="59" t="n">
        <v>385700</v>
      </c>
      <c r="F6" s="59" t="n">
        <v>1900</v>
      </c>
      <c r="G6" s="74" t="n">
        <f aca="false">E6*1.05</f>
        <v>404985</v>
      </c>
      <c r="H6" s="74" t="n">
        <f aca="false">G6/D6</f>
        <v>1985.22058823529</v>
      </c>
      <c r="I6" s="75" t="n">
        <f aca="false">G6-400000</f>
        <v>4985</v>
      </c>
      <c r="J6" s="61" t="n">
        <v>3</v>
      </c>
      <c r="K6" s="76" t="s">
        <v>51</v>
      </c>
      <c r="L6" s="77" t="n">
        <f aca="false">D6-220</f>
        <v>-16</v>
      </c>
      <c r="M6" s="55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79" t="s">
        <v>350</v>
      </c>
      <c r="O6" s="14" t="s">
        <v>351</v>
      </c>
      <c r="P6" s="41" t="s">
        <v>83</v>
      </c>
    </row>
    <row r="7" customFormat="false" ht="30" hidden="false" customHeight="true" outlineLevel="0" collapsed="false">
      <c r="A7" s="55" t="s">
        <v>525</v>
      </c>
      <c r="B7" s="56" t="s">
        <v>827</v>
      </c>
      <c r="C7" s="61" t="s">
        <v>828</v>
      </c>
      <c r="D7" s="73" t="n">
        <v>204</v>
      </c>
      <c r="E7" s="59" t="n">
        <v>466900</v>
      </c>
      <c r="F7" s="59" t="n">
        <v>2288</v>
      </c>
      <c r="G7" s="74" t="n">
        <f aca="false">E7*1.05</f>
        <v>490245</v>
      </c>
      <c r="H7" s="74" t="n">
        <f aca="false">G7/D7</f>
        <v>2403.16176470588</v>
      </c>
      <c r="I7" s="75" t="n">
        <f aca="false">G7-400000</f>
        <v>90245</v>
      </c>
      <c r="J7" s="61" t="n">
        <v>4</v>
      </c>
      <c r="K7" s="76" t="s">
        <v>159</v>
      </c>
      <c r="L7" s="77" t="n">
        <f aca="false">D7-220</f>
        <v>-16</v>
      </c>
      <c r="M7" s="55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78" t="s">
        <v>531</v>
      </c>
      <c r="O7" s="14" t="s">
        <v>532</v>
      </c>
      <c r="P7" s="38" t="s">
        <v>529</v>
      </c>
    </row>
    <row r="8" customFormat="false" ht="30" hidden="false" customHeight="true" outlineLevel="0" collapsed="false">
      <c r="A8" s="55" t="s">
        <v>515</v>
      </c>
      <c r="B8" s="56" t="s">
        <v>829</v>
      </c>
      <c r="C8" s="61" t="s">
        <v>830</v>
      </c>
      <c r="D8" s="73" t="n">
        <v>205</v>
      </c>
      <c r="E8" s="59" t="n">
        <v>463300</v>
      </c>
      <c r="F8" s="59" t="n">
        <v>2260</v>
      </c>
      <c r="G8" s="74" t="n">
        <f aca="false">E8*1.05</f>
        <v>486465</v>
      </c>
      <c r="H8" s="74" t="n">
        <f aca="false">G8/D8</f>
        <v>2373</v>
      </c>
      <c r="I8" s="75" t="n">
        <f aca="false">G8-400000</f>
        <v>86465</v>
      </c>
      <c r="J8" s="61" t="n">
        <v>4</v>
      </c>
      <c r="K8" s="76" t="s">
        <v>51</v>
      </c>
      <c r="L8" s="77" t="n">
        <f aca="false">D8-220</f>
        <v>-15</v>
      </c>
      <c r="M8" s="55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78" t="s">
        <v>519</v>
      </c>
      <c r="O8" s="14" t="s">
        <v>340</v>
      </c>
      <c r="P8" s="41" t="s">
        <v>83</v>
      </c>
    </row>
    <row r="9" customFormat="false" ht="30" hidden="false" customHeight="true" outlineLevel="0" collapsed="false">
      <c r="A9" s="55" t="s">
        <v>521</v>
      </c>
      <c r="B9" s="56" t="s">
        <v>829</v>
      </c>
      <c r="C9" s="61" t="s">
        <v>831</v>
      </c>
      <c r="D9" s="73" t="n">
        <v>205</v>
      </c>
      <c r="E9" s="59" t="n">
        <v>463300</v>
      </c>
      <c r="F9" s="59" t="n">
        <v>2260</v>
      </c>
      <c r="G9" s="74" t="n">
        <f aca="false">E9*1.05</f>
        <v>486465</v>
      </c>
      <c r="H9" s="74" t="n">
        <f aca="false">G9/D9</f>
        <v>2373</v>
      </c>
      <c r="I9" s="75" t="n">
        <f aca="false">G9-400000</f>
        <v>86465</v>
      </c>
      <c r="J9" s="61" t="n">
        <v>4</v>
      </c>
      <c r="K9" s="76" t="s">
        <v>51</v>
      </c>
      <c r="L9" s="77" t="n">
        <f aca="false">D9-220</f>
        <v>-15</v>
      </c>
      <c r="M9" s="55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78" t="s">
        <v>524</v>
      </c>
      <c r="O9" s="14" t="s">
        <v>340</v>
      </c>
      <c r="P9" s="41" t="s">
        <v>83</v>
      </c>
    </row>
    <row r="10" customFormat="false" ht="30" hidden="false" customHeight="true" outlineLevel="0" collapsed="false">
      <c r="A10" s="55" t="s">
        <v>335</v>
      </c>
      <c r="B10" s="56" t="s">
        <v>832</v>
      </c>
      <c r="C10" s="61" t="s">
        <v>833</v>
      </c>
      <c r="D10" s="73" t="n">
        <v>209</v>
      </c>
      <c r="E10" s="59" t="n">
        <v>418000</v>
      </c>
      <c r="F10" s="59" t="n">
        <v>2000</v>
      </c>
      <c r="G10" s="74" t="n">
        <f aca="false">E10*1.05</f>
        <v>438900</v>
      </c>
      <c r="H10" s="74" t="n">
        <f aca="false">G10/D10</f>
        <v>2100</v>
      </c>
      <c r="I10" s="75" t="n">
        <f aca="false">G10-400000</f>
        <v>38900</v>
      </c>
      <c r="J10" s="61" t="n">
        <v>3</v>
      </c>
      <c r="K10" s="76" t="s">
        <v>159</v>
      </c>
      <c r="L10" s="77" t="n">
        <f aca="false">D10-220</f>
        <v>-11</v>
      </c>
      <c r="M10" s="55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78" t="s">
        <v>339</v>
      </c>
      <c r="O10" s="14" t="s">
        <v>340</v>
      </c>
      <c r="P10" s="41" t="s">
        <v>83</v>
      </c>
    </row>
    <row r="11" customFormat="false" ht="30" hidden="false" customHeight="true" outlineLevel="0" collapsed="false">
      <c r="A11" s="55" t="s">
        <v>324</v>
      </c>
      <c r="B11" s="56" t="s">
        <v>834</v>
      </c>
      <c r="C11" s="61" t="s">
        <v>835</v>
      </c>
      <c r="D11" s="73" t="n">
        <v>210</v>
      </c>
      <c r="E11" s="59" t="n">
        <v>350000</v>
      </c>
      <c r="F11" s="59" t="n">
        <v>1666</v>
      </c>
      <c r="G11" s="74" t="n">
        <f aca="false">E11*1.05</f>
        <v>367500</v>
      </c>
      <c r="H11" s="74" t="n">
        <f aca="false">G11/D11</f>
        <v>1750</v>
      </c>
      <c r="I11" s="75" t="n">
        <f aca="false">G11-400000</f>
        <v>-32500</v>
      </c>
      <c r="J11" s="61" t="n">
        <v>3</v>
      </c>
      <c r="K11" s="76" t="s">
        <v>27</v>
      </c>
      <c r="L11" s="77" t="n">
        <f aca="false">D11-220</f>
        <v>-10</v>
      </c>
      <c r="M11" s="55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78" t="s">
        <v>331</v>
      </c>
      <c r="O11" s="14" t="s">
        <v>332</v>
      </c>
      <c r="P11" s="38" t="s">
        <v>330</v>
      </c>
    </row>
    <row r="12" customFormat="false" ht="30" hidden="false" customHeight="true" outlineLevel="0" collapsed="false">
      <c r="A12" s="55" t="s">
        <v>510</v>
      </c>
      <c r="B12" s="56" t="s">
        <v>836</v>
      </c>
      <c r="C12" s="61" t="s">
        <v>837</v>
      </c>
      <c r="D12" s="73" t="n">
        <v>210</v>
      </c>
      <c r="E12" s="59" t="n">
        <v>483000</v>
      </c>
      <c r="F12" s="59" t="n">
        <v>2300</v>
      </c>
      <c r="G12" s="74" t="n">
        <f aca="false">E12*1.05</f>
        <v>507150</v>
      </c>
      <c r="H12" s="74" t="n">
        <f aca="false">G12/D12</f>
        <v>2415</v>
      </c>
      <c r="I12" s="75" t="n">
        <f aca="false">G12-400000</f>
        <v>107150</v>
      </c>
      <c r="J12" s="61" t="n">
        <v>3</v>
      </c>
      <c r="K12" s="76" t="s">
        <v>159</v>
      </c>
      <c r="L12" s="77" t="n">
        <f aca="false">D12-220</f>
        <v>-10</v>
      </c>
      <c r="M12" s="55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79" t="s">
        <v>513</v>
      </c>
      <c r="O12" s="14" t="s">
        <v>321</v>
      </c>
      <c r="P12" s="41" t="s">
        <v>83</v>
      </c>
    </row>
    <row r="13" customFormat="false" ht="30" hidden="false" customHeight="true" outlineLevel="0" collapsed="false">
      <c r="A13" s="55" t="s">
        <v>317</v>
      </c>
      <c r="B13" s="56" t="s">
        <v>838</v>
      </c>
      <c r="C13" s="61" t="s">
        <v>839</v>
      </c>
      <c r="D13" s="73" t="n">
        <v>211</v>
      </c>
      <c r="E13" s="59" t="n">
        <v>416000</v>
      </c>
      <c r="F13" s="59" t="n">
        <v>1971</v>
      </c>
      <c r="G13" s="74" t="n">
        <f aca="false">E13*1.05</f>
        <v>436800</v>
      </c>
      <c r="H13" s="74" t="n">
        <f aca="false">G13/D13</f>
        <v>2070.14218009479</v>
      </c>
      <c r="I13" s="75" t="n">
        <f aca="false">G13-400000</f>
        <v>36800</v>
      </c>
      <c r="J13" s="61" t="n">
        <v>3</v>
      </c>
      <c r="K13" s="76" t="s">
        <v>51</v>
      </c>
      <c r="L13" s="77" t="n">
        <f aca="false">D13-220</f>
        <v>-9</v>
      </c>
      <c r="M13" s="55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78" t="s">
        <v>320</v>
      </c>
      <c r="O13" s="14" t="s">
        <v>321</v>
      </c>
      <c r="P13" s="41" t="s">
        <v>83</v>
      </c>
    </row>
    <row r="14" customFormat="false" ht="30" hidden="false" customHeight="true" outlineLevel="0" collapsed="false">
      <c r="A14" s="55" t="s">
        <v>493</v>
      </c>
      <c r="B14" s="56" t="s">
        <v>840</v>
      </c>
      <c r="C14" s="61" t="s">
        <v>828</v>
      </c>
      <c r="D14" s="73" t="n">
        <v>214</v>
      </c>
      <c r="E14" s="59" t="n">
        <v>470800</v>
      </c>
      <c r="F14" s="59" t="n">
        <v>2200</v>
      </c>
      <c r="G14" s="74" t="n">
        <f aca="false">E14*1.05</f>
        <v>494340</v>
      </c>
      <c r="H14" s="74" t="n">
        <f aca="false">G14/D14</f>
        <v>2310</v>
      </c>
      <c r="I14" s="75" t="n">
        <f aca="false">G14-400000</f>
        <v>94340</v>
      </c>
      <c r="J14" s="61" t="n">
        <v>3</v>
      </c>
      <c r="K14" s="76" t="s">
        <v>27</v>
      </c>
      <c r="L14" s="77" t="n">
        <f aca="false">D14-220</f>
        <v>-6</v>
      </c>
      <c r="M14" s="55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78" t="s">
        <v>498</v>
      </c>
      <c r="O14" s="14" t="s">
        <v>499</v>
      </c>
      <c r="P14" s="38" t="s">
        <v>269</v>
      </c>
    </row>
    <row r="15" customFormat="false" ht="30" hidden="false" customHeight="true" outlineLevel="0" collapsed="false">
      <c r="A15" s="55" t="s">
        <v>305</v>
      </c>
      <c r="B15" s="56" t="s">
        <v>841</v>
      </c>
      <c r="C15" s="61" t="s">
        <v>839</v>
      </c>
      <c r="D15" s="73" t="n">
        <v>220</v>
      </c>
      <c r="E15" s="59" t="n">
        <v>352000</v>
      </c>
      <c r="F15" s="59" t="n">
        <v>1600</v>
      </c>
      <c r="G15" s="74" t="n">
        <f aca="false">E15*1.05</f>
        <v>369600</v>
      </c>
      <c r="H15" s="74" t="n">
        <f aca="false">G15/D15</f>
        <v>1680</v>
      </c>
      <c r="I15" s="75" t="n">
        <f aca="false">G15-400000</f>
        <v>-30400</v>
      </c>
      <c r="J15" s="61" t="n">
        <v>3</v>
      </c>
      <c r="K15" s="76" t="s">
        <v>51</v>
      </c>
      <c r="L15" s="77" t="n">
        <f aca="false">D15-220</f>
        <v>0</v>
      </c>
      <c r="M15" s="55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79" t="s">
        <v>308</v>
      </c>
      <c r="O15" s="14" t="s">
        <v>309</v>
      </c>
      <c r="P15" s="41" t="s">
        <v>83</v>
      </c>
    </row>
    <row r="16" customFormat="false" ht="30" hidden="false" customHeight="true" outlineLevel="0" collapsed="false">
      <c r="A16" s="55" t="s">
        <v>295</v>
      </c>
      <c r="B16" s="56" t="s">
        <v>842</v>
      </c>
      <c r="C16" s="61" t="s">
        <v>839</v>
      </c>
      <c r="D16" s="73" t="n">
        <v>222</v>
      </c>
      <c r="E16" s="59" t="n">
        <v>400000</v>
      </c>
      <c r="F16" s="59" t="n">
        <v>1801</v>
      </c>
      <c r="G16" s="74" t="n">
        <f aca="false">E16*1.05</f>
        <v>420000</v>
      </c>
      <c r="H16" s="74" t="n">
        <f aca="false">G16/D16</f>
        <v>1891.89189189189</v>
      </c>
      <c r="I16" s="75" t="n">
        <f aca="false">G16-400000</f>
        <v>20000</v>
      </c>
      <c r="J16" s="61" t="n">
        <v>3</v>
      </c>
      <c r="K16" s="76" t="s">
        <v>27</v>
      </c>
      <c r="L16" s="77" t="n">
        <f aca="false">D16-220</f>
        <v>2</v>
      </c>
      <c r="M16" s="55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78" t="s">
        <v>301</v>
      </c>
      <c r="O16" s="14" t="s">
        <v>302</v>
      </c>
      <c r="P16" s="38" t="s">
        <v>276</v>
      </c>
    </row>
    <row r="17" customFormat="false" ht="30" hidden="false" customHeight="true" outlineLevel="0" collapsed="false">
      <c r="A17" s="55" t="s">
        <v>281</v>
      </c>
      <c r="B17" s="56" t="s">
        <v>843</v>
      </c>
      <c r="C17" s="61" t="s">
        <v>844</v>
      </c>
      <c r="D17" s="73" t="n">
        <v>225</v>
      </c>
      <c r="E17" s="59" t="n">
        <v>450000</v>
      </c>
      <c r="F17" s="59" t="n">
        <v>2000</v>
      </c>
      <c r="G17" s="74" t="n">
        <f aca="false">E17*1.05</f>
        <v>472500</v>
      </c>
      <c r="H17" s="74" t="n">
        <f aca="false">G17/D17</f>
        <v>2100</v>
      </c>
      <c r="I17" s="75" t="n">
        <f aca="false">G17-400000</f>
        <v>72500</v>
      </c>
      <c r="J17" s="61" t="n">
        <v>3</v>
      </c>
      <c r="K17" s="76" t="s">
        <v>159</v>
      </c>
      <c r="L17" s="77" t="n">
        <f aca="false">D17-220</f>
        <v>5</v>
      </c>
      <c r="M17" s="55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78" t="s">
        <v>288</v>
      </c>
      <c r="O17" s="14" t="s">
        <v>289</v>
      </c>
      <c r="P17" s="41" t="s">
        <v>83</v>
      </c>
    </row>
    <row r="18" customFormat="false" ht="30" hidden="false" customHeight="true" outlineLevel="0" collapsed="false">
      <c r="A18" s="55" t="s">
        <v>482</v>
      </c>
      <c r="B18" s="56" t="s">
        <v>845</v>
      </c>
      <c r="C18" s="61" t="s">
        <v>837</v>
      </c>
      <c r="D18" s="73" t="n">
        <v>226</v>
      </c>
      <c r="E18" s="59" t="n">
        <v>497500</v>
      </c>
      <c r="F18" s="59" t="n">
        <v>2200</v>
      </c>
      <c r="G18" s="74" t="n">
        <f aca="false">E18*1.05</f>
        <v>522375</v>
      </c>
      <c r="H18" s="74" t="n">
        <f aca="false">G18/D18</f>
        <v>2311.39380530973</v>
      </c>
      <c r="I18" s="75" t="n">
        <f aca="false">G18-400000</f>
        <v>122375</v>
      </c>
      <c r="J18" s="61" t="n">
        <v>4</v>
      </c>
      <c r="K18" s="76" t="s">
        <v>51</v>
      </c>
      <c r="L18" s="77" t="n">
        <f aca="false">D18-220</f>
        <v>6</v>
      </c>
      <c r="M18" s="55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79" t="s">
        <v>485</v>
      </c>
      <c r="O18" s="14" t="s">
        <v>289</v>
      </c>
      <c r="P18" s="41" t="s">
        <v>83</v>
      </c>
    </row>
    <row r="19" customFormat="false" ht="30" hidden="false" customHeight="true" outlineLevel="0" collapsed="false">
      <c r="A19" s="55" t="s">
        <v>474</v>
      </c>
      <c r="B19" s="56" t="s">
        <v>846</v>
      </c>
      <c r="C19" s="61" t="s">
        <v>847</v>
      </c>
      <c r="D19" s="73" t="n">
        <v>230</v>
      </c>
      <c r="E19" s="59" t="n">
        <v>455400</v>
      </c>
      <c r="F19" s="59" t="n">
        <v>1980</v>
      </c>
      <c r="G19" s="74" t="n">
        <f aca="false">E19*1.05</f>
        <v>478170</v>
      </c>
      <c r="H19" s="74" t="n">
        <f aca="false">G19/D19</f>
        <v>2079</v>
      </c>
      <c r="I19" s="75" t="n">
        <f aca="false">G19-400000</f>
        <v>78170</v>
      </c>
      <c r="J19" s="61" t="n">
        <v>3</v>
      </c>
      <c r="K19" s="76" t="s">
        <v>27</v>
      </c>
      <c r="L19" s="77" t="n">
        <f aca="false">D19-220</f>
        <v>10</v>
      </c>
      <c r="M19" s="55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78" t="s">
        <v>479</v>
      </c>
      <c r="O19" s="14" t="s">
        <v>480</v>
      </c>
      <c r="P19" s="38" t="s">
        <v>276</v>
      </c>
    </row>
    <row r="20" customFormat="false" ht="30" hidden="false" customHeight="true" outlineLevel="0" collapsed="false">
      <c r="A20" s="55" t="s">
        <v>381</v>
      </c>
      <c r="B20" s="56" t="s">
        <v>848</v>
      </c>
      <c r="C20" s="61" t="s">
        <v>839</v>
      </c>
      <c r="D20" s="73" t="n">
        <v>200</v>
      </c>
      <c r="E20" s="59" t="n">
        <v>294000</v>
      </c>
      <c r="F20" s="59" t="n">
        <v>1470</v>
      </c>
      <c r="G20" s="74" t="n">
        <f aca="false">E20*1.05</f>
        <v>308700</v>
      </c>
      <c r="H20" s="74" t="n">
        <f aca="false">G20/D20</f>
        <v>1543.5</v>
      </c>
      <c r="I20" s="75" t="n">
        <f aca="false">G20-400000</f>
        <v>-91300</v>
      </c>
      <c r="J20" s="61" t="n">
        <v>3</v>
      </c>
      <c r="K20" s="76" t="s">
        <v>159</v>
      </c>
      <c r="L20" s="77" t="n">
        <f aca="false">D20-220</f>
        <v>-20</v>
      </c>
      <c r="M20" s="55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78" t="s">
        <v>388</v>
      </c>
      <c r="O20" s="14" t="s">
        <v>389</v>
      </c>
      <c r="P20" s="38" t="s">
        <v>387</v>
      </c>
    </row>
    <row r="21" customFormat="false" ht="30" hidden="false" customHeight="true" outlineLevel="0" collapsed="false">
      <c r="A21" s="55" t="s">
        <v>465</v>
      </c>
      <c r="B21" s="56" t="s">
        <v>849</v>
      </c>
      <c r="C21" s="61" t="s">
        <v>837</v>
      </c>
      <c r="D21" s="73" t="n">
        <v>257</v>
      </c>
      <c r="E21" s="59" t="n">
        <v>560000</v>
      </c>
      <c r="F21" s="59" t="n">
        <v>2178</v>
      </c>
      <c r="G21" s="74" t="n">
        <f aca="false">E21*1.05</f>
        <v>588000</v>
      </c>
      <c r="H21" s="74" t="n">
        <f aca="false">G21/D21</f>
        <v>2287.93774319066</v>
      </c>
      <c r="I21" s="75" t="n">
        <f aca="false">G21-400000</f>
        <v>188000</v>
      </c>
      <c r="J21" s="61" t="n">
        <v>3</v>
      </c>
      <c r="K21" s="76" t="s">
        <v>27</v>
      </c>
      <c r="L21" s="77" t="n">
        <f aca="false">D21-220</f>
        <v>37</v>
      </c>
      <c r="M21" s="55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79" t="s">
        <v>469</v>
      </c>
      <c r="O21" s="14" t="s">
        <v>470</v>
      </c>
      <c r="P21" s="41" t="s">
        <v>83</v>
      </c>
    </row>
    <row r="22" customFormat="false" ht="30" hidden="false" customHeight="true" outlineLevel="0" collapsed="false">
      <c r="A22" s="55" t="s">
        <v>455</v>
      </c>
      <c r="B22" s="56" t="s">
        <v>850</v>
      </c>
      <c r="C22" s="61" t="s">
        <v>851</v>
      </c>
      <c r="D22" s="73" t="n">
        <v>276</v>
      </c>
      <c r="E22" s="59" t="n">
        <v>480000</v>
      </c>
      <c r="F22" s="59" t="n">
        <v>1739</v>
      </c>
      <c r="G22" s="74" t="n">
        <f aca="false">E22*1.05</f>
        <v>504000</v>
      </c>
      <c r="H22" s="74" t="n">
        <f aca="false">G22/D22</f>
        <v>1826.08695652174</v>
      </c>
      <c r="I22" s="75" t="n">
        <f aca="false">G22-400000</f>
        <v>104000</v>
      </c>
      <c r="J22" s="61" t="n">
        <v>3</v>
      </c>
      <c r="K22" s="76" t="s">
        <v>27</v>
      </c>
      <c r="L22" s="77" t="n">
        <f aca="false">D22-220</f>
        <v>56</v>
      </c>
      <c r="M22" s="55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78" t="s">
        <v>459</v>
      </c>
      <c r="O22" s="14" t="s">
        <v>460</v>
      </c>
      <c r="P22" s="41" t="s">
        <v>83</v>
      </c>
    </row>
    <row r="31" customFormat="false" ht="15" hidden="false" customHeight="true" outlineLevel="0" collapsed="false">
      <c r="A31" s="67" t="s">
        <v>852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</row>
    <row r="32" customFormat="false" ht="15" hidden="false" customHeight="false" outlineLevel="0" collapsed="false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0" t="s">
        <v>853</v>
      </c>
    </row>
    <row r="2" customFormat="false" ht="15" hidden="false" customHeight="false" outlineLevel="0" collapsed="false">
      <c r="A2" s="2" t="s">
        <v>854</v>
      </c>
    </row>
    <row r="4" customFormat="false" ht="30" hidden="false" customHeight="true" outlineLevel="0" collapsed="false">
      <c r="A4" s="3" t="s">
        <v>2</v>
      </c>
      <c r="B4" s="3" t="s">
        <v>855</v>
      </c>
      <c r="C4" s="3" t="s">
        <v>562</v>
      </c>
      <c r="D4" s="3" t="s">
        <v>856</v>
      </c>
      <c r="E4" s="3" t="s">
        <v>6</v>
      </c>
      <c r="F4" s="3" t="s">
        <v>7</v>
      </c>
      <c r="G4" s="3" t="s">
        <v>857</v>
      </c>
      <c r="H4" s="3" t="s">
        <v>858</v>
      </c>
      <c r="I4" s="3" t="s">
        <v>859</v>
      </c>
      <c r="J4" s="3" t="s">
        <v>860</v>
      </c>
      <c r="K4" s="3" t="s">
        <v>264</v>
      </c>
      <c r="L4" s="3" t="s">
        <v>861</v>
      </c>
      <c r="M4" s="3" t="s">
        <v>21</v>
      </c>
      <c r="N4" s="3" t="s">
        <v>862</v>
      </c>
      <c r="O4" s="3" t="s">
        <v>863</v>
      </c>
      <c r="P4" s="3" t="s">
        <v>821</v>
      </c>
      <c r="Q4" s="3" t="s">
        <v>23</v>
      </c>
      <c r="R4" s="3" t="s">
        <v>864</v>
      </c>
    </row>
    <row r="5" customFormat="false" ht="43.5" hidden="false" customHeight="true" outlineLevel="0" collapsed="false">
      <c r="A5" s="61" t="s">
        <v>354</v>
      </c>
      <c r="B5" s="72" t="s">
        <v>355</v>
      </c>
      <c r="C5" s="76" t="s">
        <v>27</v>
      </c>
      <c r="D5" s="76" t="s">
        <v>356</v>
      </c>
      <c r="E5" s="61" t="s">
        <v>357</v>
      </c>
      <c r="F5" s="58" t="n">
        <v>204</v>
      </c>
      <c r="G5" s="59" t="n">
        <v>469000</v>
      </c>
      <c r="H5" s="76" t="s">
        <v>198</v>
      </c>
      <c r="I5" s="60" t="s">
        <v>83</v>
      </c>
      <c r="J5" s="76" t="s">
        <v>359</v>
      </c>
      <c r="K5" s="61" t="n">
        <v>33</v>
      </c>
      <c r="L5" s="78" t="s">
        <v>360</v>
      </c>
      <c r="M5" s="78" t="s">
        <v>362</v>
      </c>
      <c r="N5" s="61" t="s">
        <v>363</v>
      </c>
      <c r="O5" s="61" t="n">
        <v>26</v>
      </c>
      <c r="P5" s="76" t="s">
        <v>865</v>
      </c>
      <c r="Q5" s="79" t="s">
        <v>364</v>
      </c>
      <c r="R5" s="81" t="s">
        <v>866</v>
      </c>
    </row>
    <row r="6" customFormat="false" ht="43.5" hidden="false" customHeight="true" outlineLevel="0" collapsed="false">
      <c r="A6" s="50" t="s">
        <v>414</v>
      </c>
      <c r="B6" s="69" t="s">
        <v>415</v>
      </c>
      <c r="C6" s="82" t="s">
        <v>51</v>
      </c>
      <c r="D6" s="82" t="s">
        <v>416</v>
      </c>
      <c r="E6" s="50" t="s">
        <v>417</v>
      </c>
      <c r="F6" s="48" t="n">
        <v>206</v>
      </c>
      <c r="G6" s="49" t="n">
        <v>350900</v>
      </c>
      <c r="H6" s="82" t="s">
        <v>198</v>
      </c>
      <c r="I6" s="83" t="s">
        <v>83</v>
      </c>
      <c r="J6" s="82" t="s">
        <v>408</v>
      </c>
      <c r="K6" s="84" t="s">
        <v>83</v>
      </c>
      <c r="L6" s="85" t="s">
        <v>418</v>
      </c>
      <c r="M6" s="85" t="s">
        <v>398</v>
      </c>
      <c r="N6" s="50" t="s">
        <v>419</v>
      </c>
      <c r="O6" s="50" t="n">
        <v>38</v>
      </c>
      <c r="P6" s="82" t="s">
        <v>867</v>
      </c>
      <c r="Q6" s="86" t="s">
        <v>420</v>
      </c>
      <c r="R6" s="87" t="s">
        <v>868</v>
      </c>
    </row>
    <row r="7" customFormat="false" ht="43.5" hidden="false" customHeight="true" outlineLevel="0" collapsed="false">
      <c r="A7" s="61" t="s">
        <v>544</v>
      </c>
      <c r="B7" s="71" t="s">
        <v>545</v>
      </c>
      <c r="C7" s="76" t="s">
        <v>159</v>
      </c>
      <c r="D7" s="76" t="s">
        <v>178</v>
      </c>
      <c r="E7" s="61" t="s">
        <v>179</v>
      </c>
      <c r="F7" s="58" t="n">
        <v>253</v>
      </c>
      <c r="G7" s="59" t="n">
        <v>350000</v>
      </c>
      <c r="H7" s="76" t="s">
        <v>198</v>
      </c>
      <c r="I7" s="60" t="s">
        <v>83</v>
      </c>
      <c r="J7" s="76" t="s">
        <v>100</v>
      </c>
      <c r="K7" s="88" t="s">
        <v>83</v>
      </c>
      <c r="L7" s="78" t="s">
        <v>546</v>
      </c>
      <c r="M7" s="78" t="s">
        <v>398</v>
      </c>
      <c r="N7" s="61" t="s">
        <v>399</v>
      </c>
      <c r="O7" s="61" t="n">
        <v>27</v>
      </c>
      <c r="P7" s="76" t="s">
        <v>869</v>
      </c>
      <c r="Q7" s="79" t="s">
        <v>547</v>
      </c>
      <c r="R7" s="81" t="s">
        <v>870</v>
      </c>
    </row>
    <row r="8" customFormat="false" ht="43.5" hidden="false" customHeight="true" outlineLevel="0" collapsed="false">
      <c r="A8" s="61" t="s">
        <v>433</v>
      </c>
      <c r="B8" s="71" t="s">
        <v>434</v>
      </c>
      <c r="C8" s="76" t="s">
        <v>159</v>
      </c>
      <c r="D8" s="76" t="s">
        <v>435</v>
      </c>
      <c r="E8" s="61" t="s">
        <v>436</v>
      </c>
      <c r="F8" s="58" t="n">
        <v>203</v>
      </c>
      <c r="G8" s="59" t="n">
        <v>446800</v>
      </c>
      <c r="H8" s="76" t="s">
        <v>198</v>
      </c>
      <c r="I8" s="60" t="s">
        <v>83</v>
      </c>
      <c r="J8" s="76" t="s">
        <v>408</v>
      </c>
      <c r="K8" s="88" t="s">
        <v>83</v>
      </c>
      <c r="L8" s="78" t="s">
        <v>397</v>
      </c>
      <c r="M8" s="78" t="s">
        <v>398</v>
      </c>
      <c r="N8" s="61" t="s">
        <v>399</v>
      </c>
      <c r="O8" s="61" t="n">
        <v>43</v>
      </c>
      <c r="P8" s="76" t="s">
        <v>865</v>
      </c>
      <c r="Q8" s="79" t="s">
        <v>437</v>
      </c>
      <c r="R8" s="81" t="s">
        <v>871</v>
      </c>
    </row>
    <row r="9" customFormat="false" ht="43.5" hidden="false" customHeight="true" outlineLevel="0" collapsed="false">
      <c r="A9" s="61" t="s">
        <v>406</v>
      </c>
      <c r="B9" s="71" t="s">
        <v>407</v>
      </c>
      <c r="C9" s="76" t="s">
        <v>159</v>
      </c>
      <c r="D9" s="76" t="s">
        <v>178</v>
      </c>
      <c r="E9" s="61" t="s">
        <v>179</v>
      </c>
      <c r="F9" s="58" t="n">
        <v>252</v>
      </c>
      <c r="G9" s="59" t="n">
        <v>380000</v>
      </c>
      <c r="H9" s="76" t="s">
        <v>198</v>
      </c>
      <c r="I9" s="60" t="s">
        <v>83</v>
      </c>
      <c r="J9" s="76" t="s">
        <v>408</v>
      </c>
      <c r="K9" s="88" t="s">
        <v>83</v>
      </c>
      <c r="L9" s="78" t="s">
        <v>397</v>
      </c>
      <c r="M9" s="78" t="s">
        <v>398</v>
      </c>
      <c r="N9" s="61" t="s">
        <v>399</v>
      </c>
      <c r="O9" s="61" t="n">
        <v>37</v>
      </c>
      <c r="P9" s="76" t="s">
        <v>869</v>
      </c>
      <c r="Q9" s="79" t="s">
        <v>409</v>
      </c>
      <c r="R9" s="81" t="s">
        <v>872</v>
      </c>
    </row>
    <row r="10" customFormat="false" ht="43.5" hidden="false" customHeight="true" outlineLevel="0" collapsed="false">
      <c r="A10" s="61" t="s">
        <v>392</v>
      </c>
      <c r="B10" s="71" t="s">
        <v>393</v>
      </c>
      <c r="C10" s="76" t="s">
        <v>159</v>
      </c>
      <c r="D10" s="76" t="s">
        <v>178</v>
      </c>
      <c r="E10" s="61" t="s">
        <v>394</v>
      </c>
      <c r="F10" s="58" t="n">
        <v>276</v>
      </c>
      <c r="G10" s="59" t="n">
        <v>413800</v>
      </c>
      <c r="H10" s="76" t="s">
        <v>198</v>
      </c>
      <c r="I10" s="60" t="s">
        <v>83</v>
      </c>
      <c r="J10" s="76" t="s">
        <v>395</v>
      </c>
      <c r="K10" s="88" t="s">
        <v>83</v>
      </c>
      <c r="L10" s="78" t="s">
        <v>397</v>
      </c>
      <c r="M10" s="78" t="s">
        <v>398</v>
      </c>
      <c r="N10" s="61" t="s">
        <v>399</v>
      </c>
      <c r="O10" s="61" t="n">
        <v>27</v>
      </c>
      <c r="P10" s="76" t="s">
        <v>873</v>
      </c>
      <c r="Q10" s="79" t="s">
        <v>400</v>
      </c>
      <c r="R10" s="81" t="s">
        <v>874</v>
      </c>
    </row>
    <row r="11" customFormat="false" ht="43.5" hidden="false" customHeight="true" outlineLevel="0" collapsed="false">
      <c r="A11" s="61" t="s">
        <v>534</v>
      </c>
      <c r="B11" s="72" t="s">
        <v>535</v>
      </c>
      <c r="C11" s="76" t="s">
        <v>159</v>
      </c>
      <c r="D11" s="76" t="s">
        <v>536</v>
      </c>
      <c r="E11" s="61" t="s">
        <v>537</v>
      </c>
      <c r="F11" s="58" t="n">
        <v>203</v>
      </c>
      <c r="G11" s="59" t="n">
        <v>466900</v>
      </c>
      <c r="H11" s="76" t="s">
        <v>875</v>
      </c>
      <c r="I11" s="59" t="n">
        <v>22330</v>
      </c>
      <c r="J11" s="76" t="s">
        <v>92</v>
      </c>
      <c r="K11" s="61" t="n">
        <v>29</v>
      </c>
      <c r="L11" s="78" t="s">
        <v>528</v>
      </c>
      <c r="M11" s="78" t="s">
        <v>539</v>
      </c>
      <c r="N11" s="61" t="s">
        <v>540</v>
      </c>
      <c r="O11" s="61" t="n">
        <v>35</v>
      </c>
      <c r="P11" s="76" t="s">
        <v>865</v>
      </c>
      <c r="Q11" s="78" t="s">
        <v>541</v>
      </c>
      <c r="R11" s="81" t="s">
        <v>876</v>
      </c>
    </row>
    <row r="12" customFormat="false" ht="43.5" hidden="false" customHeight="true" outlineLevel="0" collapsed="false">
      <c r="A12" s="50" t="s">
        <v>424</v>
      </c>
      <c r="B12" s="69" t="s">
        <v>425</v>
      </c>
      <c r="C12" s="82" t="s">
        <v>127</v>
      </c>
      <c r="D12" s="82" t="s">
        <v>426</v>
      </c>
      <c r="E12" s="50" t="s">
        <v>427</v>
      </c>
      <c r="F12" s="48" t="n">
        <v>205</v>
      </c>
      <c r="G12" s="49" t="n">
        <v>300000</v>
      </c>
      <c r="H12" s="82" t="s">
        <v>198</v>
      </c>
      <c r="I12" s="83" t="s">
        <v>83</v>
      </c>
      <c r="J12" s="82" t="s">
        <v>408</v>
      </c>
      <c r="K12" s="84" t="s">
        <v>83</v>
      </c>
      <c r="L12" s="85" t="s">
        <v>428</v>
      </c>
      <c r="M12" s="85" t="s">
        <v>398</v>
      </c>
      <c r="N12" s="50" t="s">
        <v>399</v>
      </c>
      <c r="O12" s="50" t="n">
        <v>20</v>
      </c>
      <c r="P12" s="82" t="s">
        <v>867</v>
      </c>
      <c r="Q12" s="86" t="s">
        <v>429</v>
      </c>
      <c r="R12" s="87" t="s">
        <v>877</v>
      </c>
    </row>
    <row r="13" customFormat="false" ht="43.5" hidden="false" customHeight="true" outlineLevel="0" collapsed="false">
      <c r="A13" s="61" t="s">
        <v>501</v>
      </c>
      <c r="B13" s="71" t="s">
        <v>502</v>
      </c>
      <c r="C13" s="76" t="s">
        <v>51</v>
      </c>
      <c r="D13" s="76" t="s">
        <v>149</v>
      </c>
      <c r="E13" s="61" t="s">
        <v>503</v>
      </c>
      <c r="F13" s="58" t="n">
        <v>211</v>
      </c>
      <c r="G13" s="59" t="n">
        <v>400000</v>
      </c>
      <c r="H13" s="76" t="s">
        <v>878</v>
      </c>
      <c r="I13" s="60" t="s">
        <v>83</v>
      </c>
      <c r="J13" s="76" t="s">
        <v>359</v>
      </c>
      <c r="K13" s="88" t="s">
        <v>83</v>
      </c>
      <c r="L13" s="78" t="s">
        <v>505</v>
      </c>
      <c r="M13" s="78" t="s">
        <v>445</v>
      </c>
      <c r="N13" s="61" t="s">
        <v>506</v>
      </c>
      <c r="O13" s="61" t="n">
        <v>40</v>
      </c>
      <c r="P13" s="76" t="s">
        <v>879</v>
      </c>
      <c r="Q13" s="78" t="s">
        <v>507</v>
      </c>
      <c r="R13" s="81" t="s">
        <v>880</v>
      </c>
    </row>
    <row r="14" customFormat="false" ht="43.5" hidden="false" customHeight="true" outlineLevel="0" collapsed="false">
      <c r="A14" s="61" t="s">
        <v>440</v>
      </c>
      <c r="B14" s="71" t="s">
        <v>441</v>
      </c>
      <c r="C14" s="76" t="s">
        <v>159</v>
      </c>
      <c r="D14" s="76" t="s">
        <v>442</v>
      </c>
      <c r="E14" s="61" t="s">
        <v>443</v>
      </c>
      <c r="F14" s="58" t="n">
        <v>200.79</v>
      </c>
      <c r="G14" s="59" t="n">
        <v>320000</v>
      </c>
      <c r="H14" s="76" t="s">
        <v>198</v>
      </c>
      <c r="I14" s="60" t="s">
        <v>83</v>
      </c>
      <c r="J14" s="76" t="s">
        <v>92</v>
      </c>
      <c r="K14" s="88" t="s">
        <v>83</v>
      </c>
      <c r="L14" s="78" t="s">
        <v>444</v>
      </c>
      <c r="M14" s="78" t="s">
        <v>445</v>
      </c>
      <c r="N14" s="61" t="s">
        <v>446</v>
      </c>
      <c r="O14" s="61" t="n">
        <v>27</v>
      </c>
      <c r="P14" s="76" t="s">
        <v>881</v>
      </c>
      <c r="Q14" s="79" t="s">
        <v>447</v>
      </c>
      <c r="R14" s="81" t="s">
        <v>882</v>
      </c>
    </row>
    <row r="19" customFormat="false" ht="15" hidden="false" customHeight="true" outlineLevel="0" collapsed="false">
      <c r="A19" s="89" t="s">
        <v>883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</row>
    <row r="20" customFormat="false" ht="15" hidden="false" customHeight="false" outlineLevel="0" collapsed="false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884</v>
      </c>
    </row>
    <row r="2" customFormat="false" ht="15" hidden="false" customHeight="false" outlineLevel="0" collapsed="false">
      <c r="A2" s="2" t="s">
        <v>885</v>
      </c>
    </row>
    <row r="4" customFormat="false" ht="30" hidden="false" customHeight="true" outlineLevel="0" collapsed="false">
      <c r="A4" s="3" t="s">
        <v>563</v>
      </c>
      <c r="B4" s="3" t="s">
        <v>2</v>
      </c>
      <c r="C4" s="3" t="s">
        <v>886</v>
      </c>
      <c r="D4" s="3" t="s">
        <v>813</v>
      </c>
      <c r="E4" s="3" t="s">
        <v>887</v>
      </c>
      <c r="F4" s="3" t="s">
        <v>888</v>
      </c>
      <c r="G4" s="3" t="s">
        <v>889</v>
      </c>
      <c r="H4" s="3" t="s">
        <v>890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578</v>
      </c>
      <c r="B5" s="90" t="str">
        <f aca="false">'A_物調表候選(22案)'!A5</f>
        <v>A</v>
      </c>
      <c r="C5" s="5" t="str">
        <f aca="false">'A_物調表候選(22案)'!B5</f>
        <v>安敦國際大樓 7F ↗</v>
      </c>
      <c r="D5" s="91" t="n">
        <f aca="false">'A_物調表候選(22案)'!F5</f>
        <v>220.81</v>
      </c>
      <c r="E5" s="92" t="n">
        <f aca="false">'A_物調表候選(22案)'!I5</f>
        <v>420000</v>
      </c>
      <c r="F5" s="92" t="n">
        <f aca="false">'A_物調表候選(22案)'!F31</f>
        <v>450913</v>
      </c>
      <c r="G5" s="36" t="n">
        <f aca="false">IFERROR(E5/D5,"")</f>
        <v>1902.08776776414</v>
      </c>
      <c r="H5" s="37" t="n">
        <f aca="false">F5-400000</f>
        <v>50913</v>
      </c>
      <c r="I5" s="33" t="s">
        <v>891</v>
      </c>
      <c r="J5" s="13" t="s">
        <v>37</v>
      </c>
      <c r="K5" s="38" t="s">
        <v>269</v>
      </c>
    </row>
    <row r="6" customFormat="false" ht="15" hidden="false" customHeight="false" outlineLevel="0" collapsed="false">
      <c r="A6" s="33" t="s">
        <v>578</v>
      </c>
      <c r="B6" s="90" t="str">
        <f aca="false">'A_物調表候選(22案)'!A6</f>
        <v>B</v>
      </c>
      <c r="C6" s="5" t="str">
        <f aca="false">'A_物調表候選(22案)'!B6</f>
        <v>中鼎大樓 15F之1 ↗</v>
      </c>
      <c r="D6" s="91" t="n">
        <f aca="false">'A_物調表候選(22案)'!F6</f>
        <v>232.22</v>
      </c>
      <c r="E6" s="92" t="n">
        <f aca="false">'A_物調表候選(22案)'!I6</f>
        <v>451087</v>
      </c>
      <c r="F6" s="92" t="n">
        <f aca="false">'A_物調表候選(22案)'!F32</f>
        <v>494098</v>
      </c>
      <c r="G6" s="36" t="n">
        <f aca="false">IFERROR(E6/D6,"")</f>
        <v>1942.49849280854</v>
      </c>
      <c r="H6" s="37" t="n">
        <f aca="false">F6-400000</f>
        <v>94098</v>
      </c>
      <c r="I6" s="33" t="s">
        <v>891</v>
      </c>
      <c r="J6" s="14" t="s">
        <v>48</v>
      </c>
      <c r="K6" s="38" t="s">
        <v>276</v>
      </c>
    </row>
    <row r="7" customFormat="false" ht="15" hidden="false" customHeight="false" outlineLevel="0" collapsed="false">
      <c r="A7" s="33" t="s">
        <v>578</v>
      </c>
      <c r="B7" s="90" t="str">
        <f aca="false">'A_物調表候選(22案)'!A7</f>
        <v>C</v>
      </c>
      <c r="C7" s="5" t="str">
        <f aca="false">'A_物調表候選(22案)'!B7</f>
        <v>旭寶大樓 5F ↗</v>
      </c>
      <c r="D7" s="91" t="n">
        <f aca="false">'A_物調表候選(22案)'!F7</f>
        <v>282.06</v>
      </c>
      <c r="E7" s="92" t="n">
        <f aca="false">'A_物調表候選(22案)'!I7</f>
        <v>472500</v>
      </c>
      <c r="F7" s="92" t="n">
        <f aca="false">'A_物調表候選(22案)'!F33</f>
        <v>506347</v>
      </c>
      <c r="G7" s="36" t="n">
        <f aca="false">IFERROR(E7/D7,"")</f>
        <v>1675.17549457562</v>
      </c>
      <c r="H7" s="37" t="n">
        <f aca="false">F7-400000</f>
        <v>106347</v>
      </c>
      <c r="I7" s="33" t="s">
        <v>891</v>
      </c>
      <c r="J7" s="14" t="s">
        <v>57</v>
      </c>
      <c r="K7" s="38" t="s">
        <v>450</v>
      </c>
    </row>
    <row r="8" customFormat="false" ht="15" hidden="false" customHeight="false" outlineLevel="0" collapsed="false">
      <c r="A8" s="33" t="s">
        <v>578</v>
      </c>
      <c r="B8" s="90" t="str">
        <f aca="false">'A_物調表候選(22案)'!A8</f>
        <v>D</v>
      </c>
      <c r="C8" s="5" t="str">
        <f aca="false">'A_物調表候選(22案)'!B8</f>
        <v>敦化財經大樓 4F之1 ↗</v>
      </c>
      <c r="D8" s="91" t="n">
        <f aca="false">'A_物調表候選(22案)'!F8</f>
        <v>220.07</v>
      </c>
      <c r="E8" s="92" t="n">
        <f aca="false">'A_物調表候選(22案)'!I8</f>
        <v>440140</v>
      </c>
      <c r="F8" s="92" t="n">
        <f aca="false">'A_物調表候選(22案)'!F34</f>
        <v>496555</v>
      </c>
      <c r="G8" s="36" t="n">
        <f aca="false">IFERROR(E8/D8,"")</f>
        <v>2000</v>
      </c>
      <c r="H8" s="37" t="n">
        <f aca="false">F8-400000</f>
        <v>96555</v>
      </c>
      <c r="I8" s="33" t="s">
        <v>891</v>
      </c>
      <c r="J8" s="13" t="s">
        <v>68</v>
      </c>
      <c r="K8" s="38" t="s">
        <v>490</v>
      </c>
    </row>
    <row r="9" customFormat="false" ht="15" hidden="false" customHeight="false" outlineLevel="0" collapsed="false">
      <c r="A9" s="33" t="s">
        <v>578</v>
      </c>
      <c r="B9" s="90" t="str">
        <f aca="false">'A_物調表候選(22案)'!A9</f>
        <v>E</v>
      </c>
      <c r="C9" s="5" t="str">
        <f aca="false">'A_物調表候選(22案)'!B9</f>
        <v>國泰世華銀行大樓 6F ↗</v>
      </c>
      <c r="D9" s="91" t="n">
        <f aca="false">'A_物調表候選(22案)'!F9</f>
        <v>265.72</v>
      </c>
      <c r="E9" s="92" t="n">
        <f aca="false">'A_物調表候選(22案)'!I9</f>
        <v>502211</v>
      </c>
      <c r="F9" s="92" t="n">
        <f aca="false">'A_物調表候選(22案)'!F35</f>
        <v>542069</v>
      </c>
      <c r="G9" s="36" t="n">
        <f aca="false">IFERROR(E9/D9,"")</f>
        <v>1890.00075267199</v>
      </c>
      <c r="H9" s="37" t="n">
        <f aca="false">F9-400000</f>
        <v>142069</v>
      </c>
      <c r="I9" s="33" t="s">
        <v>891</v>
      </c>
      <c r="J9" s="14" t="s">
        <v>78</v>
      </c>
      <c r="K9" s="38" t="s">
        <v>450</v>
      </c>
    </row>
    <row r="10" customFormat="false" ht="15" hidden="false" customHeight="false" outlineLevel="0" collapsed="false">
      <c r="A10" s="33" t="s">
        <v>578</v>
      </c>
      <c r="B10" s="90" t="str">
        <f aca="false">'A_物調表候選(22案)'!A10</f>
        <v>F</v>
      </c>
      <c r="C10" s="5" t="str">
        <f aca="false">'A_物調表候選(22案)'!B10</f>
        <v>友聯大樓 5F ↗</v>
      </c>
      <c r="D10" s="91" t="n">
        <f aca="false">'A_物調表候選(22案)'!F10</f>
        <v>203.26</v>
      </c>
      <c r="E10" s="92" t="n">
        <f aca="false">'A_物調表候選(22案)'!I10</f>
        <v>405504</v>
      </c>
      <c r="F10" s="92" t="n">
        <f aca="false">'A_物調表候選(22案)'!F36</f>
        <v>413004</v>
      </c>
      <c r="G10" s="36" t="n">
        <f aca="false">IFERROR(E10/D10,"")</f>
        <v>1995.00147594214</v>
      </c>
      <c r="H10" s="37" t="n">
        <f aca="false">F10-400000</f>
        <v>13004</v>
      </c>
      <c r="I10" s="33" t="s">
        <v>891</v>
      </c>
      <c r="J10" s="14" t="s">
        <v>87</v>
      </c>
      <c r="K10" s="38" t="s">
        <v>370</v>
      </c>
    </row>
    <row r="11" customFormat="false" ht="15" hidden="false" customHeight="false" outlineLevel="0" collapsed="false">
      <c r="A11" s="33" t="s">
        <v>578</v>
      </c>
      <c r="B11" s="90" t="str">
        <f aca="false">'A_物調表候選(22案)'!A11</f>
        <v>G</v>
      </c>
      <c r="C11" s="5" t="str">
        <f aca="false">'A_物調表候選(22案)'!B11</f>
        <v>白宮企業大樓 5F ↗</v>
      </c>
      <c r="D11" s="91" t="n">
        <f aca="false">'A_物調表候選(22案)'!F11</f>
        <v>207.04</v>
      </c>
      <c r="E11" s="92" t="n">
        <f aca="false">'A_物調表候選(22案)'!I11</f>
        <v>360150</v>
      </c>
      <c r="F11" s="92" t="n">
        <f aca="false">'A_物調表候選(22案)'!F37</f>
        <v>389134</v>
      </c>
      <c r="G11" s="36" t="n">
        <f aca="false">IFERROR(E11/D11,"")</f>
        <v>1739.51893353941</v>
      </c>
      <c r="H11" s="37" t="n">
        <f aca="false">F11-400000</f>
        <v>-10866</v>
      </c>
      <c r="I11" s="33" t="s">
        <v>891</v>
      </c>
      <c r="J11" s="14" t="s">
        <v>95</v>
      </c>
      <c r="K11" s="38" t="s">
        <v>342</v>
      </c>
    </row>
    <row r="12" customFormat="false" ht="15" hidden="false" customHeight="false" outlineLevel="0" collapsed="false">
      <c r="A12" s="33" t="s">
        <v>578</v>
      </c>
      <c r="B12" s="90" t="str">
        <f aca="false">'A_物調表候選(22案)'!A12</f>
        <v>H</v>
      </c>
      <c r="C12" s="17" t="str">
        <f aca="false">'A_物調表候選(22案)'!B12</f>
        <v>591 光復南路 7F ↗</v>
      </c>
      <c r="D12" s="91" t="n">
        <f aca="false">'A_物調表候選(22案)'!F12</f>
        <v>211</v>
      </c>
      <c r="E12" s="92" t="n">
        <f aca="false">'A_物調表候選(22案)'!I12</f>
        <v>400000</v>
      </c>
      <c r="F12" s="92" t="n">
        <f aca="false">'A_物調表候選(22案)'!F38</f>
        <v>417935</v>
      </c>
      <c r="G12" s="36" t="n">
        <f aca="false">IFERROR(E12/D12,"")</f>
        <v>1895.7345971564</v>
      </c>
      <c r="H12" s="37" t="n">
        <f aca="false">F12-400000</f>
        <v>17935</v>
      </c>
      <c r="I12" s="33" t="s">
        <v>891</v>
      </c>
      <c r="J12" s="13" t="s">
        <v>104</v>
      </c>
      <c r="K12" s="41" t="s">
        <v>83</v>
      </c>
    </row>
    <row r="13" customFormat="false" ht="15" hidden="false" customHeight="false" outlineLevel="0" collapsed="false">
      <c r="A13" s="33" t="s">
        <v>578</v>
      </c>
      <c r="B13" s="90" t="str">
        <f aca="false">'A_物調表候選(22案)'!A13</f>
        <v>I</v>
      </c>
      <c r="C13" s="5" t="str">
        <f aca="false">'A_物調表候選(22案)'!B13</f>
        <v>信義 光復北路新大樓 5F ↗</v>
      </c>
      <c r="D13" s="91" t="n">
        <f aca="false">'A_物調表候選(22案)'!F13</f>
        <v>203.56</v>
      </c>
      <c r="E13" s="92" t="n">
        <f aca="false">'A_物調表候選(22案)'!I13</f>
        <v>305340</v>
      </c>
      <c r="F13" s="92" t="n">
        <f aca="false">'A_物調表候選(22案)'!F39</f>
        <v>337910</v>
      </c>
      <c r="G13" s="36" t="n">
        <f aca="false">IFERROR(E13/D13,"")</f>
        <v>1500</v>
      </c>
      <c r="H13" s="37" t="n">
        <f aca="false">F13-400000</f>
        <v>-62090</v>
      </c>
      <c r="I13" s="33" t="s">
        <v>891</v>
      </c>
      <c r="J13" s="14" t="s">
        <v>114</v>
      </c>
      <c r="K13" s="38" t="s">
        <v>367</v>
      </c>
    </row>
    <row r="14" customFormat="false" ht="15" hidden="false" customHeight="false" outlineLevel="0" collapsed="false">
      <c r="A14" s="33" t="s">
        <v>578</v>
      </c>
      <c r="B14" s="90" t="str">
        <f aca="false">'A_物調表候選(22案)'!A14</f>
        <v>Y1</v>
      </c>
      <c r="C14" s="5" t="str">
        <f aca="false">'A_物調表候選(22案)'!B14</f>
        <v>永慶 安敦國際大樓 14F ↗</v>
      </c>
      <c r="D14" s="91" t="n">
        <f aca="false">'A_物調表候選(22案)'!F14</f>
        <v>224.18</v>
      </c>
      <c r="E14" s="92" t="n">
        <f aca="false">'A_物調表候選(22案)'!I14</f>
        <v>448000</v>
      </c>
      <c r="F14" s="92" t="n">
        <f aca="false">'A_物調表候選(22案)'!F40</f>
        <v>480000</v>
      </c>
      <c r="G14" s="36" t="n">
        <f aca="false">IFERROR(E14/D14,"")</f>
        <v>1998.39414756</v>
      </c>
      <c r="H14" s="37" t="n">
        <f aca="false">F14-400000</f>
        <v>80000</v>
      </c>
      <c r="I14" s="33" t="s">
        <v>891</v>
      </c>
      <c r="J14" s="14" t="s">
        <v>124</v>
      </c>
      <c r="K14" s="38" t="s">
        <v>292</v>
      </c>
    </row>
    <row r="15" customFormat="false" ht="15" hidden="false" customHeight="false" outlineLevel="0" collapsed="false">
      <c r="A15" s="33" t="s">
        <v>578</v>
      </c>
      <c r="B15" s="90" t="str">
        <f aca="false">'A_物調表候選(22案)'!A15</f>
        <v>Y2</v>
      </c>
      <c r="C15" s="5" t="str">
        <f aca="false">'A_物調表候選(22案)'!B15</f>
        <v>永慶／信義 家美金融大樓 15F ↗</v>
      </c>
      <c r="D15" s="91" t="n">
        <f aca="false">'A_物調表候選(22案)'!F15</f>
        <v>208.96</v>
      </c>
      <c r="E15" s="92" t="n">
        <f aca="false">'A_物調表候選(22案)'!I15</f>
        <v>398000</v>
      </c>
      <c r="F15" s="92" t="n">
        <f aca="false">'A_物調表候選(22案)'!F41</f>
        <v>434435</v>
      </c>
      <c r="G15" s="36" t="n">
        <f aca="false">IFERROR(E15/D15,"")</f>
        <v>1904.67075038285</v>
      </c>
      <c r="H15" s="37" t="n">
        <f aca="false">F15-400000</f>
        <v>34435</v>
      </c>
      <c r="I15" s="33" t="s">
        <v>891</v>
      </c>
      <c r="J15" s="14" t="s">
        <v>136</v>
      </c>
      <c r="K15" s="38" t="s">
        <v>361</v>
      </c>
    </row>
    <row r="16" customFormat="false" ht="15" hidden="false" customHeight="false" outlineLevel="0" collapsed="false">
      <c r="A16" s="33" t="s">
        <v>578</v>
      </c>
      <c r="B16" s="90" t="str">
        <f aca="false">'A_物調表候選(22案)'!A16</f>
        <v>S03</v>
      </c>
      <c r="C16" s="5" t="str">
        <f aca="false">'A_物調表候選(22案)'!B16</f>
        <v>信義 敦北長城大樓 3F ↗</v>
      </c>
      <c r="D16" s="91" t="n">
        <f aca="false">'A_物調表候選(22案)'!F16</f>
        <v>225.83</v>
      </c>
      <c r="E16" s="92" t="n">
        <f aca="false">'A_物調表候選(22案)'!I16</f>
        <v>474500</v>
      </c>
      <c r="F16" s="92" t="n">
        <f aca="false">'A_物調表候選(22案)'!F42</f>
        <v>501600</v>
      </c>
      <c r="G16" s="36" t="n">
        <f aca="false">IFERROR(E16/D16,"")</f>
        <v>2101.13802417748</v>
      </c>
      <c r="H16" s="37" t="n">
        <f aca="false">F16-400000</f>
        <v>101600</v>
      </c>
      <c r="I16" s="33" t="s">
        <v>891</v>
      </c>
      <c r="J16" s="14" t="s">
        <v>146</v>
      </c>
      <c r="K16" s="38" t="s">
        <v>487</v>
      </c>
    </row>
    <row r="17" customFormat="false" ht="15" hidden="false" customHeight="false" outlineLevel="0" collapsed="false">
      <c r="A17" s="33" t="s">
        <v>578</v>
      </c>
      <c r="B17" s="90" t="str">
        <f aca="false">'A_物調表候選(22案)'!A17</f>
        <v>S04</v>
      </c>
      <c r="C17" s="5" t="str">
        <f aca="false">'A_物調表候選(22案)'!B17</f>
        <v>信義 光復南路大坪數辦公 6F ↗</v>
      </c>
      <c r="D17" s="91" t="n">
        <f aca="false">'A_物調表候選(22案)'!F17</f>
        <v>211.38</v>
      </c>
      <c r="E17" s="92" t="n">
        <f aca="false">'A_物調表候選(22案)'!I17</f>
        <v>388500</v>
      </c>
      <c r="F17" s="92" t="n">
        <f aca="false">'A_物調表候選(22案)'!F43</f>
        <v>405500</v>
      </c>
      <c r="G17" s="36" t="n">
        <f aca="false">IFERROR(E17/D17,"")</f>
        <v>1837.9222253761</v>
      </c>
      <c r="H17" s="37" t="n">
        <f aca="false">F17-400000</f>
        <v>5500</v>
      </c>
      <c r="I17" s="33" t="s">
        <v>891</v>
      </c>
      <c r="J17" s="14" t="s">
        <v>156</v>
      </c>
      <c r="K17" s="38" t="s">
        <v>312</v>
      </c>
    </row>
    <row r="18" customFormat="false" ht="15" hidden="false" customHeight="false" outlineLevel="0" collapsed="false">
      <c r="A18" s="33" t="s">
        <v>578</v>
      </c>
      <c r="B18" s="90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1" t="n">
        <f aca="false">'A_物調表候選(22案)'!F18</f>
        <v>278.04</v>
      </c>
      <c r="E18" s="92" t="n">
        <f aca="false">'A_物調表候選(22案)'!I18</f>
        <v>388500</v>
      </c>
      <c r="F18" s="92" t="n">
        <f aca="false">'A_物調表候選(22案)'!F44</f>
        <v>431000</v>
      </c>
      <c r="G18" s="36" t="n">
        <f aca="false">IFERROR(E18/D18,"")</f>
        <v>1397.28096676737</v>
      </c>
      <c r="H18" s="37" t="n">
        <f aca="false">F18-400000</f>
        <v>31000</v>
      </c>
      <c r="I18" s="33" t="s">
        <v>891</v>
      </c>
      <c r="J18" s="14" t="s">
        <v>167</v>
      </c>
      <c r="K18" s="38" t="s">
        <v>276</v>
      </c>
    </row>
    <row r="19" customFormat="false" ht="15" hidden="false" customHeight="false" outlineLevel="0" collapsed="false">
      <c r="A19" s="33" t="s">
        <v>578</v>
      </c>
      <c r="B19" s="90" t="str">
        <f aca="false">'A_物調表候選(22案)'!A19</f>
        <v>S06</v>
      </c>
      <c r="C19" s="5" t="str">
        <f aca="false">'A_物調表候選(22案)'!B19</f>
        <v>信義 八德正核心大辦公室 7F ↗</v>
      </c>
      <c r="D19" s="91" t="n">
        <f aca="false">'A_物調表候選(22案)'!F19</f>
        <v>254.06</v>
      </c>
      <c r="E19" s="92" t="n">
        <f aca="false">'A_物調表候選(22案)'!I19</f>
        <v>381090</v>
      </c>
      <c r="F19" s="92" t="n">
        <f aca="false">'A_物調表候選(22案)'!F45</f>
        <v>423010</v>
      </c>
      <c r="G19" s="36" t="n">
        <f aca="false">IFERROR(E19/D19,"")</f>
        <v>1500</v>
      </c>
      <c r="H19" s="37" t="n">
        <f aca="false">F19-400000</f>
        <v>23010</v>
      </c>
      <c r="I19" s="33" t="s">
        <v>891</v>
      </c>
      <c r="J19" s="14" t="s">
        <v>175</v>
      </c>
      <c r="K19" s="38" t="s">
        <v>273</v>
      </c>
    </row>
    <row r="20" customFormat="false" ht="15" hidden="false" customHeight="false" outlineLevel="0" collapsed="false">
      <c r="A20" s="33" t="s">
        <v>578</v>
      </c>
      <c r="B20" s="90" t="str">
        <f aca="false">'A_物調表候選(22案)'!A20</f>
        <v>S07</v>
      </c>
      <c r="C20" s="5" t="str">
        <f aca="false">'A_物調表候選(22案)'!B20</f>
        <v>信義 明水路營業用商辦 4F ↗</v>
      </c>
      <c r="D20" s="91" t="n">
        <f aca="false">'A_物調表候選(22案)'!F20</f>
        <v>253.16</v>
      </c>
      <c r="E20" s="92" t="n">
        <f aca="false">'A_物調表候選(22案)'!I20</f>
        <v>350000</v>
      </c>
      <c r="F20" s="92" t="n">
        <f aca="false">'A_物調表候選(22案)'!F46</f>
        <v>386676</v>
      </c>
      <c r="G20" s="36" t="n">
        <f aca="false">IFERROR(E20/D20,"")</f>
        <v>1382.52488544794</v>
      </c>
      <c r="H20" s="37" t="n">
        <f aca="false">F20-400000</f>
        <v>-13324</v>
      </c>
      <c r="I20" s="33" t="s">
        <v>891</v>
      </c>
      <c r="J20" s="14" t="s">
        <v>185</v>
      </c>
      <c r="K20" s="38" t="s">
        <v>404</v>
      </c>
    </row>
    <row r="21" customFormat="false" ht="15" hidden="false" customHeight="false" outlineLevel="0" collapsed="false">
      <c r="A21" s="33" t="s">
        <v>578</v>
      </c>
      <c r="B21" s="90" t="str">
        <f aca="false">'A_物調表候選(22案)'!A21</f>
        <v>S08</v>
      </c>
      <c r="C21" s="5" t="str">
        <f aca="false">'A_物調表候選(22案)'!B21</f>
        <v>信義 國票大樓 15F C ↗</v>
      </c>
      <c r="D21" s="91" t="n">
        <f aca="false">'A_物調表候選(22案)'!F21</f>
        <v>213.3</v>
      </c>
      <c r="E21" s="92" t="n">
        <f aca="false">'A_物調表候選(22案)'!I21</f>
        <v>467500</v>
      </c>
      <c r="F21" s="92" t="n">
        <f aca="false">'A_物調表候選(22案)'!F47</f>
        <v>501100</v>
      </c>
      <c r="G21" s="36" t="n">
        <f aca="false">IFERROR(E21/D21,"")</f>
        <v>2191.74871073605</v>
      </c>
      <c r="H21" s="37" t="n">
        <f aca="false">F21-400000</f>
        <v>101100</v>
      </c>
      <c r="I21" s="33" t="s">
        <v>891</v>
      </c>
      <c r="J21" s="14" t="s">
        <v>194</v>
      </c>
      <c r="K21" s="38" t="s">
        <v>550</v>
      </c>
    </row>
    <row r="22" customFormat="false" ht="15" hidden="false" customHeight="false" outlineLevel="0" collapsed="false">
      <c r="A22" s="33" t="s">
        <v>578</v>
      </c>
      <c r="B22" s="90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1" t="n">
        <f aca="false">'A_物調表候選(22案)'!F22</f>
        <v>285.67</v>
      </c>
      <c r="E22" s="92" t="n">
        <f aca="false">'A_物調表候選(22案)'!I22</f>
        <v>428505</v>
      </c>
      <c r="F22" s="92" t="n">
        <f aca="false">'A_物調表候選(22案)'!F48</f>
        <v>428505</v>
      </c>
      <c r="G22" s="36" t="n">
        <f aca="false">IFERROR(E22/D22,"")</f>
        <v>1500</v>
      </c>
      <c r="H22" s="37" t="n">
        <f aca="false">F22-400000</f>
        <v>28505</v>
      </c>
      <c r="I22" s="33" t="s">
        <v>891</v>
      </c>
      <c r="J22" s="14" t="s">
        <v>201</v>
      </c>
      <c r="K22" s="38" t="s">
        <v>273</v>
      </c>
    </row>
    <row r="23" customFormat="false" ht="15" hidden="false" customHeight="false" outlineLevel="0" collapsed="false">
      <c r="A23" s="33" t="s">
        <v>578</v>
      </c>
      <c r="B23" s="90" t="str">
        <f aca="false">'A_物調表候選(22案)'!A23</f>
        <v>S12</v>
      </c>
      <c r="C23" s="5" t="str">
        <f aca="false">'A_物調表候選(22案)'!B23</f>
        <v>信義 信義大樓 21F ↗</v>
      </c>
      <c r="D23" s="91" t="n">
        <f aca="false">'A_物調表候選(22案)'!F23</f>
        <v>265.82</v>
      </c>
      <c r="E23" s="92" t="n">
        <f aca="false">'A_物調表候選(22案)'!I23</f>
        <v>544931</v>
      </c>
      <c r="F23" s="92" t="n">
        <f aca="false">'A_物調表候選(22案)'!F49</f>
        <v>544931</v>
      </c>
      <c r="G23" s="36" t="n">
        <f aca="false">IFERROR(E23/D23,"")</f>
        <v>2050</v>
      </c>
      <c r="H23" s="37" t="n">
        <f aca="false">F23-400000</f>
        <v>144931</v>
      </c>
      <c r="I23" s="33" t="s">
        <v>891</v>
      </c>
      <c r="J23" s="14" t="s">
        <v>211</v>
      </c>
      <c r="K23" s="38" t="s">
        <v>323</v>
      </c>
    </row>
    <row r="24" customFormat="false" ht="15" hidden="false" customHeight="false" outlineLevel="0" collapsed="false">
      <c r="A24" s="33" t="s">
        <v>578</v>
      </c>
      <c r="B24" s="90" t="str">
        <f aca="false">'A_物調表候選(22案)'!A24</f>
        <v>S13</v>
      </c>
      <c r="C24" s="5" t="str">
        <f aca="false">'A_物調表候選(22案)'!B24</f>
        <v>信義 環球世貿 10F ↗</v>
      </c>
      <c r="D24" s="91" t="n">
        <f aca="false">'A_物調表候選(22案)'!F24</f>
        <v>266.36</v>
      </c>
      <c r="E24" s="92" t="n">
        <f aca="false">'A_物調表候選(22案)'!I24</f>
        <v>560000</v>
      </c>
      <c r="F24" s="92" t="n">
        <f aca="false">'A_物調表候選(22案)'!F50</f>
        <v>560000</v>
      </c>
      <c r="G24" s="36" t="n">
        <f aca="false">IFERROR(E24/D24,"")</f>
        <v>2102.41778044751</v>
      </c>
      <c r="H24" s="37" t="n">
        <f aca="false">F24-400000</f>
        <v>160000</v>
      </c>
      <c r="I24" s="33" t="s">
        <v>891</v>
      </c>
      <c r="J24" s="14" t="s">
        <v>220</v>
      </c>
      <c r="K24" s="38" t="s">
        <v>323</v>
      </c>
    </row>
    <row r="25" customFormat="false" ht="15" hidden="false" customHeight="false" outlineLevel="0" collapsed="false">
      <c r="A25" s="33" t="s">
        <v>578</v>
      </c>
      <c r="B25" s="90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1" t="n">
        <f aca="false">'A_物調表候選(22案)'!F25</f>
        <v>277.81</v>
      </c>
      <c r="E25" s="92" t="n">
        <f aca="false">'A_物調表候選(22案)'!I25</f>
        <v>300000</v>
      </c>
      <c r="F25" s="92" t="n">
        <f aca="false">'A_物調表候選(22案)'!F51</f>
        <v>300000</v>
      </c>
      <c r="G25" s="36" t="n">
        <f aca="false">IFERROR(E25/D25,"")</f>
        <v>1079.87473453079</v>
      </c>
      <c r="H25" s="37" t="n">
        <f aca="false">F25-400000</f>
        <v>-100000</v>
      </c>
      <c r="I25" s="33" t="s">
        <v>891</v>
      </c>
      <c r="J25" s="14" t="s">
        <v>228</v>
      </c>
      <c r="K25" s="38" t="s">
        <v>453</v>
      </c>
    </row>
    <row r="26" customFormat="false" ht="15" hidden="false" customHeight="false" outlineLevel="0" collapsed="false">
      <c r="A26" s="33" t="s">
        <v>578</v>
      </c>
      <c r="B26" s="90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1" t="n">
        <f aca="false">'A_物調表候選(22案)'!F26</f>
        <v>213.56</v>
      </c>
      <c r="E26" s="92" t="n">
        <f aca="false">'A_物調表候選(22案)'!I26</f>
        <v>218000</v>
      </c>
      <c r="F26" s="92" t="n">
        <f aca="false">'A_物調表候選(22案)'!F52</f>
        <v>236980</v>
      </c>
      <c r="G26" s="36" t="n">
        <f aca="false">IFERROR(E26/D26,"")</f>
        <v>1020.79041018917</v>
      </c>
      <c r="H26" s="37" t="n">
        <f aca="false">F26-400000</f>
        <v>-163020</v>
      </c>
      <c r="I26" s="33" t="s">
        <v>891</v>
      </c>
      <c r="J26" s="14" t="s">
        <v>237</v>
      </c>
      <c r="K26" s="38" t="s">
        <v>370</v>
      </c>
    </row>
    <row r="27" customFormat="false" ht="15" hidden="false" customHeight="false" outlineLevel="0" collapsed="false">
      <c r="A27" s="93" t="s">
        <v>621</v>
      </c>
      <c r="B27" s="90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1" t="n">
        <f aca="false">'I_HouseWeb(10件)'!F5</f>
        <v>204</v>
      </c>
      <c r="E27" s="92" t="n">
        <f aca="false">'I_HouseWeb(10件)'!G5</f>
        <v>469000</v>
      </c>
      <c r="F27" s="92" t="n">
        <f aca="false">'I_HouseWeb(10件)'!G5</f>
        <v>469000</v>
      </c>
      <c r="G27" s="36" t="n">
        <f aca="false">IFERROR(E27/D27,"")</f>
        <v>2299.01960784314</v>
      </c>
      <c r="H27" s="37" t="n">
        <f aca="false">F27-400000</f>
        <v>69000</v>
      </c>
      <c r="I27" s="33" t="s">
        <v>892</v>
      </c>
      <c r="J27" s="13" t="s">
        <v>365</v>
      </c>
      <c r="K27" s="38" t="s">
        <v>361</v>
      </c>
    </row>
    <row r="28" customFormat="false" ht="15" hidden="false" customHeight="false" outlineLevel="0" collapsed="false">
      <c r="A28" s="93" t="s">
        <v>621</v>
      </c>
      <c r="B28" s="90" t="str">
        <f aca="false">'I_HouseWeb(10件)'!A6</f>
        <v>W02</v>
      </c>
      <c r="C28" s="5" t="str">
        <f aca="false">'I_HouseWeb(10件)'!D6&amp;" "&amp;'I_HouseWeb(10件)'!E6</f>
        <v>八德路四段 9F/16F</v>
      </c>
      <c r="D28" s="91" t="n">
        <f aca="false">'I_HouseWeb(10件)'!F6</f>
        <v>206</v>
      </c>
      <c r="E28" s="92" t="n">
        <f aca="false">'I_HouseWeb(10件)'!G6</f>
        <v>350900</v>
      </c>
      <c r="F28" s="92" t="n">
        <f aca="false">'I_HouseWeb(10件)'!G6</f>
        <v>350900</v>
      </c>
      <c r="G28" s="36" t="n">
        <f aca="false">IFERROR(E28/D28,"")</f>
        <v>1703.39805825243</v>
      </c>
      <c r="H28" s="37" t="n">
        <f aca="false">F28-400000</f>
        <v>-49100</v>
      </c>
      <c r="I28" s="33" t="s">
        <v>892</v>
      </c>
      <c r="J28" s="13" t="s">
        <v>421</v>
      </c>
      <c r="K28" s="41" t="s">
        <v>83</v>
      </c>
    </row>
    <row r="29" customFormat="false" ht="15" hidden="false" customHeight="false" outlineLevel="0" collapsed="false">
      <c r="A29" s="93" t="s">
        <v>621</v>
      </c>
      <c r="B29" s="90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1" t="n">
        <f aca="false">'I_HouseWeb(10件)'!F7</f>
        <v>253</v>
      </c>
      <c r="E29" s="92" t="n">
        <f aca="false">'I_HouseWeb(10件)'!G7</f>
        <v>350000</v>
      </c>
      <c r="F29" s="92" t="n">
        <f aca="false">'I_HouseWeb(10件)'!G7</f>
        <v>350000</v>
      </c>
      <c r="G29" s="36" t="n">
        <f aca="false">IFERROR(E29/D29,"")</f>
        <v>1383.39920948617</v>
      </c>
      <c r="H29" s="37" t="n">
        <f aca="false">F29-400000</f>
        <v>-50000</v>
      </c>
      <c r="I29" s="33" t="s">
        <v>892</v>
      </c>
      <c r="J29" s="13" t="s">
        <v>401</v>
      </c>
      <c r="K29" s="41" t="s">
        <v>83</v>
      </c>
    </row>
    <row r="30" customFormat="false" ht="15" hidden="false" customHeight="false" outlineLevel="0" collapsed="false">
      <c r="A30" s="93" t="s">
        <v>621</v>
      </c>
      <c r="B30" s="90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1" t="n">
        <f aca="false">'I_HouseWeb(10件)'!F8</f>
        <v>203</v>
      </c>
      <c r="E30" s="92" t="n">
        <f aca="false">'I_HouseWeb(10件)'!G8</f>
        <v>446800</v>
      </c>
      <c r="F30" s="92" t="n">
        <f aca="false">'I_HouseWeb(10件)'!G8</f>
        <v>446800</v>
      </c>
      <c r="G30" s="36" t="n">
        <f aca="false">IFERROR(E30/D30,"")</f>
        <v>2200.98522167488</v>
      </c>
      <c r="H30" s="37" t="n">
        <f aca="false">F30-400000</f>
        <v>46800</v>
      </c>
      <c r="I30" s="33" t="s">
        <v>892</v>
      </c>
      <c r="J30" s="13" t="s">
        <v>438</v>
      </c>
      <c r="K30" s="41" t="s">
        <v>83</v>
      </c>
    </row>
    <row r="31" customFormat="false" ht="15" hidden="false" customHeight="false" outlineLevel="0" collapsed="false">
      <c r="A31" s="93" t="s">
        <v>621</v>
      </c>
      <c r="B31" s="90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1" t="n">
        <f aca="false">'I_HouseWeb(10件)'!F9</f>
        <v>252</v>
      </c>
      <c r="E31" s="92" t="n">
        <f aca="false">'I_HouseWeb(10件)'!G9</f>
        <v>380000</v>
      </c>
      <c r="F31" s="92" t="n">
        <f aca="false">'I_HouseWeb(10件)'!G9</f>
        <v>380000</v>
      </c>
      <c r="G31" s="36" t="n">
        <f aca="false">IFERROR(E31/D31,"")</f>
        <v>1507.93650793651</v>
      </c>
      <c r="H31" s="37" t="n">
        <f aca="false">F31-400000</f>
        <v>-20000</v>
      </c>
      <c r="I31" s="33" t="s">
        <v>892</v>
      </c>
      <c r="J31" s="13" t="s">
        <v>410</v>
      </c>
      <c r="K31" s="41" t="s">
        <v>83</v>
      </c>
    </row>
    <row r="32" customFormat="false" ht="15" hidden="false" customHeight="false" outlineLevel="0" collapsed="false">
      <c r="A32" s="93" t="s">
        <v>621</v>
      </c>
      <c r="B32" s="90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1" t="n">
        <f aca="false">'I_HouseWeb(10件)'!F10</f>
        <v>276</v>
      </c>
      <c r="E32" s="92" t="n">
        <f aca="false">'I_HouseWeb(10件)'!G10</f>
        <v>413800</v>
      </c>
      <c r="F32" s="92" t="n">
        <f aca="false">'I_HouseWeb(10件)'!G10</f>
        <v>413800</v>
      </c>
      <c r="G32" s="36" t="n">
        <f aca="false">IFERROR(E32/D32,"")</f>
        <v>1499.27536231884</v>
      </c>
      <c r="H32" s="37" t="n">
        <f aca="false">F32-400000</f>
        <v>13800</v>
      </c>
      <c r="I32" s="33" t="s">
        <v>892</v>
      </c>
      <c r="J32" s="13" t="s">
        <v>401</v>
      </c>
      <c r="K32" s="41" t="s">
        <v>83</v>
      </c>
    </row>
    <row r="33" customFormat="false" ht="15" hidden="false" customHeight="false" outlineLevel="0" collapsed="false">
      <c r="A33" s="93" t="s">
        <v>621</v>
      </c>
      <c r="B33" s="90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1" t="n">
        <f aca="false">'I_HouseWeb(10件)'!F11</f>
        <v>203</v>
      </c>
      <c r="E33" s="92" t="n">
        <f aca="false">'I_HouseWeb(10件)'!G11*1.05</f>
        <v>490245</v>
      </c>
      <c r="F33" s="92" t="n">
        <f aca="false">'I_HouseWeb(10件)'!G11*1.05+'I_HouseWeb(10件)'!I11</f>
        <v>512575</v>
      </c>
      <c r="G33" s="36" t="n">
        <f aca="false">IFERROR(E33/D33,"")</f>
        <v>2415</v>
      </c>
      <c r="H33" s="37" t="n">
        <f aca="false">F33-400000</f>
        <v>112575</v>
      </c>
      <c r="I33" s="33" t="s">
        <v>893</v>
      </c>
      <c r="J33" s="13" t="s">
        <v>542</v>
      </c>
      <c r="K33" s="38" t="s">
        <v>529</v>
      </c>
    </row>
    <row r="34" customFormat="false" ht="15" hidden="false" customHeight="false" outlineLevel="0" collapsed="false">
      <c r="A34" s="93" t="s">
        <v>621</v>
      </c>
      <c r="B34" s="90" t="str">
        <f aca="false">'I_HouseWeb(10件)'!A12</f>
        <v>W10</v>
      </c>
      <c r="C34" s="5" t="str">
        <f aca="false">'I_HouseWeb(10件)'!D12&amp;" "&amp;'I_HouseWeb(10件)'!E12</f>
        <v>松山路 7F/10F</v>
      </c>
      <c r="D34" s="91" t="n">
        <f aca="false">'I_HouseWeb(10件)'!F12</f>
        <v>205</v>
      </c>
      <c r="E34" s="92" t="n">
        <f aca="false">'I_HouseWeb(10件)'!G12</f>
        <v>300000</v>
      </c>
      <c r="F34" s="92" t="n">
        <f aca="false">'I_HouseWeb(10件)'!G12</f>
        <v>300000</v>
      </c>
      <c r="G34" s="36" t="n">
        <f aca="false">IFERROR(E34/D34,"")</f>
        <v>1463.41463414634</v>
      </c>
      <c r="H34" s="37" t="n">
        <f aca="false">F34-400000</f>
        <v>-100000</v>
      </c>
      <c r="I34" s="33" t="s">
        <v>892</v>
      </c>
      <c r="J34" s="13" t="s">
        <v>430</v>
      </c>
      <c r="K34" s="41" t="s">
        <v>83</v>
      </c>
    </row>
    <row r="35" customFormat="false" ht="15" hidden="false" customHeight="false" outlineLevel="0" collapsed="false">
      <c r="A35" s="93" t="s">
        <v>621</v>
      </c>
      <c r="B35" s="90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1" t="n">
        <f aca="false">'I_HouseWeb(10件)'!F13</f>
        <v>211</v>
      </c>
      <c r="E35" s="92" t="n">
        <f aca="false">'I_HouseWeb(10件)'!G13</f>
        <v>400000</v>
      </c>
      <c r="F35" s="92" t="n">
        <f aca="false">'I_HouseWeb(10件)'!G13</f>
        <v>400000</v>
      </c>
      <c r="G35" s="36" t="n">
        <f aca="false">IFERROR(E35/D35,"")</f>
        <v>1895.7345971564</v>
      </c>
      <c r="H35" s="37" t="n">
        <f aca="false">F35-400000</f>
        <v>0</v>
      </c>
      <c r="I35" s="33" t="s">
        <v>892</v>
      </c>
      <c r="J35" s="13" t="s">
        <v>508</v>
      </c>
      <c r="K35" s="41" t="s">
        <v>83</v>
      </c>
    </row>
    <row r="36" customFormat="false" ht="15" hidden="false" customHeight="false" outlineLevel="0" collapsed="false">
      <c r="A36" s="93" t="s">
        <v>621</v>
      </c>
      <c r="B36" s="90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1" t="n">
        <f aca="false">'I_HouseWeb(10件)'!F14</f>
        <v>200.79</v>
      </c>
      <c r="E36" s="92" t="n">
        <f aca="false">'I_HouseWeb(10件)'!G14</f>
        <v>320000</v>
      </c>
      <c r="F36" s="92" t="n">
        <f aca="false">'I_HouseWeb(10件)'!G14</f>
        <v>320000</v>
      </c>
      <c r="G36" s="36" t="n">
        <f aca="false">IFERROR(E36/D36,"")</f>
        <v>1593.70486578017</v>
      </c>
      <c r="H36" s="37" t="n">
        <f aca="false">F36-400000</f>
        <v>-80000</v>
      </c>
      <c r="I36" s="33" t="s">
        <v>892</v>
      </c>
      <c r="J36" s="13" t="s">
        <v>401</v>
      </c>
      <c r="K36" s="41" t="s">
        <v>83</v>
      </c>
    </row>
    <row r="37" customFormat="false" ht="15" hidden="false" customHeight="false" outlineLevel="0" collapsed="false">
      <c r="A37" s="33" t="s">
        <v>286</v>
      </c>
      <c r="B37" s="90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1" t="n">
        <f aca="false">'B_傑森愛華清單(18件)'!D5</f>
        <v>201</v>
      </c>
      <c r="E37" s="92" t="n">
        <f aca="false">'B_傑森愛華清單(18件)'!G5</f>
        <v>401100</v>
      </c>
      <c r="F37" s="92" t="n">
        <f aca="false">'B_傑森愛華清單(18件)'!G5</f>
        <v>401100</v>
      </c>
      <c r="G37" s="36" t="n">
        <f aca="false">IFERROR(E37/D37,"")</f>
        <v>1995.5223880597</v>
      </c>
      <c r="H37" s="37" t="n">
        <f aca="false">F37-400000</f>
        <v>1100</v>
      </c>
      <c r="I37" s="33" t="s">
        <v>894</v>
      </c>
      <c r="J37" s="14" t="s">
        <v>351</v>
      </c>
      <c r="K37" s="41" t="s">
        <v>83</v>
      </c>
    </row>
    <row r="38" customFormat="false" ht="15" hidden="false" customHeight="false" outlineLevel="0" collapsed="false">
      <c r="A38" s="33" t="s">
        <v>286</v>
      </c>
      <c r="B38" s="90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1" t="n">
        <f aca="false">'B_傑森愛華清單(18件)'!D6</f>
        <v>204</v>
      </c>
      <c r="E38" s="92" t="n">
        <f aca="false">'B_傑森愛華清單(18件)'!G6</f>
        <v>404985</v>
      </c>
      <c r="F38" s="92" t="n">
        <f aca="false">'B_傑森愛華清單(18件)'!G6</f>
        <v>404985</v>
      </c>
      <c r="G38" s="36" t="n">
        <f aca="false">IFERROR(E38/D38,"")</f>
        <v>1985.22058823529</v>
      </c>
      <c r="H38" s="37" t="n">
        <f aca="false">F38-400000</f>
        <v>4985</v>
      </c>
      <c r="I38" s="33" t="s">
        <v>894</v>
      </c>
      <c r="J38" s="14" t="s">
        <v>351</v>
      </c>
      <c r="K38" s="41" t="s">
        <v>83</v>
      </c>
    </row>
    <row r="39" customFormat="false" ht="15" hidden="false" customHeight="false" outlineLevel="0" collapsed="false">
      <c r="A39" s="33" t="s">
        <v>286</v>
      </c>
      <c r="B39" s="90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1" t="n">
        <f aca="false">'B_傑森愛華清單(18件)'!D7</f>
        <v>204</v>
      </c>
      <c r="E39" s="92" t="n">
        <f aca="false">'B_傑森愛華清單(18件)'!G7</f>
        <v>490245</v>
      </c>
      <c r="F39" s="92" t="n">
        <f aca="false">'B_傑森愛華清單(18件)'!G7</f>
        <v>490245</v>
      </c>
      <c r="G39" s="36" t="n">
        <f aca="false">IFERROR(E39/D39,"")</f>
        <v>2403.16176470588</v>
      </c>
      <c r="H39" s="37" t="n">
        <f aca="false">F39-400000</f>
        <v>90245</v>
      </c>
      <c r="I39" s="33" t="s">
        <v>894</v>
      </c>
      <c r="J39" s="14" t="s">
        <v>532</v>
      </c>
      <c r="K39" s="38" t="s">
        <v>529</v>
      </c>
    </row>
    <row r="40" customFormat="false" ht="15" hidden="false" customHeight="false" outlineLevel="0" collapsed="false">
      <c r="A40" s="33" t="s">
        <v>286</v>
      </c>
      <c r="B40" s="90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1" t="n">
        <f aca="false">'B_傑森愛華清單(18件)'!D8</f>
        <v>205</v>
      </c>
      <c r="E40" s="92" t="n">
        <f aca="false">'B_傑森愛華清單(18件)'!G8</f>
        <v>486465</v>
      </c>
      <c r="F40" s="92" t="n">
        <f aca="false">'B_傑森愛華清單(18件)'!G8</f>
        <v>486465</v>
      </c>
      <c r="G40" s="36" t="n">
        <f aca="false">IFERROR(E40/D40,"")</f>
        <v>2373</v>
      </c>
      <c r="H40" s="37" t="n">
        <f aca="false">F40-400000</f>
        <v>86465</v>
      </c>
      <c r="I40" s="33" t="s">
        <v>894</v>
      </c>
      <c r="J40" s="14" t="s">
        <v>340</v>
      </c>
      <c r="K40" s="41" t="s">
        <v>83</v>
      </c>
    </row>
    <row r="41" customFormat="false" ht="15" hidden="false" customHeight="false" outlineLevel="0" collapsed="false">
      <c r="A41" s="33" t="s">
        <v>286</v>
      </c>
      <c r="B41" s="90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1" t="n">
        <f aca="false">'B_傑森愛華清單(18件)'!D9</f>
        <v>205</v>
      </c>
      <c r="E41" s="92" t="n">
        <f aca="false">'B_傑森愛華清單(18件)'!G9</f>
        <v>486465</v>
      </c>
      <c r="F41" s="92" t="n">
        <f aca="false">'B_傑森愛華清單(18件)'!G9</f>
        <v>486465</v>
      </c>
      <c r="G41" s="36" t="n">
        <f aca="false">IFERROR(E41/D41,"")</f>
        <v>2373</v>
      </c>
      <c r="H41" s="37" t="n">
        <f aca="false">F41-400000</f>
        <v>86465</v>
      </c>
      <c r="I41" s="33" t="s">
        <v>894</v>
      </c>
      <c r="J41" s="14" t="s">
        <v>340</v>
      </c>
      <c r="K41" s="41" t="s">
        <v>83</v>
      </c>
    </row>
    <row r="42" customFormat="false" ht="15" hidden="false" customHeight="false" outlineLevel="0" collapsed="false">
      <c r="A42" s="33" t="s">
        <v>286</v>
      </c>
      <c r="B42" s="90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1" t="n">
        <f aca="false">'B_傑森愛華清單(18件)'!D10</f>
        <v>209</v>
      </c>
      <c r="E42" s="92" t="n">
        <f aca="false">'B_傑森愛華清單(18件)'!G10</f>
        <v>438900</v>
      </c>
      <c r="F42" s="92" t="n">
        <f aca="false">'B_傑森愛華清單(18件)'!G10</f>
        <v>438900</v>
      </c>
      <c r="G42" s="36" t="n">
        <f aca="false">IFERROR(E42/D42,"")</f>
        <v>2100</v>
      </c>
      <c r="H42" s="37" t="n">
        <f aca="false">F42-400000</f>
        <v>38900</v>
      </c>
      <c r="I42" s="33" t="s">
        <v>894</v>
      </c>
      <c r="J42" s="14" t="s">
        <v>340</v>
      </c>
      <c r="K42" s="41" t="s">
        <v>83</v>
      </c>
    </row>
    <row r="43" customFormat="false" ht="15" hidden="false" customHeight="false" outlineLevel="0" collapsed="false">
      <c r="A43" s="33" t="s">
        <v>286</v>
      </c>
      <c r="B43" s="90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1" t="n">
        <f aca="false">'B_傑森愛華清單(18件)'!D11</f>
        <v>210</v>
      </c>
      <c r="E43" s="92" t="n">
        <f aca="false">'B_傑森愛華清單(18件)'!G11</f>
        <v>367500</v>
      </c>
      <c r="F43" s="92" t="n">
        <f aca="false">'B_傑森愛華清單(18件)'!G11</f>
        <v>367500</v>
      </c>
      <c r="G43" s="36" t="n">
        <f aca="false">IFERROR(E43/D43,"")</f>
        <v>1750</v>
      </c>
      <c r="H43" s="37" t="n">
        <f aca="false">F43-400000</f>
        <v>-32500</v>
      </c>
      <c r="I43" s="33" t="s">
        <v>894</v>
      </c>
      <c r="J43" s="14" t="s">
        <v>332</v>
      </c>
      <c r="K43" s="38" t="s">
        <v>330</v>
      </c>
    </row>
    <row r="44" customFormat="false" ht="15" hidden="false" customHeight="false" outlineLevel="0" collapsed="false">
      <c r="A44" s="33" t="s">
        <v>286</v>
      </c>
      <c r="B44" s="90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1" t="n">
        <f aca="false">'B_傑森愛華清單(18件)'!D12</f>
        <v>210</v>
      </c>
      <c r="E44" s="92" t="n">
        <f aca="false">'B_傑森愛華清單(18件)'!G12</f>
        <v>507150</v>
      </c>
      <c r="F44" s="92" t="n">
        <f aca="false">'B_傑森愛華清單(18件)'!G12</f>
        <v>507150</v>
      </c>
      <c r="G44" s="36" t="n">
        <f aca="false">IFERROR(E44/D44,"")</f>
        <v>2415</v>
      </c>
      <c r="H44" s="37" t="n">
        <f aca="false">F44-400000</f>
        <v>107150</v>
      </c>
      <c r="I44" s="33" t="s">
        <v>894</v>
      </c>
      <c r="J44" s="14" t="s">
        <v>321</v>
      </c>
      <c r="K44" s="41" t="s">
        <v>83</v>
      </c>
    </row>
    <row r="45" customFormat="false" ht="15" hidden="false" customHeight="false" outlineLevel="0" collapsed="false">
      <c r="A45" s="33" t="s">
        <v>286</v>
      </c>
      <c r="B45" s="90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1" t="n">
        <f aca="false">'B_傑森愛華清單(18件)'!D13</f>
        <v>211</v>
      </c>
      <c r="E45" s="92" t="n">
        <f aca="false">'B_傑森愛華清單(18件)'!G13</f>
        <v>436800</v>
      </c>
      <c r="F45" s="92" t="n">
        <f aca="false">'B_傑森愛華清單(18件)'!G13</f>
        <v>436800</v>
      </c>
      <c r="G45" s="36" t="n">
        <f aca="false">IFERROR(E45/D45,"")</f>
        <v>2070.14218009479</v>
      </c>
      <c r="H45" s="37" t="n">
        <f aca="false">F45-400000</f>
        <v>36800</v>
      </c>
      <c r="I45" s="33" t="s">
        <v>894</v>
      </c>
      <c r="J45" s="14" t="s">
        <v>321</v>
      </c>
      <c r="K45" s="41" t="s">
        <v>83</v>
      </c>
    </row>
    <row r="46" customFormat="false" ht="15" hidden="false" customHeight="false" outlineLevel="0" collapsed="false">
      <c r="A46" s="33" t="s">
        <v>286</v>
      </c>
      <c r="B46" s="90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1" t="n">
        <f aca="false">'B_傑森愛華清單(18件)'!D14</f>
        <v>214</v>
      </c>
      <c r="E46" s="92" t="n">
        <f aca="false">'B_傑森愛華清單(18件)'!G14</f>
        <v>494340</v>
      </c>
      <c r="F46" s="92" t="n">
        <f aca="false">'B_傑森愛華清單(18件)'!G14</f>
        <v>494340</v>
      </c>
      <c r="G46" s="36" t="n">
        <f aca="false">IFERROR(E46/D46,"")</f>
        <v>2310</v>
      </c>
      <c r="H46" s="37" t="n">
        <f aca="false">F46-400000</f>
        <v>94340</v>
      </c>
      <c r="I46" s="33" t="s">
        <v>894</v>
      </c>
      <c r="J46" s="14" t="s">
        <v>499</v>
      </c>
      <c r="K46" s="38" t="s">
        <v>269</v>
      </c>
    </row>
    <row r="47" customFormat="false" ht="15" hidden="false" customHeight="false" outlineLevel="0" collapsed="false">
      <c r="A47" s="33" t="s">
        <v>286</v>
      </c>
      <c r="B47" s="90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1" t="n">
        <f aca="false">'B_傑森愛華清單(18件)'!D15</f>
        <v>220</v>
      </c>
      <c r="E47" s="92" t="n">
        <f aca="false">'B_傑森愛華清單(18件)'!G15</f>
        <v>369600</v>
      </c>
      <c r="F47" s="92" t="n">
        <f aca="false">'B_傑森愛華清單(18件)'!G15</f>
        <v>369600</v>
      </c>
      <c r="G47" s="36" t="n">
        <f aca="false">IFERROR(E47/D47,"")</f>
        <v>1680</v>
      </c>
      <c r="H47" s="37" t="n">
        <f aca="false">F47-400000</f>
        <v>-30400</v>
      </c>
      <c r="I47" s="33" t="s">
        <v>894</v>
      </c>
      <c r="J47" s="14" t="s">
        <v>309</v>
      </c>
      <c r="K47" s="41" t="s">
        <v>83</v>
      </c>
    </row>
    <row r="48" customFormat="false" ht="15" hidden="false" customHeight="false" outlineLevel="0" collapsed="false">
      <c r="A48" s="33" t="s">
        <v>286</v>
      </c>
      <c r="B48" s="90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1" t="n">
        <f aca="false">'B_傑森愛華清單(18件)'!D16</f>
        <v>222</v>
      </c>
      <c r="E48" s="92" t="n">
        <f aca="false">'B_傑森愛華清單(18件)'!G16</f>
        <v>420000</v>
      </c>
      <c r="F48" s="92" t="n">
        <f aca="false">'B_傑森愛華清單(18件)'!G16</f>
        <v>420000</v>
      </c>
      <c r="G48" s="36" t="n">
        <f aca="false">IFERROR(E48/D48,"")</f>
        <v>1891.89189189189</v>
      </c>
      <c r="H48" s="37" t="n">
        <f aca="false">F48-400000</f>
        <v>20000</v>
      </c>
      <c r="I48" s="33" t="s">
        <v>894</v>
      </c>
      <c r="J48" s="14" t="s">
        <v>302</v>
      </c>
      <c r="K48" s="38" t="s">
        <v>276</v>
      </c>
    </row>
    <row r="49" customFormat="false" ht="15" hidden="false" customHeight="false" outlineLevel="0" collapsed="false">
      <c r="A49" s="33" t="s">
        <v>286</v>
      </c>
      <c r="B49" s="90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1" t="n">
        <f aca="false">'B_傑森愛華清單(18件)'!D17</f>
        <v>225</v>
      </c>
      <c r="E49" s="92" t="n">
        <f aca="false">'B_傑森愛華清單(18件)'!G17</f>
        <v>472500</v>
      </c>
      <c r="F49" s="92" t="n">
        <f aca="false">'B_傑森愛華清單(18件)'!G17</f>
        <v>472500</v>
      </c>
      <c r="G49" s="36" t="n">
        <f aca="false">IFERROR(E49/D49,"")</f>
        <v>2100</v>
      </c>
      <c r="H49" s="37" t="n">
        <f aca="false">F49-400000</f>
        <v>72500</v>
      </c>
      <c r="I49" s="33" t="s">
        <v>894</v>
      </c>
      <c r="J49" s="14" t="s">
        <v>289</v>
      </c>
      <c r="K49" s="41" t="s">
        <v>83</v>
      </c>
    </row>
    <row r="50" customFormat="false" ht="15" hidden="false" customHeight="false" outlineLevel="0" collapsed="false">
      <c r="A50" s="33" t="s">
        <v>286</v>
      </c>
      <c r="B50" s="90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1" t="n">
        <f aca="false">'B_傑森愛華清單(18件)'!D18</f>
        <v>226</v>
      </c>
      <c r="E50" s="92" t="n">
        <f aca="false">'B_傑森愛華清單(18件)'!G18</f>
        <v>522375</v>
      </c>
      <c r="F50" s="92" t="n">
        <f aca="false">'B_傑森愛華清單(18件)'!G18</f>
        <v>522375</v>
      </c>
      <c r="G50" s="36" t="n">
        <f aca="false">IFERROR(E50/D50,"")</f>
        <v>2311.39380530973</v>
      </c>
      <c r="H50" s="37" t="n">
        <f aca="false">F50-400000</f>
        <v>122375</v>
      </c>
      <c r="I50" s="33" t="s">
        <v>894</v>
      </c>
      <c r="J50" s="14" t="s">
        <v>289</v>
      </c>
      <c r="K50" s="41" t="s">
        <v>83</v>
      </c>
    </row>
    <row r="51" customFormat="false" ht="15" hidden="false" customHeight="false" outlineLevel="0" collapsed="false">
      <c r="A51" s="33" t="s">
        <v>286</v>
      </c>
      <c r="B51" s="90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1" t="n">
        <f aca="false">'B_傑森愛華清單(18件)'!D19</f>
        <v>230</v>
      </c>
      <c r="E51" s="92" t="n">
        <f aca="false">'B_傑森愛華清單(18件)'!G19</f>
        <v>478170</v>
      </c>
      <c r="F51" s="92" t="n">
        <f aca="false">'B_傑森愛華清單(18件)'!G19</f>
        <v>478170</v>
      </c>
      <c r="G51" s="36" t="n">
        <f aca="false">IFERROR(E51/D51,"")</f>
        <v>2079</v>
      </c>
      <c r="H51" s="37" t="n">
        <f aca="false">F51-400000</f>
        <v>78170</v>
      </c>
      <c r="I51" s="33" t="s">
        <v>894</v>
      </c>
      <c r="J51" s="14" t="s">
        <v>480</v>
      </c>
      <c r="K51" s="38" t="s">
        <v>276</v>
      </c>
    </row>
    <row r="52" customFormat="false" ht="15" hidden="false" customHeight="false" outlineLevel="0" collapsed="false">
      <c r="A52" s="33" t="s">
        <v>286</v>
      </c>
      <c r="B52" s="90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1" t="n">
        <f aca="false">'B_傑森愛華清單(18件)'!D20</f>
        <v>200</v>
      </c>
      <c r="E52" s="92" t="n">
        <f aca="false">'B_傑森愛華清單(18件)'!G20</f>
        <v>308700</v>
      </c>
      <c r="F52" s="92" t="n">
        <f aca="false">'B_傑森愛華清單(18件)'!G20</f>
        <v>308700</v>
      </c>
      <c r="G52" s="36" t="n">
        <f aca="false">IFERROR(E52/D52,"")</f>
        <v>1543.5</v>
      </c>
      <c r="H52" s="37" t="n">
        <f aca="false">F52-400000</f>
        <v>-91300</v>
      </c>
      <c r="I52" s="33" t="s">
        <v>894</v>
      </c>
      <c r="J52" s="14" t="s">
        <v>389</v>
      </c>
      <c r="K52" s="38" t="s">
        <v>387</v>
      </c>
    </row>
    <row r="53" customFormat="false" ht="15" hidden="false" customHeight="false" outlineLevel="0" collapsed="false">
      <c r="A53" s="94" t="s">
        <v>895</v>
      </c>
      <c r="B53" s="90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1" t="n">
        <f aca="false">'B_傑森愛華清單(18件)'!D21</f>
        <v>257</v>
      </c>
      <c r="E53" s="92" t="n">
        <f aca="false">'B_傑森愛華清單(18件)'!G21</f>
        <v>588000</v>
      </c>
      <c r="F53" s="92" t="n">
        <f aca="false">'B_傑森愛華清單(18件)'!G21</f>
        <v>588000</v>
      </c>
      <c r="G53" s="36" t="n">
        <f aca="false">IFERROR(E53/D53,"")</f>
        <v>2287.93774319066</v>
      </c>
      <c r="H53" s="37" t="n">
        <f aca="false">F53-400000</f>
        <v>188000</v>
      </c>
      <c r="I53" s="33" t="s">
        <v>894</v>
      </c>
      <c r="J53" s="14" t="s">
        <v>470</v>
      </c>
      <c r="K53" s="41" t="s">
        <v>83</v>
      </c>
    </row>
    <row r="54" customFormat="false" ht="15" hidden="false" customHeight="false" outlineLevel="0" collapsed="false">
      <c r="A54" s="33" t="s">
        <v>286</v>
      </c>
      <c r="B54" s="90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1" t="n">
        <f aca="false">'B_傑森愛華清單(18件)'!D22</f>
        <v>276</v>
      </c>
      <c r="E54" s="92" t="n">
        <f aca="false">'B_傑森愛華清單(18件)'!G22</f>
        <v>504000</v>
      </c>
      <c r="F54" s="92" t="n">
        <f aca="false">'B_傑森愛華清單(18件)'!G22</f>
        <v>504000</v>
      </c>
      <c r="G54" s="36" t="n">
        <f aca="false">IFERROR(E54/D54,"")</f>
        <v>1826.08695652174</v>
      </c>
      <c r="H54" s="37" t="n">
        <f aca="false">F54-400000</f>
        <v>104000</v>
      </c>
      <c r="I54" s="33" t="s">
        <v>894</v>
      </c>
      <c r="J54" s="14" t="s">
        <v>460</v>
      </c>
      <c r="K54" s="41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.com.tw/rent/houseno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國際站 本戶·14張照片（備用：www.sinyi.com.tw/rent/houseno/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.com.tw/rent/houseno/CZ05326"/>
    <hyperlink ref="J16" r:id="rId24" display="信義 本戶·21張照片（CZ05326）"/>
    <hyperlink ref="C17" r:id="rId25" display="https://www.sinyi.com.tw/rent/houseno/C328671"/>
    <hyperlink ref="J17" r:id="rId26" display="信義 本戶·19張照片（C328671）"/>
    <hyperlink ref="C18" r:id="rId27" display="https://www.sinyi.com.tw/rent/houseno/C905199"/>
    <hyperlink ref="J18" r:id="rId28" display="信義 本戶·16張照片（C905199）"/>
    <hyperlink ref="C19" r:id="rId29" display="https://www.sinyi.com.tw/rent/houseno/CZ05587"/>
    <hyperlink ref="J19" r:id="rId30" display="信義 本戶·9張照片（CZ05587）"/>
    <hyperlink ref="C20" r:id="rId31" display="https://www.sinyi.com.tw/rent/houseno/CZ03701"/>
    <hyperlink ref="J20" r:id="rId32" display="信義 本戶·12張照片（CZ03701）"/>
    <hyperlink ref="C21" r:id="rId33" display="https://www.sinyi.com.tw/rent/houseno/C346398"/>
    <hyperlink ref="J21" r:id="rId34" display="信義 本戶·12張照片（C346398）"/>
    <hyperlink ref="C22" r:id="rId35" display="https://www.sinyi.com.tw/rent/houseno/CZ05585"/>
    <hyperlink ref="J22" r:id="rId36" display="信義 本戶（CZ05585）"/>
    <hyperlink ref="C23" r:id="rId37" display="https://www.sinyi.com.tw/rent/houseno/C904707"/>
    <hyperlink ref="J23" r:id="rId38" display="信義 本戶（C904707）"/>
    <hyperlink ref="C24" r:id="rId39" display="https://www.sinyi.com.tw/rent/houseno/C360646"/>
    <hyperlink ref="J24" r:id="rId40" display="信義 本戶（C360646）"/>
    <hyperlink ref="C25" r:id="rId41" display="https://www.sinyi.com.tw/rent/houseno/C348029"/>
    <hyperlink ref="J25" r:id="rId42" display="信義 本戶·5張照片（C348029）"/>
    <hyperlink ref="C26" r:id="rId43" display="https://www.sinyi.com.tw/rent/houseno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896</v>
      </c>
    </row>
    <row r="2" customFormat="false" ht="15" hidden="false" customHeight="false" outlineLevel="0" collapsed="false">
      <c r="A2" s="2" t="s">
        <v>897</v>
      </c>
    </row>
    <row r="4" customFormat="false" ht="15" hidden="false" customHeight="false" outlineLevel="0" collapsed="false">
      <c r="A4" s="95" t="s">
        <v>2</v>
      </c>
      <c r="B4" s="95" t="s">
        <v>3</v>
      </c>
      <c r="C4" s="95" t="s">
        <v>864</v>
      </c>
      <c r="D4" s="95" t="s">
        <v>898</v>
      </c>
      <c r="E4" s="95" t="s">
        <v>899</v>
      </c>
      <c r="F4" s="95" t="s">
        <v>900</v>
      </c>
      <c r="G4" s="95" t="s">
        <v>264</v>
      </c>
    </row>
    <row r="5" customFormat="false" ht="30" hidden="false" customHeight="true" outlineLevel="0" collapsed="false">
      <c r="A5" s="64" t="s">
        <v>25</v>
      </c>
      <c r="B5" s="71" t="s">
        <v>901</v>
      </c>
      <c r="C5" s="13" t="s">
        <v>902</v>
      </c>
      <c r="D5" s="64" t="s">
        <v>638</v>
      </c>
      <c r="E5" s="63" t="s">
        <v>903</v>
      </c>
      <c r="F5" s="64" t="s">
        <v>904</v>
      </c>
      <c r="G5" s="38" t="s">
        <v>269</v>
      </c>
    </row>
    <row r="6" customFormat="false" ht="30" hidden="false" customHeight="true" outlineLevel="0" collapsed="false">
      <c r="A6" s="64" t="s">
        <v>25</v>
      </c>
      <c r="B6" s="71" t="s">
        <v>901</v>
      </c>
      <c r="C6" s="13" t="s">
        <v>905</v>
      </c>
      <c r="D6" s="63" t="s">
        <v>598</v>
      </c>
      <c r="E6" s="63" t="s">
        <v>906</v>
      </c>
      <c r="F6" s="64" t="s">
        <v>907</v>
      </c>
      <c r="G6" s="38" t="s">
        <v>269</v>
      </c>
    </row>
    <row r="7" customFormat="false" ht="30" hidden="false" customHeight="true" outlineLevel="0" collapsed="false">
      <c r="A7" s="64" t="s">
        <v>25</v>
      </c>
      <c r="B7" s="71" t="s">
        <v>901</v>
      </c>
      <c r="C7" s="13" t="s">
        <v>908</v>
      </c>
      <c r="D7" s="63" t="s">
        <v>598</v>
      </c>
      <c r="E7" s="63" t="s">
        <v>909</v>
      </c>
      <c r="F7" s="64" t="s">
        <v>910</v>
      </c>
      <c r="G7" s="38" t="s">
        <v>269</v>
      </c>
    </row>
    <row r="8" customFormat="false" ht="30" hidden="false" customHeight="true" outlineLevel="0" collapsed="false">
      <c r="A8" s="64" t="s">
        <v>25</v>
      </c>
      <c r="B8" s="71" t="s">
        <v>901</v>
      </c>
      <c r="C8" s="13" t="s">
        <v>911</v>
      </c>
      <c r="D8" s="63" t="s">
        <v>912</v>
      </c>
      <c r="E8" s="63" t="s">
        <v>909</v>
      </c>
      <c r="F8" s="64" t="s">
        <v>913</v>
      </c>
      <c r="G8" s="38" t="s">
        <v>269</v>
      </c>
    </row>
    <row r="9" customFormat="false" ht="30" hidden="false" customHeight="true" outlineLevel="0" collapsed="false">
      <c r="A9" s="64" t="s">
        <v>38</v>
      </c>
      <c r="B9" s="71" t="s">
        <v>914</v>
      </c>
      <c r="C9" s="13" t="s">
        <v>915</v>
      </c>
      <c r="D9" s="63" t="s">
        <v>916</v>
      </c>
      <c r="E9" s="63" t="s">
        <v>909</v>
      </c>
      <c r="F9" s="64" t="s">
        <v>917</v>
      </c>
      <c r="G9" s="38" t="s">
        <v>276</v>
      </c>
    </row>
    <row r="10" customFormat="false" ht="30" hidden="false" customHeight="true" outlineLevel="0" collapsed="false">
      <c r="A10" s="64" t="s">
        <v>38</v>
      </c>
      <c r="B10" s="71" t="s">
        <v>914</v>
      </c>
      <c r="C10" s="13" t="s">
        <v>918</v>
      </c>
      <c r="D10" s="63" t="s">
        <v>912</v>
      </c>
      <c r="E10" s="63" t="s">
        <v>909</v>
      </c>
      <c r="F10" s="63" t="s">
        <v>919</v>
      </c>
      <c r="G10" s="38" t="s">
        <v>276</v>
      </c>
    </row>
    <row r="11" customFormat="false" ht="30" hidden="false" customHeight="true" outlineLevel="0" collapsed="false">
      <c r="A11" s="64" t="s">
        <v>38</v>
      </c>
      <c r="B11" s="71" t="s">
        <v>914</v>
      </c>
      <c r="C11" s="13" t="s">
        <v>920</v>
      </c>
      <c r="D11" s="63" t="s">
        <v>598</v>
      </c>
      <c r="E11" s="63" t="s">
        <v>909</v>
      </c>
      <c r="F11" s="64" t="s">
        <v>921</v>
      </c>
      <c r="G11" s="38" t="s">
        <v>276</v>
      </c>
    </row>
    <row r="12" customFormat="false" ht="30" hidden="false" customHeight="true" outlineLevel="0" collapsed="false">
      <c r="A12" s="64" t="s">
        <v>38</v>
      </c>
      <c r="B12" s="71" t="s">
        <v>922</v>
      </c>
      <c r="C12" s="13" t="s">
        <v>923</v>
      </c>
      <c r="D12" s="63" t="s">
        <v>924</v>
      </c>
      <c r="E12" s="63" t="s">
        <v>925</v>
      </c>
      <c r="F12" s="64" t="s">
        <v>926</v>
      </c>
      <c r="G12" s="38" t="s">
        <v>276</v>
      </c>
    </row>
    <row r="13" customFormat="false" ht="30" hidden="false" customHeight="true" outlineLevel="0" collapsed="false">
      <c r="A13" s="64" t="s">
        <v>49</v>
      </c>
      <c r="B13" s="71" t="s">
        <v>927</v>
      </c>
      <c r="C13" s="13" t="s">
        <v>928</v>
      </c>
      <c r="D13" s="63" t="s">
        <v>916</v>
      </c>
      <c r="E13" s="63" t="s">
        <v>909</v>
      </c>
      <c r="F13" s="64" t="s">
        <v>929</v>
      </c>
      <c r="G13" s="38" t="s">
        <v>450</v>
      </c>
    </row>
    <row r="14" customFormat="false" ht="30" hidden="false" customHeight="true" outlineLevel="0" collapsed="false">
      <c r="A14" s="64" t="s">
        <v>49</v>
      </c>
      <c r="B14" s="71" t="s">
        <v>927</v>
      </c>
      <c r="C14" s="13" t="s">
        <v>930</v>
      </c>
      <c r="D14" s="63" t="s">
        <v>598</v>
      </c>
      <c r="E14" s="63" t="s">
        <v>909</v>
      </c>
      <c r="F14" s="64" t="s">
        <v>931</v>
      </c>
      <c r="G14" s="38" t="s">
        <v>450</v>
      </c>
    </row>
    <row r="15" customFormat="false" ht="30" hidden="false" customHeight="true" outlineLevel="0" collapsed="false">
      <c r="A15" s="64" t="s">
        <v>49</v>
      </c>
      <c r="B15" s="71" t="s">
        <v>927</v>
      </c>
      <c r="C15" s="13" t="s">
        <v>932</v>
      </c>
      <c r="D15" s="63" t="s">
        <v>933</v>
      </c>
      <c r="E15" s="63" t="s">
        <v>909</v>
      </c>
      <c r="F15" s="63" t="s">
        <v>934</v>
      </c>
      <c r="G15" s="38" t="s">
        <v>450</v>
      </c>
    </row>
    <row r="16" customFormat="false" ht="30" hidden="false" customHeight="true" outlineLevel="0" collapsed="false">
      <c r="A16" s="64" t="s">
        <v>58</v>
      </c>
      <c r="B16" s="71" t="s">
        <v>935</v>
      </c>
      <c r="C16" s="13" t="s">
        <v>936</v>
      </c>
      <c r="D16" s="64" t="s">
        <v>638</v>
      </c>
      <c r="E16" s="63" t="s">
        <v>937</v>
      </c>
      <c r="F16" s="64" t="s">
        <v>938</v>
      </c>
      <c r="G16" s="38" t="s">
        <v>490</v>
      </c>
    </row>
    <row r="17" customFormat="false" ht="30" hidden="false" customHeight="true" outlineLevel="0" collapsed="false">
      <c r="A17" s="64" t="s">
        <v>58</v>
      </c>
      <c r="B17" s="71" t="s">
        <v>935</v>
      </c>
      <c r="C17" s="13" t="s">
        <v>939</v>
      </c>
      <c r="D17" s="63" t="s">
        <v>912</v>
      </c>
      <c r="E17" s="63" t="s">
        <v>909</v>
      </c>
      <c r="F17" s="63" t="s">
        <v>940</v>
      </c>
      <c r="G17" s="38" t="s">
        <v>490</v>
      </c>
    </row>
    <row r="18" customFormat="false" ht="30" hidden="false" customHeight="true" outlineLevel="0" collapsed="false">
      <c r="A18" s="64" t="s">
        <v>58</v>
      </c>
      <c r="B18" s="71" t="s">
        <v>935</v>
      </c>
      <c r="C18" s="13" t="s">
        <v>941</v>
      </c>
      <c r="D18" s="63" t="s">
        <v>942</v>
      </c>
      <c r="E18" s="63" t="s">
        <v>909</v>
      </c>
      <c r="F18" s="64" t="s">
        <v>943</v>
      </c>
      <c r="G18" s="38" t="s">
        <v>490</v>
      </c>
    </row>
    <row r="19" customFormat="false" ht="30" hidden="false" customHeight="true" outlineLevel="0" collapsed="false">
      <c r="A19" s="64" t="s">
        <v>69</v>
      </c>
      <c r="B19" s="71" t="s">
        <v>944</v>
      </c>
      <c r="C19" s="13" t="s">
        <v>945</v>
      </c>
      <c r="D19" s="63" t="s">
        <v>598</v>
      </c>
      <c r="E19" s="63" t="s">
        <v>909</v>
      </c>
      <c r="F19" s="64" t="s">
        <v>946</v>
      </c>
      <c r="G19" s="38" t="s">
        <v>450</v>
      </c>
    </row>
    <row r="20" customFormat="false" ht="30" hidden="false" customHeight="true" outlineLevel="0" collapsed="false">
      <c r="A20" s="64" t="s">
        <v>69</v>
      </c>
      <c r="B20" s="63" t="s">
        <v>947</v>
      </c>
      <c r="C20" s="63" t="s">
        <v>948</v>
      </c>
      <c r="D20" s="64" t="s">
        <v>323</v>
      </c>
      <c r="E20" s="64" t="s">
        <v>323</v>
      </c>
      <c r="F20" s="63" t="s">
        <v>949</v>
      </c>
      <c r="G20" s="38" t="s">
        <v>450</v>
      </c>
    </row>
    <row r="21" customFormat="false" ht="30" hidden="false" customHeight="true" outlineLevel="0" collapsed="false">
      <c r="A21" s="64" t="s">
        <v>79</v>
      </c>
      <c r="B21" s="71" t="s">
        <v>950</v>
      </c>
      <c r="C21" s="13" t="s">
        <v>951</v>
      </c>
      <c r="D21" s="63" t="s">
        <v>952</v>
      </c>
      <c r="E21" s="63" t="s">
        <v>953</v>
      </c>
      <c r="F21" s="63" t="s">
        <v>954</v>
      </c>
      <c r="G21" s="38" t="s">
        <v>370</v>
      </c>
    </row>
    <row r="22" customFormat="false" ht="30" hidden="false" customHeight="true" outlineLevel="0" collapsed="false">
      <c r="A22" s="64" t="s">
        <v>79</v>
      </c>
      <c r="B22" s="71" t="s">
        <v>955</v>
      </c>
      <c r="C22" s="13" t="s">
        <v>956</v>
      </c>
      <c r="D22" s="63" t="s">
        <v>957</v>
      </c>
      <c r="E22" s="63" t="s">
        <v>909</v>
      </c>
      <c r="F22" s="64" t="s">
        <v>958</v>
      </c>
      <c r="G22" s="38" t="s">
        <v>370</v>
      </c>
    </row>
    <row r="23" customFormat="false" ht="30" hidden="false" customHeight="true" outlineLevel="0" collapsed="false">
      <c r="A23" s="64" t="s">
        <v>79</v>
      </c>
      <c r="B23" s="71" t="s">
        <v>955</v>
      </c>
      <c r="C23" s="13" t="s">
        <v>959</v>
      </c>
      <c r="D23" s="63" t="s">
        <v>912</v>
      </c>
      <c r="E23" s="63" t="s">
        <v>909</v>
      </c>
      <c r="F23" s="64" t="s">
        <v>960</v>
      </c>
      <c r="G23" s="38" t="s">
        <v>370</v>
      </c>
    </row>
    <row r="24" customFormat="false" ht="30" hidden="false" customHeight="true" outlineLevel="0" collapsed="false">
      <c r="A24" s="64" t="s">
        <v>79</v>
      </c>
      <c r="B24" s="71" t="s">
        <v>955</v>
      </c>
      <c r="C24" s="13" t="s">
        <v>961</v>
      </c>
      <c r="D24" s="64" t="s">
        <v>962</v>
      </c>
      <c r="E24" s="63" t="s">
        <v>963</v>
      </c>
      <c r="F24" s="64" t="s">
        <v>964</v>
      </c>
      <c r="G24" s="38" t="s">
        <v>370</v>
      </c>
    </row>
    <row r="25" customFormat="false" ht="30" hidden="false" customHeight="true" outlineLevel="0" collapsed="false">
      <c r="A25" s="64" t="s">
        <v>79</v>
      </c>
      <c r="B25" s="63" t="s">
        <v>965</v>
      </c>
      <c r="C25" s="63" t="s">
        <v>966</v>
      </c>
      <c r="D25" s="64" t="s">
        <v>323</v>
      </c>
      <c r="E25" s="64" t="s">
        <v>323</v>
      </c>
      <c r="F25" s="63" t="s">
        <v>967</v>
      </c>
      <c r="G25" s="38" t="s">
        <v>370</v>
      </c>
    </row>
    <row r="26" customFormat="false" ht="30" hidden="false" customHeight="true" outlineLevel="0" collapsed="false">
      <c r="A26" s="64" t="s">
        <v>88</v>
      </c>
      <c r="B26" s="71" t="s">
        <v>968</v>
      </c>
      <c r="C26" s="13" t="s">
        <v>969</v>
      </c>
      <c r="D26" s="63" t="s">
        <v>916</v>
      </c>
      <c r="E26" s="63" t="s">
        <v>909</v>
      </c>
      <c r="F26" s="64" t="s">
        <v>970</v>
      </c>
      <c r="G26" s="38" t="s">
        <v>342</v>
      </c>
    </row>
    <row r="27" customFormat="false" ht="30" hidden="false" customHeight="true" outlineLevel="0" collapsed="false">
      <c r="A27" s="64" t="s">
        <v>88</v>
      </c>
      <c r="B27" s="63" t="s">
        <v>971</v>
      </c>
      <c r="C27" s="63" t="s">
        <v>972</v>
      </c>
      <c r="D27" s="64" t="s">
        <v>323</v>
      </c>
      <c r="E27" s="64" t="s">
        <v>323</v>
      </c>
      <c r="F27" s="63" t="s">
        <v>973</v>
      </c>
      <c r="G27" s="38" t="s">
        <v>342</v>
      </c>
    </row>
    <row r="28" customFormat="false" ht="30" hidden="false" customHeight="true" outlineLevel="0" collapsed="false">
      <c r="A28" s="64" t="s">
        <v>88</v>
      </c>
      <c r="B28" s="71" t="s">
        <v>974</v>
      </c>
      <c r="C28" s="13" t="s">
        <v>975</v>
      </c>
      <c r="D28" s="63" t="s">
        <v>598</v>
      </c>
      <c r="E28" s="63" t="s">
        <v>976</v>
      </c>
      <c r="F28" s="64" t="s">
        <v>977</v>
      </c>
      <c r="G28" s="38" t="s">
        <v>342</v>
      </c>
    </row>
    <row r="29" customFormat="false" ht="30" hidden="false" customHeight="true" outlineLevel="0" collapsed="false">
      <c r="A29" s="64" t="s">
        <v>88</v>
      </c>
      <c r="B29" s="71" t="s">
        <v>974</v>
      </c>
      <c r="C29" s="13" t="s">
        <v>978</v>
      </c>
      <c r="D29" s="64" t="s">
        <v>979</v>
      </c>
      <c r="E29" s="63" t="s">
        <v>976</v>
      </c>
      <c r="F29" s="64" t="s">
        <v>980</v>
      </c>
      <c r="G29" s="38" t="s">
        <v>342</v>
      </c>
    </row>
    <row r="30" customFormat="false" ht="30" hidden="false" customHeight="true" outlineLevel="0" collapsed="false">
      <c r="A30" s="64" t="s">
        <v>88</v>
      </c>
      <c r="B30" s="71" t="s">
        <v>974</v>
      </c>
      <c r="C30" s="13" t="s">
        <v>981</v>
      </c>
      <c r="D30" s="64" t="s">
        <v>979</v>
      </c>
      <c r="E30" s="63" t="s">
        <v>976</v>
      </c>
      <c r="F30" s="64" t="s">
        <v>982</v>
      </c>
      <c r="G30" s="38" t="s">
        <v>342</v>
      </c>
    </row>
    <row r="31" customFormat="false" ht="30" hidden="false" customHeight="true" outlineLevel="0" collapsed="false">
      <c r="A31" s="64" t="s">
        <v>96</v>
      </c>
      <c r="B31" s="72" t="s">
        <v>97</v>
      </c>
      <c r="C31" s="13" t="s">
        <v>983</v>
      </c>
      <c r="D31" s="64" t="s">
        <v>638</v>
      </c>
      <c r="E31" s="63" t="s">
        <v>984</v>
      </c>
      <c r="F31" s="64" t="s">
        <v>985</v>
      </c>
      <c r="G31" s="41" t="s">
        <v>83</v>
      </c>
    </row>
    <row r="32" customFormat="false" ht="30" hidden="false" customHeight="true" outlineLevel="0" collapsed="false">
      <c r="A32" s="64" t="s">
        <v>96</v>
      </c>
      <c r="B32" s="72" t="s">
        <v>97</v>
      </c>
      <c r="C32" s="13" t="s">
        <v>880</v>
      </c>
      <c r="D32" s="64" t="s">
        <v>986</v>
      </c>
      <c r="E32" s="63" t="s">
        <v>987</v>
      </c>
      <c r="F32" s="63" t="s">
        <v>988</v>
      </c>
      <c r="G32" s="41" t="s">
        <v>83</v>
      </c>
    </row>
    <row r="33" customFormat="false" ht="30" hidden="false" customHeight="true" outlineLevel="0" collapsed="false">
      <c r="A33" s="64" t="s">
        <v>414</v>
      </c>
      <c r="B33" s="71" t="s">
        <v>989</v>
      </c>
      <c r="C33" s="13" t="s">
        <v>868</v>
      </c>
      <c r="D33" s="64" t="s">
        <v>986</v>
      </c>
      <c r="E33" s="63" t="s">
        <v>990</v>
      </c>
      <c r="F33" s="63" t="s">
        <v>991</v>
      </c>
      <c r="G33" s="41" t="s">
        <v>83</v>
      </c>
    </row>
    <row r="34" customFormat="false" ht="30" hidden="false" customHeight="true" outlineLevel="0" collapsed="false">
      <c r="A34" s="64" t="s">
        <v>424</v>
      </c>
      <c r="B34" s="71" t="s">
        <v>992</v>
      </c>
      <c r="C34" s="13" t="s">
        <v>877</v>
      </c>
      <c r="D34" s="64" t="s">
        <v>986</v>
      </c>
      <c r="E34" s="63" t="s">
        <v>990</v>
      </c>
      <c r="F34" s="63" t="s">
        <v>993</v>
      </c>
      <c r="G34" s="41" t="s">
        <v>83</v>
      </c>
    </row>
    <row r="35" customFormat="false" ht="30" hidden="false" customHeight="true" outlineLevel="0" collapsed="false">
      <c r="A35" s="64" t="s">
        <v>323</v>
      </c>
      <c r="B35" s="71" t="s">
        <v>994</v>
      </c>
      <c r="C35" s="13" t="s">
        <v>995</v>
      </c>
      <c r="D35" s="63" t="s">
        <v>996</v>
      </c>
      <c r="E35" s="63" t="s">
        <v>997</v>
      </c>
      <c r="F35" s="63" t="s">
        <v>998</v>
      </c>
      <c r="G35" s="38" t="s">
        <v>323</v>
      </c>
    </row>
    <row r="36" customFormat="false" ht="30" hidden="false" customHeight="true" outlineLevel="0" collapsed="false">
      <c r="A36" s="64" t="s">
        <v>38</v>
      </c>
      <c r="B36" s="71" t="s">
        <v>39</v>
      </c>
      <c r="C36" s="13" t="s">
        <v>999</v>
      </c>
      <c r="D36" s="63" t="s">
        <v>598</v>
      </c>
      <c r="E36" s="63" t="s">
        <v>1000</v>
      </c>
      <c r="F36" s="64" t="s">
        <v>1001</v>
      </c>
      <c r="G36" s="38" t="s">
        <v>276</v>
      </c>
    </row>
    <row r="37" customFormat="false" ht="30" hidden="false" customHeight="true" outlineLevel="0" collapsed="false">
      <c r="A37" s="64" t="s">
        <v>295</v>
      </c>
      <c r="B37" s="71" t="s">
        <v>1002</v>
      </c>
      <c r="C37" s="13" t="s">
        <v>1003</v>
      </c>
      <c r="D37" s="63" t="s">
        <v>598</v>
      </c>
      <c r="E37" s="63" t="s">
        <v>1000</v>
      </c>
      <c r="F37" s="63" t="s">
        <v>1004</v>
      </c>
      <c r="G37" s="38" t="s">
        <v>276</v>
      </c>
    </row>
    <row r="38" customFormat="false" ht="30" hidden="false" customHeight="true" outlineLevel="0" collapsed="false">
      <c r="A38" s="64" t="s">
        <v>125</v>
      </c>
      <c r="B38" s="71" t="s">
        <v>1005</v>
      </c>
      <c r="C38" s="13" t="s">
        <v>1006</v>
      </c>
      <c r="D38" s="63" t="s">
        <v>598</v>
      </c>
      <c r="E38" s="63" t="s">
        <v>1000</v>
      </c>
      <c r="F38" s="64" t="s">
        <v>1007</v>
      </c>
      <c r="G38" s="38" t="s">
        <v>361</v>
      </c>
    </row>
    <row r="39" customFormat="false" ht="30" hidden="false" customHeight="true" outlineLevel="0" collapsed="false">
      <c r="A39" s="64" t="s">
        <v>115</v>
      </c>
      <c r="B39" s="71" t="s">
        <v>116</v>
      </c>
      <c r="C39" s="13" t="s">
        <v>1008</v>
      </c>
      <c r="D39" s="63" t="s">
        <v>588</v>
      </c>
      <c r="E39" s="63" t="s">
        <v>984</v>
      </c>
      <c r="F39" s="63" t="s">
        <v>1009</v>
      </c>
      <c r="G39" s="38" t="s">
        <v>292</v>
      </c>
    </row>
    <row r="40" customFormat="false" ht="30" hidden="false" customHeight="true" outlineLevel="0" collapsed="false">
      <c r="A40" s="64" t="s">
        <v>125</v>
      </c>
      <c r="B40" s="71" t="s">
        <v>1010</v>
      </c>
      <c r="C40" s="13" t="s">
        <v>1011</v>
      </c>
      <c r="D40" s="63" t="s">
        <v>588</v>
      </c>
      <c r="E40" s="63" t="s">
        <v>984</v>
      </c>
      <c r="F40" s="63" t="s">
        <v>1012</v>
      </c>
      <c r="G40" s="38" t="s">
        <v>361</v>
      </c>
    </row>
    <row r="41" customFormat="false" ht="30" hidden="false" customHeight="true" outlineLevel="0" collapsed="false">
      <c r="A41" s="64" t="s">
        <v>105</v>
      </c>
      <c r="B41" s="71" t="s">
        <v>106</v>
      </c>
      <c r="C41" s="13" t="s">
        <v>1013</v>
      </c>
      <c r="D41" s="63" t="s">
        <v>1014</v>
      </c>
      <c r="E41" s="63" t="s">
        <v>984</v>
      </c>
      <c r="F41" s="63" t="s">
        <v>1015</v>
      </c>
      <c r="G41" s="38" t="s">
        <v>367</v>
      </c>
    </row>
    <row r="42" customFormat="false" ht="30" hidden="false" customHeight="true" outlineLevel="0" collapsed="false">
      <c r="A42" s="64" t="s">
        <v>105</v>
      </c>
      <c r="B42" s="71" t="s">
        <v>106</v>
      </c>
      <c r="C42" s="13" t="s">
        <v>1016</v>
      </c>
      <c r="D42" s="63" t="s">
        <v>1017</v>
      </c>
      <c r="E42" s="63" t="s">
        <v>1018</v>
      </c>
      <c r="F42" s="63" t="s">
        <v>1019</v>
      </c>
      <c r="G42" s="38" t="s">
        <v>367</v>
      </c>
    </row>
    <row r="43" customFormat="false" ht="30" hidden="false" customHeight="true" outlineLevel="0" collapsed="false">
      <c r="A43" s="64" t="s">
        <v>324</v>
      </c>
      <c r="B43" s="71" t="s">
        <v>793</v>
      </c>
      <c r="C43" s="13" t="s">
        <v>1020</v>
      </c>
      <c r="D43" s="63" t="s">
        <v>924</v>
      </c>
      <c r="E43" s="63" t="s">
        <v>925</v>
      </c>
      <c r="F43" s="64" t="s">
        <v>1021</v>
      </c>
      <c r="G43" s="38" t="s">
        <v>330</v>
      </c>
    </row>
    <row r="44" customFormat="false" ht="30" hidden="false" customHeight="true" outlineLevel="0" collapsed="false">
      <c r="A44" s="64" t="s">
        <v>1022</v>
      </c>
      <c r="B44" s="71" t="s">
        <v>1023</v>
      </c>
      <c r="C44" s="13" t="s">
        <v>1024</v>
      </c>
      <c r="D44" s="63" t="s">
        <v>1025</v>
      </c>
      <c r="E44" s="63" t="s">
        <v>1026</v>
      </c>
      <c r="F44" s="63" t="s">
        <v>1027</v>
      </c>
      <c r="G44" s="41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.com.tw/rent/houseno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.com.tw/rent/houseno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.com.tw/rent/houseno/CZ05572"/>
    <hyperlink ref="B37" r:id="rId59" display="中鼎大樓 2F ↗"/>
    <hyperlink ref="C37" r:id="rId60" display="https://www.sinyi.com.tw/rent/houseno/CZ05228"/>
    <hyperlink ref="B38" r:id="rId61" display="家美金融大樓 15F ↗"/>
    <hyperlink ref="C38" r:id="rId62" display="https://www.sinyi.com.tw/rent/houseno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.com.tw/rent/houseno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1028</v>
      </c>
    </row>
    <row r="2" customFormat="false" ht="15" hidden="false" customHeight="false" outlineLevel="0" collapsed="false">
      <c r="A2" s="2" t="s">
        <v>1029</v>
      </c>
    </row>
    <row r="4" customFormat="false" ht="15" hidden="false" customHeight="false" outlineLevel="0" collapsed="false">
      <c r="A4" s="68" t="s">
        <v>2</v>
      </c>
      <c r="B4" s="68" t="s">
        <v>3</v>
      </c>
      <c r="C4" s="68" t="s">
        <v>1030</v>
      </c>
      <c r="D4" s="68" t="s">
        <v>1031</v>
      </c>
      <c r="E4" s="68" t="s">
        <v>1032</v>
      </c>
      <c r="F4" s="68" t="s">
        <v>1033</v>
      </c>
      <c r="G4" s="68" t="s">
        <v>24</v>
      </c>
      <c r="H4" s="68" t="s">
        <v>264</v>
      </c>
    </row>
    <row r="5" customFormat="false" ht="31.5" hidden="false" customHeight="true" outlineLevel="0" collapsed="false">
      <c r="A5" s="63" t="s">
        <v>1034</v>
      </c>
      <c r="B5" s="64" t="s">
        <v>323</v>
      </c>
      <c r="C5" s="63" t="s">
        <v>1035</v>
      </c>
      <c r="D5" s="63" t="s">
        <v>1036</v>
      </c>
      <c r="E5" s="63" t="s">
        <v>1037</v>
      </c>
      <c r="F5" s="96" t="s">
        <v>1038</v>
      </c>
      <c r="G5" s="25" t="s">
        <v>323</v>
      </c>
      <c r="H5" s="38" t="s">
        <v>323</v>
      </c>
    </row>
    <row r="6" customFormat="false" ht="31.5" hidden="false" customHeight="true" outlineLevel="0" collapsed="false">
      <c r="A6" s="63" t="s">
        <v>1034</v>
      </c>
      <c r="B6" s="64" t="s">
        <v>323</v>
      </c>
      <c r="C6" s="63" t="s">
        <v>1039</v>
      </c>
      <c r="D6" s="63" t="s">
        <v>1040</v>
      </c>
      <c r="E6" s="63" t="s">
        <v>1037</v>
      </c>
      <c r="F6" s="96" t="s">
        <v>1038</v>
      </c>
      <c r="G6" s="25" t="s">
        <v>323</v>
      </c>
      <c r="H6" s="38" t="s">
        <v>323</v>
      </c>
    </row>
    <row r="7" customFormat="false" ht="31.5" hidden="false" customHeight="true" outlineLevel="0" collapsed="false">
      <c r="A7" s="63" t="s">
        <v>1034</v>
      </c>
      <c r="B7" s="64" t="s">
        <v>323</v>
      </c>
      <c r="C7" s="63" t="s">
        <v>1041</v>
      </c>
      <c r="D7" s="63" t="s">
        <v>1042</v>
      </c>
      <c r="E7" s="63" t="s">
        <v>1037</v>
      </c>
      <c r="F7" s="63" t="s">
        <v>1043</v>
      </c>
      <c r="G7" s="25" t="s">
        <v>323</v>
      </c>
      <c r="H7" s="38" t="s">
        <v>323</v>
      </c>
    </row>
    <row r="8" customFormat="false" ht="31.5" hidden="false" customHeight="true" outlineLevel="0" collapsed="false">
      <c r="A8" s="64" t="s">
        <v>25</v>
      </c>
      <c r="B8" s="71" t="s">
        <v>26</v>
      </c>
      <c r="C8" s="63" t="s">
        <v>1044</v>
      </c>
      <c r="D8" s="63" t="s">
        <v>1045</v>
      </c>
      <c r="E8" s="63" t="s">
        <v>1046</v>
      </c>
      <c r="F8" s="96" t="s">
        <v>1038</v>
      </c>
      <c r="G8" s="13" t="s">
        <v>37</v>
      </c>
      <c r="H8" s="38" t="s">
        <v>269</v>
      </c>
    </row>
    <row r="9" customFormat="false" ht="31.5" hidden="false" customHeight="true" outlineLevel="0" collapsed="false">
      <c r="A9" s="64" t="s">
        <v>38</v>
      </c>
      <c r="B9" s="71" t="s">
        <v>39</v>
      </c>
      <c r="C9" s="63" t="s">
        <v>1047</v>
      </c>
      <c r="D9" s="63" t="s">
        <v>1048</v>
      </c>
      <c r="E9" s="63" t="s">
        <v>1049</v>
      </c>
      <c r="F9" s="96" t="s">
        <v>1038</v>
      </c>
      <c r="G9" s="14" t="s">
        <v>48</v>
      </c>
      <c r="H9" s="38" t="s">
        <v>276</v>
      </c>
    </row>
    <row r="10" customFormat="false" ht="31.5" hidden="false" customHeight="true" outlineLevel="0" collapsed="false">
      <c r="A10" s="64" t="s">
        <v>38</v>
      </c>
      <c r="B10" s="71" t="s">
        <v>39</v>
      </c>
      <c r="C10" s="63" t="s">
        <v>1050</v>
      </c>
      <c r="D10" s="63" t="s">
        <v>1051</v>
      </c>
      <c r="E10" s="63" t="s">
        <v>1049</v>
      </c>
      <c r="F10" s="63" t="s">
        <v>1043</v>
      </c>
      <c r="G10" s="14" t="s">
        <v>48</v>
      </c>
      <c r="H10" s="38" t="s">
        <v>276</v>
      </c>
    </row>
    <row r="11" customFormat="false" ht="31.5" hidden="false" customHeight="true" outlineLevel="0" collapsed="false">
      <c r="A11" s="64" t="s">
        <v>58</v>
      </c>
      <c r="B11" s="71" t="s">
        <v>59</v>
      </c>
      <c r="C11" s="63" t="s">
        <v>1052</v>
      </c>
      <c r="D11" s="63" t="s">
        <v>1053</v>
      </c>
      <c r="E11" s="63" t="s">
        <v>1054</v>
      </c>
      <c r="F11" s="96" t="s">
        <v>1038</v>
      </c>
      <c r="G11" s="13" t="s">
        <v>68</v>
      </c>
      <c r="H11" s="38" t="s">
        <v>490</v>
      </c>
    </row>
    <row r="12" customFormat="false" ht="31.5" hidden="false" customHeight="true" outlineLevel="0" collapsed="false">
      <c r="A12" s="64" t="s">
        <v>58</v>
      </c>
      <c r="B12" s="71" t="s">
        <v>59</v>
      </c>
      <c r="C12" s="63" t="s">
        <v>1055</v>
      </c>
      <c r="D12" s="63" t="s">
        <v>1056</v>
      </c>
      <c r="E12" s="63" t="s">
        <v>1054</v>
      </c>
      <c r="F12" s="96" t="s">
        <v>1038</v>
      </c>
      <c r="G12" s="13" t="s">
        <v>68</v>
      </c>
      <c r="H12" s="38" t="s">
        <v>490</v>
      </c>
    </row>
    <row r="13" customFormat="false" ht="31.5" hidden="false" customHeight="true" outlineLevel="0" collapsed="false">
      <c r="A13" s="64" t="s">
        <v>69</v>
      </c>
      <c r="B13" s="71" t="s">
        <v>70</v>
      </c>
      <c r="C13" s="63" t="s">
        <v>1057</v>
      </c>
      <c r="D13" s="63" t="s">
        <v>1058</v>
      </c>
      <c r="E13" s="63" t="s">
        <v>1059</v>
      </c>
      <c r="F13" s="96" t="s">
        <v>1038</v>
      </c>
      <c r="G13" s="14" t="s">
        <v>78</v>
      </c>
      <c r="H13" s="38" t="s">
        <v>450</v>
      </c>
    </row>
    <row r="14" customFormat="false" ht="31.5" hidden="false" customHeight="true" outlineLevel="0" collapsed="false">
      <c r="A14" s="64" t="s">
        <v>69</v>
      </c>
      <c r="B14" s="71" t="s">
        <v>70</v>
      </c>
      <c r="C14" s="63" t="s">
        <v>1060</v>
      </c>
      <c r="D14" s="63" t="s">
        <v>1061</v>
      </c>
      <c r="E14" s="63" t="s">
        <v>1059</v>
      </c>
      <c r="F14" s="96" t="s">
        <v>1038</v>
      </c>
      <c r="G14" s="14" t="s">
        <v>78</v>
      </c>
      <c r="H14" s="38" t="s">
        <v>450</v>
      </c>
    </row>
    <row r="15" customFormat="false" ht="31.5" hidden="false" customHeight="true" outlineLevel="0" collapsed="false">
      <c r="A15" s="64" t="s">
        <v>69</v>
      </c>
      <c r="B15" s="71" t="s">
        <v>70</v>
      </c>
      <c r="C15" s="63" t="s">
        <v>1062</v>
      </c>
      <c r="D15" s="63" t="s">
        <v>1063</v>
      </c>
      <c r="E15" s="63" t="s">
        <v>1059</v>
      </c>
      <c r="F15" s="96" t="s">
        <v>1038</v>
      </c>
      <c r="G15" s="14" t="s">
        <v>78</v>
      </c>
      <c r="H15" s="38" t="s">
        <v>450</v>
      </c>
    </row>
    <row r="16" customFormat="false" ht="31.5" hidden="false" customHeight="true" outlineLevel="0" collapsed="false">
      <c r="A16" s="64" t="s">
        <v>1064</v>
      </c>
      <c r="B16" s="71" t="s">
        <v>1065</v>
      </c>
      <c r="C16" s="63" t="s">
        <v>1066</v>
      </c>
      <c r="D16" s="63" t="s">
        <v>1067</v>
      </c>
      <c r="E16" s="63" t="s">
        <v>1068</v>
      </c>
      <c r="F16" s="96" t="s">
        <v>1038</v>
      </c>
      <c r="G16" s="14" t="s">
        <v>309</v>
      </c>
      <c r="H16" s="38" t="s">
        <v>387</v>
      </c>
    </row>
    <row r="17" customFormat="false" ht="31.5" hidden="false" customHeight="true" outlineLevel="0" collapsed="false">
      <c r="A17" s="64" t="s">
        <v>79</v>
      </c>
      <c r="B17" s="71" t="s">
        <v>80</v>
      </c>
      <c r="C17" s="63" t="s">
        <v>1069</v>
      </c>
      <c r="D17" s="63" t="s">
        <v>1070</v>
      </c>
      <c r="E17" s="63" t="s">
        <v>1071</v>
      </c>
      <c r="F17" s="96" t="s">
        <v>1038</v>
      </c>
      <c r="G17" s="14" t="s">
        <v>87</v>
      </c>
      <c r="H17" s="38" t="s">
        <v>370</v>
      </c>
    </row>
    <row r="18" customFormat="false" ht="31.5" hidden="false" customHeight="true" outlineLevel="0" collapsed="false">
      <c r="A18" s="64" t="s">
        <v>79</v>
      </c>
      <c r="B18" s="71" t="s">
        <v>80</v>
      </c>
      <c r="C18" s="63" t="s">
        <v>1072</v>
      </c>
      <c r="D18" s="63" t="s">
        <v>1073</v>
      </c>
      <c r="E18" s="63" t="s">
        <v>1071</v>
      </c>
      <c r="F18" s="63" t="s">
        <v>1043</v>
      </c>
      <c r="G18" s="14" t="s">
        <v>87</v>
      </c>
      <c r="H18" s="38" t="s">
        <v>370</v>
      </c>
    </row>
    <row r="19" customFormat="false" ht="31.5" hidden="false" customHeight="true" outlineLevel="0" collapsed="false">
      <c r="A19" s="64" t="s">
        <v>79</v>
      </c>
      <c r="B19" s="71" t="s">
        <v>80</v>
      </c>
      <c r="C19" s="63" t="s">
        <v>1074</v>
      </c>
      <c r="D19" s="63" t="s">
        <v>1075</v>
      </c>
      <c r="E19" s="63" t="s">
        <v>1076</v>
      </c>
      <c r="F19" s="63" t="s">
        <v>1043</v>
      </c>
      <c r="G19" s="14" t="s">
        <v>87</v>
      </c>
      <c r="H19" s="38" t="s">
        <v>370</v>
      </c>
    </row>
    <row r="20" customFormat="false" ht="31.5" hidden="false" customHeight="true" outlineLevel="0" collapsed="false">
      <c r="A20" s="64" t="s">
        <v>88</v>
      </c>
      <c r="B20" s="71" t="s">
        <v>89</v>
      </c>
      <c r="C20" s="63" t="s">
        <v>1077</v>
      </c>
      <c r="D20" s="63" t="s">
        <v>1078</v>
      </c>
      <c r="E20" s="63" t="s">
        <v>1054</v>
      </c>
      <c r="F20" s="96" t="s">
        <v>1038</v>
      </c>
      <c r="G20" s="14" t="s">
        <v>95</v>
      </c>
      <c r="H20" s="38" t="s">
        <v>342</v>
      </c>
    </row>
    <row r="21" customFormat="false" ht="31.5" hidden="false" customHeight="true" outlineLevel="0" collapsed="false">
      <c r="A21" s="64" t="s">
        <v>88</v>
      </c>
      <c r="B21" s="71" t="s">
        <v>89</v>
      </c>
      <c r="C21" s="63" t="s">
        <v>1079</v>
      </c>
      <c r="D21" s="63" t="s">
        <v>1080</v>
      </c>
      <c r="E21" s="63" t="s">
        <v>1054</v>
      </c>
      <c r="F21" s="96" t="s">
        <v>1038</v>
      </c>
      <c r="G21" s="14" t="s">
        <v>95</v>
      </c>
      <c r="H21" s="38" t="s">
        <v>342</v>
      </c>
    </row>
    <row r="22" customFormat="false" ht="31.5" hidden="false" customHeight="true" outlineLevel="0" collapsed="false">
      <c r="A22" s="64" t="s">
        <v>96</v>
      </c>
      <c r="B22" s="72" t="s">
        <v>97</v>
      </c>
      <c r="C22" s="63" t="s">
        <v>1081</v>
      </c>
      <c r="D22" s="63" t="s">
        <v>1082</v>
      </c>
      <c r="E22" s="63" t="s">
        <v>1083</v>
      </c>
      <c r="F22" s="96" t="s">
        <v>1038</v>
      </c>
      <c r="G22" s="13" t="s">
        <v>104</v>
      </c>
      <c r="H22" s="41" t="s">
        <v>83</v>
      </c>
    </row>
    <row r="23" customFormat="false" ht="31.5" hidden="false" customHeight="true" outlineLevel="0" collapsed="false">
      <c r="A23" s="64" t="s">
        <v>96</v>
      </c>
      <c r="B23" s="72" t="s">
        <v>97</v>
      </c>
      <c r="C23" s="63" t="s">
        <v>1084</v>
      </c>
      <c r="D23" s="64" t="s">
        <v>1085</v>
      </c>
      <c r="E23" s="63" t="s">
        <v>1086</v>
      </c>
      <c r="F23" s="96" t="s">
        <v>1038</v>
      </c>
      <c r="G23" s="13" t="s">
        <v>104</v>
      </c>
      <c r="H23" s="41" t="s">
        <v>83</v>
      </c>
    </row>
    <row r="24" customFormat="false" ht="31.5" hidden="false" customHeight="true" outlineLevel="0" collapsed="false">
      <c r="A24" s="64" t="s">
        <v>105</v>
      </c>
      <c r="B24" s="71" t="s">
        <v>106</v>
      </c>
      <c r="C24" s="63" t="s">
        <v>1087</v>
      </c>
      <c r="D24" s="63" t="s">
        <v>1088</v>
      </c>
      <c r="E24" s="63" t="s">
        <v>1089</v>
      </c>
      <c r="F24" s="96" t="s">
        <v>1038</v>
      </c>
      <c r="G24" s="14" t="s">
        <v>114</v>
      </c>
      <c r="H24" s="38" t="s">
        <v>367</v>
      </c>
    </row>
    <row r="25" customFormat="false" ht="31.5" hidden="false" customHeight="true" outlineLevel="0" collapsed="false">
      <c r="A25" s="64" t="s">
        <v>105</v>
      </c>
      <c r="B25" s="71" t="s">
        <v>106</v>
      </c>
      <c r="C25" s="63" t="s">
        <v>1090</v>
      </c>
      <c r="D25" s="63" t="s">
        <v>1091</v>
      </c>
      <c r="E25" s="63" t="s">
        <v>1092</v>
      </c>
      <c r="F25" s="96" t="s">
        <v>1038</v>
      </c>
      <c r="G25" s="14" t="s">
        <v>114</v>
      </c>
      <c r="H25" s="38" t="s">
        <v>367</v>
      </c>
    </row>
    <row r="26" customFormat="false" ht="31.5" hidden="false" customHeight="true" outlineLevel="0" collapsed="false">
      <c r="A26" s="64" t="s">
        <v>105</v>
      </c>
      <c r="B26" s="71" t="s">
        <v>106</v>
      </c>
      <c r="C26" s="63" t="s">
        <v>1093</v>
      </c>
      <c r="D26" s="63" t="s">
        <v>1094</v>
      </c>
      <c r="E26" s="63" t="s">
        <v>1095</v>
      </c>
      <c r="F26" s="96" t="s">
        <v>1038</v>
      </c>
      <c r="G26" s="14" t="s">
        <v>114</v>
      </c>
      <c r="H26" s="38" t="s">
        <v>367</v>
      </c>
    </row>
    <row r="27" customFormat="false" ht="31.5" hidden="false" customHeight="true" outlineLevel="0" collapsed="false">
      <c r="A27" s="64" t="s">
        <v>1096</v>
      </c>
      <c r="B27" s="72" t="s">
        <v>1097</v>
      </c>
      <c r="C27" s="63" t="s">
        <v>1098</v>
      </c>
      <c r="D27" s="63" t="s">
        <v>1070</v>
      </c>
      <c r="E27" s="63" t="s">
        <v>1099</v>
      </c>
      <c r="F27" s="96" t="s">
        <v>1038</v>
      </c>
      <c r="G27" s="13" t="s">
        <v>421</v>
      </c>
      <c r="H27" s="41" t="s">
        <v>83</v>
      </c>
    </row>
    <row r="28" customFormat="false" ht="31.5" hidden="false" customHeight="true" outlineLevel="0" collapsed="false">
      <c r="A28" s="64" t="s">
        <v>1100</v>
      </c>
      <c r="B28" s="71" t="s">
        <v>1101</v>
      </c>
      <c r="C28" s="63" t="s">
        <v>1102</v>
      </c>
      <c r="D28" s="63" t="s">
        <v>1103</v>
      </c>
      <c r="E28" s="63" t="s">
        <v>1068</v>
      </c>
      <c r="F28" s="96" t="s">
        <v>1038</v>
      </c>
      <c r="G28" s="14" t="s">
        <v>351</v>
      </c>
      <c r="H28" s="41" t="s">
        <v>83</v>
      </c>
    </row>
    <row r="29" customFormat="false" ht="31.5" hidden="false" customHeight="true" outlineLevel="0" collapsed="false">
      <c r="A29" s="64" t="s">
        <v>38</v>
      </c>
      <c r="B29" s="71" t="s">
        <v>39</v>
      </c>
      <c r="C29" s="63" t="s">
        <v>1104</v>
      </c>
      <c r="D29" s="63" t="s">
        <v>1105</v>
      </c>
      <c r="E29" s="63" t="s">
        <v>1106</v>
      </c>
      <c r="F29" s="96" t="s">
        <v>1038</v>
      </c>
      <c r="G29" s="14" t="s">
        <v>48</v>
      </c>
      <c r="H29" s="38" t="s">
        <v>276</v>
      </c>
    </row>
    <row r="30" customFormat="false" ht="31.5" hidden="false" customHeight="true" outlineLevel="0" collapsed="false">
      <c r="A30" s="64" t="s">
        <v>58</v>
      </c>
      <c r="B30" s="71" t="s">
        <v>59</v>
      </c>
      <c r="C30" s="63" t="s">
        <v>1107</v>
      </c>
      <c r="D30" s="63" t="s">
        <v>1108</v>
      </c>
      <c r="E30" s="63" t="s">
        <v>1109</v>
      </c>
      <c r="F30" s="96" t="s">
        <v>1038</v>
      </c>
      <c r="G30" s="13" t="s">
        <v>68</v>
      </c>
      <c r="H30" s="38" t="s">
        <v>490</v>
      </c>
    </row>
    <row r="31" customFormat="false" ht="31.5" hidden="false" customHeight="true" outlineLevel="0" collapsed="false">
      <c r="A31" s="64" t="s">
        <v>58</v>
      </c>
      <c r="B31" s="71" t="s">
        <v>59</v>
      </c>
      <c r="C31" s="64" t="s">
        <v>1110</v>
      </c>
      <c r="D31" s="63" t="s">
        <v>1111</v>
      </c>
      <c r="E31" s="63" t="s">
        <v>1112</v>
      </c>
      <c r="F31" s="96" t="s">
        <v>1038</v>
      </c>
      <c r="G31" s="13" t="s">
        <v>68</v>
      </c>
      <c r="H31" s="38" t="s">
        <v>490</v>
      </c>
    </row>
    <row r="32" customFormat="false" ht="31.5" hidden="false" customHeight="true" outlineLevel="0" collapsed="false">
      <c r="A32" s="64" t="s">
        <v>323</v>
      </c>
      <c r="B32" s="63" t="s">
        <v>1113</v>
      </c>
      <c r="C32" s="63" t="s">
        <v>1114</v>
      </c>
      <c r="D32" s="63" t="s">
        <v>1115</v>
      </c>
      <c r="E32" s="63" t="s">
        <v>1116</v>
      </c>
      <c r="F32" s="63" t="s">
        <v>1043</v>
      </c>
      <c r="G32" s="25" t="s">
        <v>323</v>
      </c>
      <c r="H32" s="38" t="s">
        <v>323</v>
      </c>
    </row>
    <row r="33" customFormat="false" ht="31.5" hidden="false" customHeight="true" outlineLevel="0" collapsed="false">
      <c r="A33" s="64" t="s">
        <v>157</v>
      </c>
      <c r="B33" s="71" t="s">
        <v>1117</v>
      </c>
      <c r="C33" s="64" t="s">
        <v>1118</v>
      </c>
      <c r="D33" s="63" t="s">
        <v>647</v>
      </c>
      <c r="E33" s="63" t="s">
        <v>1119</v>
      </c>
      <c r="F33" s="63" t="s">
        <v>1043</v>
      </c>
      <c r="G33" s="14" t="s">
        <v>167</v>
      </c>
      <c r="H33" s="38" t="s">
        <v>276</v>
      </c>
    </row>
    <row r="34" customFormat="false" ht="31.5" hidden="false" customHeight="true" outlineLevel="0" collapsed="false">
      <c r="A34" s="64" t="s">
        <v>168</v>
      </c>
      <c r="B34" s="71" t="s">
        <v>1120</v>
      </c>
      <c r="C34" s="63" t="s">
        <v>1121</v>
      </c>
      <c r="D34" s="63" t="s">
        <v>1122</v>
      </c>
      <c r="E34" s="63" t="s">
        <v>1123</v>
      </c>
      <c r="F34" s="96" t="s">
        <v>1038</v>
      </c>
      <c r="G34" s="14" t="s">
        <v>175</v>
      </c>
      <c r="H34" s="38" t="s">
        <v>273</v>
      </c>
    </row>
    <row r="35" customFormat="false" ht="31.5" hidden="false" customHeight="true" outlineLevel="0" collapsed="false">
      <c r="A35" s="64" t="s">
        <v>147</v>
      </c>
      <c r="B35" s="71" t="s">
        <v>1124</v>
      </c>
      <c r="C35" s="63" t="s">
        <v>1125</v>
      </c>
      <c r="D35" s="63" t="s">
        <v>1126</v>
      </c>
      <c r="E35" s="63" t="s">
        <v>1127</v>
      </c>
      <c r="F35" s="63" t="s">
        <v>1043</v>
      </c>
      <c r="G35" s="14" t="s">
        <v>156</v>
      </c>
      <c r="H35" s="38" t="s">
        <v>312</v>
      </c>
    </row>
    <row r="36" customFormat="false" ht="31.5" hidden="false" customHeight="true" outlineLevel="0" collapsed="false">
      <c r="A36" s="64" t="s">
        <v>115</v>
      </c>
      <c r="B36" s="71" t="s">
        <v>116</v>
      </c>
      <c r="C36" s="64" t="s">
        <v>1128</v>
      </c>
      <c r="D36" s="63" t="s">
        <v>1129</v>
      </c>
      <c r="E36" s="63" t="s">
        <v>1130</v>
      </c>
      <c r="F36" s="96" t="s">
        <v>1038</v>
      </c>
      <c r="G36" s="14" t="s">
        <v>124</v>
      </c>
      <c r="H36" s="38" t="s">
        <v>292</v>
      </c>
    </row>
    <row r="37" customFormat="false" ht="31.5" hidden="false" customHeight="true" outlineLevel="0" collapsed="false">
      <c r="A37" s="64" t="s">
        <v>125</v>
      </c>
      <c r="B37" s="71" t="s">
        <v>1010</v>
      </c>
      <c r="C37" s="64" t="s">
        <v>1131</v>
      </c>
      <c r="D37" s="63" t="s">
        <v>1132</v>
      </c>
      <c r="E37" s="63" t="s">
        <v>1130</v>
      </c>
      <c r="F37" s="96" t="s">
        <v>1038</v>
      </c>
      <c r="G37" s="14" t="s">
        <v>136</v>
      </c>
      <c r="H37" s="38" t="s">
        <v>361</v>
      </c>
    </row>
    <row r="38" customFormat="false" ht="31.5" hidden="false" customHeight="true" outlineLevel="0" collapsed="false">
      <c r="A38" s="64" t="s">
        <v>381</v>
      </c>
      <c r="B38" s="71" t="s">
        <v>1133</v>
      </c>
      <c r="C38" s="63" t="s">
        <v>1134</v>
      </c>
      <c r="D38" s="63" t="s">
        <v>1135</v>
      </c>
      <c r="E38" s="63" t="s">
        <v>1136</v>
      </c>
      <c r="F38" s="96" t="s">
        <v>1038</v>
      </c>
      <c r="G38" s="14" t="s">
        <v>389</v>
      </c>
      <c r="H38" s="38" t="s">
        <v>387</v>
      </c>
    </row>
    <row r="39" customFormat="false" ht="31.5" hidden="false" customHeight="true" outlineLevel="0" collapsed="false">
      <c r="A39" s="64" t="s">
        <v>381</v>
      </c>
      <c r="B39" s="71" t="s">
        <v>1133</v>
      </c>
      <c r="C39" s="63" t="s">
        <v>1137</v>
      </c>
      <c r="D39" s="63" t="s">
        <v>1138</v>
      </c>
      <c r="E39" s="63" t="s">
        <v>1139</v>
      </c>
      <c r="F39" s="96" t="s">
        <v>1038</v>
      </c>
      <c r="G39" s="14" t="s">
        <v>389</v>
      </c>
      <c r="H39" s="38" t="s">
        <v>387</v>
      </c>
    </row>
    <row r="40" customFormat="false" ht="31.5" hidden="false" customHeight="true" outlineLevel="0" collapsed="false">
      <c r="A40" s="64" t="s">
        <v>381</v>
      </c>
      <c r="B40" s="71" t="s">
        <v>1133</v>
      </c>
      <c r="C40" s="63" t="s">
        <v>1140</v>
      </c>
      <c r="D40" s="63" t="s">
        <v>1141</v>
      </c>
      <c r="E40" s="63" t="s">
        <v>1139</v>
      </c>
      <c r="F40" s="63" t="s">
        <v>1043</v>
      </c>
      <c r="G40" s="14" t="s">
        <v>389</v>
      </c>
      <c r="H40" s="38" t="s">
        <v>387</v>
      </c>
    </row>
    <row r="41" customFormat="false" ht="31.5" hidden="false" customHeight="true" outlineLevel="0" collapsed="false">
      <c r="A41" s="64" t="s">
        <v>493</v>
      </c>
      <c r="B41" s="71" t="s">
        <v>1142</v>
      </c>
      <c r="C41" s="63" t="s">
        <v>1143</v>
      </c>
      <c r="D41" s="63" t="s">
        <v>1144</v>
      </c>
      <c r="E41" s="63" t="s">
        <v>1145</v>
      </c>
      <c r="F41" s="63" t="s">
        <v>1043</v>
      </c>
      <c r="G41" s="14" t="s">
        <v>499</v>
      </c>
      <c r="H41" s="38" t="s">
        <v>269</v>
      </c>
    </row>
    <row r="42" customFormat="false" ht="31.5" hidden="false" customHeight="true" outlineLevel="0" collapsed="false">
      <c r="A42" s="64" t="s">
        <v>474</v>
      </c>
      <c r="B42" s="71" t="s">
        <v>1146</v>
      </c>
      <c r="C42" s="63" t="s">
        <v>1147</v>
      </c>
      <c r="D42" s="64" t="s">
        <v>1148</v>
      </c>
      <c r="E42" s="63" t="s">
        <v>1145</v>
      </c>
      <c r="F42" s="63" t="s">
        <v>1043</v>
      </c>
      <c r="G42" s="14" t="s">
        <v>480</v>
      </c>
      <c r="H42" s="38" t="s">
        <v>276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國際站 本戶·14張照片（備用：www.sinyi.com.tw/rent/houseno/C355686）"/>
    <hyperlink ref="B25" r:id="rId35" display="信義 光復北路新大樓 5F ↗"/>
    <hyperlink ref="G25" r:id="rId36" display="信義國際站 本戶·14張照片（備用：www.sinyi.com.tw/rent/houseno/C355686）"/>
    <hyperlink ref="B26" r:id="rId37" display="信義 光復北路新大樓 5F ↗"/>
    <hyperlink ref="G26" r:id="rId38" display="信義國際站 本戶·14張照片（備用：www.sinyi.com.tw/rent/houseno/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1149</v>
      </c>
    </row>
    <row r="2" customFormat="false" ht="15" hidden="false" customHeight="false" outlineLevel="0" collapsed="false">
      <c r="A2" s="2" t="s">
        <v>1150</v>
      </c>
    </row>
    <row r="4" customFormat="false" ht="15" hidden="false" customHeight="false" outlineLevel="0" collapsed="false">
      <c r="A4" s="97" t="s">
        <v>1151</v>
      </c>
      <c r="B4" s="98" t="s">
        <v>1152</v>
      </c>
      <c r="C4" s="97" t="s">
        <v>1153</v>
      </c>
    </row>
    <row r="5" customFormat="false" ht="15" hidden="false" customHeight="false" outlineLevel="0" collapsed="false">
      <c r="A5" s="39" t="s">
        <v>1154</v>
      </c>
      <c r="B5" s="12" t="s">
        <v>1155</v>
      </c>
      <c r="C5" s="39" t="s">
        <v>1156</v>
      </c>
    </row>
    <row r="6" customFormat="false" ht="15" hidden="false" customHeight="false" outlineLevel="0" collapsed="false">
      <c r="A6" s="39" t="s">
        <v>1157</v>
      </c>
      <c r="B6" s="12" t="s">
        <v>1158</v>
      </c>
      <c r="C6" s="39" t="s">
        <v>1159</v>
      </c>
    </row>
    <row r="7" customFormat="false" ht="15" hidden="false" customHeight="false" outlineLevel="0" collapsed="false">
      <c r="A7" s="39" t="s">
        <v>1160</v>
      </c>
      <c r="B7" s="12" t="s">
        <v>1161</v>
      </c>
      <c r="C7" s="39" t="s">
        <v>1162</v>
      </c>
    </row>
    <row r="8" customFormat="false" ht="15" hidden="false" customHeight="false" outlineLevel="0" collapsed="false">
      <c r="A8" s="39" t="s">
        <v>1163</v>
      </c>
      <c r="B8" s="12" t="s">
        <v>1164</v>
      </c>
      <c r="C8" s="39" t="s">
        <v>1165</v>
      </c>
    </row>
    <row r="9" customFormat="false" ht="15" hidden="false" customHeight="false" outlineLevel="0" collapsed="false">
      <c r="A9" s="39" t="s">
        <v>1166</v>
      </c>
      <c r="B9" s="12" t="s">
        <v>1167</v>
      </c>
      <c r="C9" s="39" t="s">
        <v>1168</v>
      </c>
    </row>
    <row r="10" customFormat="false" ht="15" hidden="false" customHeight="false" outlineLevel="0" collapsed="false">
      <c r="A10" s="39" t="s">
        <v>1169</v>
      </c>
      <c r="B10" s="12" t="s">
        <v>1170</v>
      </c>
      <c r="C10" s="39" t="s">
        <v>1171</v>
      </c>
    </row>
    <row r="11" customFormat="false" ht="15" hidden="false" customHeight="false" outlineLevel="0" collapsed="false">
      <c r="A11" s="43" t="s">
        <v>1172</v>
      </c>
      <c r="B11" s="12" t="s">
        <v>1173</v>
      </c>
      <c r="C11" s="39" t="s">
        <v>1174</v>
      </c>
    </row>
    <row r="12" customFormat="false" ht="15" hidden="false" customHeight="false" outlineLevel="0" collapsed="false">
      <c r="A12" s="39" t="s">
        <v>1175</v>
      </c>
      <c r="B12" s="7" t="s">
        <v>1176</v>
      </c>
      <c r="C12" s="39" t="s">
        <v>1177</v>
      </c>
    </row>
    <row r="13" customFormat="false" ht="15" hidden="false" customHeight="false" outlineLevel="0" collapsed="false">
      <c r="A13" s="39" t="s">
        <v>1178</v>
      </c>
      <c r="B13" s="12" t="s">
        <v>1179</v>
      </c>
      <c r="C13" s="39" t="s">
        <v>1180</v>
      </c>
    </row>
    <row r="16" customFormat="false" ht="16.15" hidden="false" customHeight="false" outlineLevel="0" collapsed="false">
      <c r="A16" s="1" t="s">
        <v>1181</v>
      </c>
    </row>
    <row r="17" customFormat="false" ht="15" hidden="false" customHeight="true" outlineLevel="0" collapsed="false">
      <c r="A17" s="99" t="s">
        <v>1182</v>
      </c>
      <c r="B17" s="99"/>
      <c r="C17" s="99"/>
    </row>
    <row r="18" customFormat="false" ht="15" hidden="false" customHeight="false" outlineLevel="0" collapsed="false">
      <c r="A18" s="99"/>
      <c r="B18" s="99"/>
      <c r="C18" s="99"/>
    </row>
    <row r="19" customFormat="false" ht="15" hidden="false" customHeight="false" outlineLevel="0" collapsed="false">
      <c r="A19" s="99"/>
      <c r="B19" s="99"/>
      <c r="C19" s="99"/>
    </row>
    <row r="20" customFormat="false" ht="15" hidden="false" customHeight="false" outlineLevel="0" collapsed="false">
      <c r="A20" s="99"/>
      <c r="B20" s="99"/>
      <c r="C20" s="99"/>
    </row>
    <row r="21" customFormat="false" ht="15" hidden="false" customHeight="false" outlineLevel="0" collapsed="false">
      <c r="A21" s="99"/>
      <c r="B21" s="99"/>
      <c r="C21" s="99"/>
    </row>
    <row r="22" customFormat="false" ht="15" hidden="false" customHeight="false" outlineLevel="0" collapsed="false">
      <c r="A22" s="99"/>
      <c r="B22" s="99"/>
      <c r="C22" s="99"/>
    </row>
    <row r="23" customFormat="false" ht="15" hidden="false" customHeight="false" outlineLevel="0" collapsed="false">
      <c r="A23" s="99"/>
      <c r="B23" s="99"/>
      <c r="C23" s="99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1183</v>
      </c>
    </row>
    <row r="3" customFormat="false" ht="15" hidden="false" customHeight="false" outlineLevel="0" collapsed="false">
      <c r="A3" s="97" t="s">
        <v>1184</v>
      </c>
      <c r="B3" s="97" t="s">
        <v>563</v>
      </c>
      <c r="C3" s="97" t="s">
        <v>23</v>
      </c>
    </row>
    <row r="4" customFormat="false" ht="15" hidden="false" customHeight="false" outlineLevel="0" collapsed="false">
      <c r="A4" s="43" t="s">
        <v>1185</v>
      </c>
      <c r="B4" s="39" t="s">
        <v>1186</v>
      </c>
      <c r="C4" s="39" t="s">
        <v>1187</v>
      </c>
    </row>
    <row r="5" customFormat="false" ht="15" hidden="false" customHeight="false" outlineLevel="0" collapsed="false">
      <c r="A5" s="43" t="s">
        <v>1188</v>
      </c>
      <c r="B5" s="39" t="s">
        <v>1189</v>
      </c>
      <c r="C5" s="39" t="s">
        <v>1190</v>
      </c>
    </row>
    <row r="6" customFormat="false" ht="15" hidden="false" customHeight="false" outlineLevel="0" collapsed="false">
      <c r="A6" s="43" t="s">
        <v>1191</v>
      </c>
      <c r="B6" s="39" t="s">
        <v>1192</v>
      </c>
      <c r="C6" s="39" t="s">
        <v>1190</v>
      </c>
    </row>
    <row r="7" customFormat="false" ht="15" hidden="false" customHeight="false" outlineLevel="0" collapsed="false">
      <c r="A7" s="43" t="s">
        <v>1193</v>
      </c>
      <c r="B7" s="39" t="s">
        <v>1194</v>
      </c>
      <c r="C7" s="39" t="s">
        <v>1190</v>
      </c>
    </row>
    <row r="8" customFormat="false" ht="15" hidden="false" customHeight="false" outlineLevel="0" collapsed="false">
      <c r="A8" s="43" t="s">
        <v>1195</v>
      </c>
      <c r="B8" s="39" t="s">
        <v>1196</v>
      </c>
      <c r="C8" s="39" t="s">
        <v>1190</v>
      </c>
    </row>
    <row r="9" customFormat="false" ht="15" hidden="false" customHeight="false" outlineLevel="0" collapsed="false">
      <c r="A9" s="43" t="s">
        <v>1197</v>
      </c>
      <c r="B9" s="39" t="s">
        <v>1198</v>
      </c>
      <c r="C9" s="39" t="s">
        <v>1190</v>
      </c>
    </row>
    <row r="10" customFormat="false" ht="15" hidden="false" customHeight="false" outlineLevel="0" collapsed="false">
      <c r="A10" s="43" t="s">
        <v>1199</v>
      </c>
      <c r="B10" s="39" t="s">
        <v>1200</v>
      </c>
      <c r="C10" s="39" t="s">
        <v>1190</v>
      </c>
    </row>
    <row r="11" customFormat="false" ht="15" hidden="false" customHeight="false" outlineLevel="0" collapsed="false">
      <c r="A11" s="43" t="s">
        <v>1201</v>
      </c>
      <c r="B11" s="43" t="s">
        <v>983</v>
      </c>
      <c r="C11" s="39" t="s">
        <v>1202</v>
      </c>
    </row>
    <row r="12" customFormat="false" ht="15" hidden="false" customHeight="false" outlineLevel="0" collapsed="false">
      <c r="A12" s="43" t="s">
        <v>1203</v>
      </c>
      <c r="B12" s="43" t="s">
        <v>902</v>
      </c>
      <c r="C12" s="39" t="s">
        <v>1202</v>
      </c>
    </row>
    <row r="13" customFormat="false" ht="15" hidden="false" customHeight="false" outlineLevel="0" collapsed="false">
      <c r="A13" s="43" t="s">
        <v>1204</v>
      </c>
      <c r="B13" s="39" t="s">
        <v>1205</v>
      </c>
      <c r="C13" s="39" t="s">
        <v>1206</v>
      </c>
    </row>
    <row r="14" customFormat="false" ht="29.85" hidden="false" customHeight="false" outlineLevel="0" collapsed="false">
      <c r="A14" s="43" t="s">
        <v>1207</v>
      </c>
      <c r="B14" s="39" t="s">
        <v>1208</v>
      </c>
      <c r="C14" s="39" t="s">
        <v>1206</v>
      </c>
    </row>
    <row r="15" customFormat="false" ht="29.85" hidden="false" customHeight="false" outlineLevel="0" collapsed="false">
      <c r="A15" s="43" t="s">
        <v>1209</v>
      </c>
      <c r="B15" s="39" t="s">
        <v>1210</v>
      </c>
      <c r="C15" s="39" t="s">
        <v>1206</v>
      </c>
    </row>
    <row r="16" customFormat="false" ht="15" hidden="false" customHeight="false" outlineLevel="0" collapsed="false">
      <c r="A16" s="39" t="s">
        <v>1211</v>
      </c>
      <c r="B16" s="39" t="s">
        <v>1212</v>
      </c>
      <c r="C16" s="39" t="s">
        <v>1213</v>
      </c>
    </row>
    <row r="17" customFormat="false" ht="44" hidden="false" customHeight="false" outlineLevel="0" collapsed="false">
      <c r="A17" s="43" t="s">
        <v>1214</v>
      </c>
      <c r="B17" s="43" t="s">
        <v>1215</v>
      </c>
      <c r="C17" s="43" t="s">
        <v>1216</v>
      </c>
    </row>
    <row r="18" customFormat="false" ht="15" hidden="false" customHeight="false" outlineLevel="0" collapsed="false">
      <c r="A18" s="43" t="s">
        <v>1217</v>
      </c>
      <c r="B18" s="43" t="s">
        <v>1016</v>
      </c>
      <c r="C18" s="39" t="s">
        <v>1218</v>
      </c>
    </row>
    <row r="19" customFormat="false" ht="15" hidden="false" customHeight="false" outlineLevel="0" collapsed="false">
      <c r="A19" s="43" t="s">
        <v>1219</v>
      </c>
      <c r="B19" s="43" t="s">
        <v>1220</v>
      </c>
      <c r="C19" s="39" t="s">
        <v>1221</v>
      </c>
    </row>
    <row r="20" customFormat="false" ht="41" hidden="false" customHeight="false" outlineLevel="0" collapsed="false">
      <c r="A20" s="43" t="s">
        <v>1222</v>
      </c>
      <c r="B20" s="43" t="s">
        <v>1223</v>
      </c>
      <c r="C20" s="43" t="s">
        <v>1224</v>
      </c>
    </row>
    <row r="21" customFormat="false" ht="29.85" hidden="false" customHeight="false" outlineLevel="0" collapsed="false">
      <c r="A21" s="43" t="s">
        <v>1225</v>
      </c>
      <c r="B21" s="39" t="s">
        <v>1226</v>
      </c>
      <c r="C21" s="39" t="s">
        <v>1227</v>
      </c>
    </row>
    <row r="22" customFormat="false" ht="29.85" hidden="false" customHeight="false" outlineLevel="0" collapsed="false">
      <c r="A22" s="39" t="s">
        <v>264</v>
      </c>
      <c r="B22" s="39" t="s">
        <v>1228</v>
      </c>
      <c r="C22" s="39" t="s">
        <v>1229</v>
      </c>
    </row>
    <row r="23" customFormat="false" ht="15" hidden="false" customHeight="false" outlineLevel="0" collapsed="false">
      <c r="A23" s="39" t="s">
        <v>1230</v>
      </c>
      <c r="B23" s="39" t="s">
        <v>1231</v>
      </c>
      <c r="C23" s="43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2026-09-23T09:09:11Z</dcterms:created>
  <dc:creator>openpyxl</dc:creator>
  <dc:description/>
  <dc:language>en-US</dc:language>
  <cp:lastModifiedBy/>
  <dcterms:modified xsi:type="dcterms:W3CDTF">2026-09-23T09:09:12Z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