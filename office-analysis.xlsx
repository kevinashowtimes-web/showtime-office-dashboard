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_物調表候選(22案)" sheetId="1" state="visible" r:id="rId3"/>
    <sheet name="H_優先順序建議" sheetId="2" state="visible" r:id="rId4"/>
    <sheet name="K_四維評分(參考)" sheetId="3" state="visible" r:id="rId5"/>
    <sheet name="J_質感排序" sheetId="4" state="visible" r:id="rId6"/>
    <sheet name="B_傑森愛華清單(18件)" sheetId="5" state="visible" r:id="rId7"/>
    <sheet name="I_HouseWeb(10件)" sheetId="6" state="visible" r:id="rId8"/>
    <sheet name="C_合併排行" sheetId="7" state="visible" r:id="rId9"/>
    <sheet name="G_可點閱連結" sheetId="8" state="visible" r:id="rId10"/>
    <sheet name="D_待確認與缺漏" sheetId="9" state="visible" r:id="rId11"/>
    <sheet name="E_市場行情對照" sheetId="10" state="visible" r:id="rId12"/>
    <sheet name="F_資料來源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8" authorId="0">
      <text>
        <r>
          <rPr>
            <sz val="10"/>
            <rFont val="Noto Sans CJK SC"/>
            <family val="2"/>
          </rPr>
          <t xml:space="preserve">使用者指定 </t>
        </r>
        <r>
          <rPr>
            <sz val="10"/>
            <rFont val="Arial"/>
            <family val="2"/>
          </rPr>
          <t xml:space="preserve">40 </t>
        </r>
        <r>
          <rPr>
            <sz val="10"/>
            <rFont val="Noto Sans CJK SC"/>
            <family val="2"/>
          </rPr>
          <t xml:space="preserve">萬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月。未說明是否含稅、是否含管理費，本表以「含稅租金＋管理費＋車位費」總持有成本從嚴比較。</t>
        </r>
      </text>
    </comment>
    <comment ref="F13" authorId="0">
      <text>
        <r>
          <rPr>
            <sz val="10"/>
            <rFont val="Noto Sans CJK SC"/>
            <family val="2"/>
          </rPr>
          <t xml:space="preserve">信義頁面：權狀</t>
        </r>
        <r>
          <rPr>
            <sz val="10"/>
            <rFont val="Arial"/>
            <family val="2"/>
          </rPr>
          <t xml:space="preserve">239.67</t>
        </r>
        <r>
          <rPr>
            <sz val="10"/>
            <rFont val="Noto Sans CJK SC"/>
            <family val="2"/>
          </rPr>
          <t xml:space="preserve">坪＝主建物</t>
        </r>
        <r>
          <rPr>
            <sz val="10"/>
            <rFont val="Arial"/>
            <family val="2"/>
          </rPr>
          <t xml:space="preserve">114.76</t>
        </r>
        <r>
          <rPr>
            <sz val="10"/>
            <rFont val="Noto Sans CJK SC"/>
            <family val="2"/>
          </rPr>
          <t xml:space="preserve">＋附屬</t>
        </r>
        <r>
          <rPr>
            <sz val="10"/>
            <rFont val="Arial"/>
            <family val="2"/>
          </rPr>
          <t xml:space="preserve">4.90</t>
        </r>
        <r>
          <rPr>
            <sz val="10"/>
            <rFont val="Noto Sans CJK SC"/>
            <family val="2"/>
          </rPr>
          <t xml:space="preserve">＋共有部份</t>
        </r>
        <r>
          <rPr>
            <sz val="10"/>
            <rFont val="Arial"/>
            <family val="2"/>
          </rPr>
          <t xml:space="preserve">120.01</t>
        </r>
        <r>
          <rPr>
            <sz val="10"/>
            <rFont val="Noto Sans CJK SC"/>
            <family val="2"/>
          </rPr>
          <t xml:space="preserve">；出租坪數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坪。本欄採出租計價坪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，使租金單價</t>
        </r>
        <r>
          <rPr>
            <sz val="10"/>
            <rFont val="Arial"/>
            <family val="2"/>
          </rPr>
          <t xml:space="preserve">(1,500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坪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可與他案權狀計價比較；公設比欄以共有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權狀＝</t>
        </r>
        <r>
          <rPr>
            <sz val="10"/>
            <rFont val="Arial"/>
            <family val="2"/>
          </rPr>
          <t xml:space="preserve">50.1%</t>
        </r>
        <r>
          <rPr>
            <sz val="10"/>
            <rFont val="Noto Sans CJK SC"/>
            <family val="2"/>
          </rPr>
          <t xml:space="preserve">計。</t>
        </r>
      </text>
    </comment>
    <comment ref="I12" authorId="0">
      <text>
        <r>
          <rPr>
            <sz val="10"/>
            <rFont val="Arial"/>
            <family val="2"/>
          </rPr>
          <t xml:space="preserve">591</t>
        </r>
        <r>
          <rPr>
            <sz val="10"/>
            <rFont val="Noto Sans CJK SC"/>
            <family val="2"/>
          </rPr>
          <t xml:space="preserve">刊登價</t>
        </r>
        <r>
          <rPr>
            <sz val="10"/>
            <rFont val="Arial"/>
            <family val="2"/>
          </rPr>
          <t xml:space="preserve">351,560</t>
        </r>
        <r>
          <rPr>
            <sz val="10"/>
            <rFont val="Noto Sans CJK SC"/>
            <family val="2"/>
          </rPr>
          <t xml:space="preserve">元與備註「租金含稅價</t>
        </r>
        <r>
          <rPr>
            <sz val="10"/>
            <rFont val="Arial"/>
            <family val="2"/>
          </rPr>
          <t xml:space="preserve">$400,000-</t>
        </r>
        <r>
          <rPr>
            <sz val="10"/>
            <rFont val="Noto Sans CJK SC"/>
            <family val="2"/>
          </rPr>
          <t xml:space="preserve">」不一致。採備註之含稅</t>
        </r>
        <r>
          <rPr>
            <sz val="10"/>
            <rFont val="Arial"/>
            <family val="2"/>
          </rPr>
          <t xml:space="preserve">400,000</t>
        </r>
        <r>
          <rPr>
            <sz val="10"/>
            <rFont val="Noto Sans CJK SC"/>
            <family val="2"/>
          </rPr>
          <t xml:space="preserve">元為計算基礎，差異列入待確認。來源：</t>
        </r>
        <r>
          <rPr>
            <sz val="10"/>
            <rFont val="Arial"/>
            <family val="2"/>
          </rPr>
          <t xml:space="preserve">business.591.com.tw/rent/22030027</t>
        </r>
      </text>
    </comment>
    <comment ref="I13" authorId="0">
      <text>
        <r>
          <rPr>
            <sz val="10"/>
            <rFont val="Noto Sans CJK SC"/>
            <family val="2"/>
          </rPr>
          <t xml:space="preserve">信義頁面租金</t>
        </r>
        <r>
          <rPr>
            <sz val="10"/>
            <rFont val="Arial"/>
            <family val="2"/>
          </rPr>
          <t xml:space="preserve">305,340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月，未標示含稅或未稅。若為未稅，含稅為</t>
        </r>
        <r>
          <rPr>
            <sz val="10"/>
            <rFont val="Arial"/>
            <family val="2"/>
          </rPr>
          <t xml:space="preserve">320,607</t>
        </r>
        <r>
          <rPr>
            <sz val="10"/>
            <rFont val="Noto Sans CJK SC"/>
            <family val="2"/>
          </rPr>
          <t xml:space="preserve">元。列入待確認。</t>
        </r>
      </text>
    </comment>
    <comment ref="J9" authorId="0">
      <text>
        <r>
          <rPr>
            <sz val="10"/>
            <rFont val="Noto Sans CJK SC"/>
            <family val="2"/>
          </rPr>
          <t xml:space="preserve">管理費「實支實付，每坪約</t>
        </r>
        <r>
          <rPr>
            <sz val="10"/>
            <rFont val="Arial"/>
            <family val="2"/>
          </rPr>
          <t xml:space="preserve">150</t>
        </r>
        <r>
          <rPr>
            <sz val="10"/>
            <rFont val="Noto Sans CJK SC"/>
            <family val="2"/>
          </rPr>
          <t xml:space="preserve">元」，依權狀坪</t>
        </r>
        <r>
          <rPr>
            <sz val="10"/>
            <rFont val="Arial"/>
            <family val="2"/>
          </rPr>
          <t xml:space="preserve">×150</t>
        </r>
        <r>
          <rPr>
            <sz val="10"/>
            <rFont val="Noto Sans CJK SC"/>
            <family val="2"/>
          </rPr>
          <t xml:space="preserve">估列，須向仲介確認實際結算金額。來源：尚揚國際物調表。</t>
        </r>
      </text>
    </comment>
  </commentList>
</comments>
</file>

<file path=xl/sharedStrings.xml><?xml version="1.0" encoding="utf-8"?>
<sst xmlns="http://schemas.openxmlformats.org/spreadsheetml/2006/main" count="3539" uniqueCount="1233">
  <si>
    <r>
      <rPr>
        <b val="true"/>
        <sz val="13"/>
        <rFont val="Noto Sans CJK SC"/>
        <family val="2"/>
      </rPr>
      <t xml:space="preserve">秀泰影城 新辦公室選址 — 物調表／物件頁候選案（資料較完整之 </t>
    </r>
    <r>
      <rPr>
        <b val="true"/>
        <sz val="13"/>
        <rFont val="Arial"/>
        <family val="0"/>
        <charset val="1"/>
      </rPr>
      <t xml:space="preserve">22 </t>
    </r>
    <r>
      <rPr>
        <b val="true"/>
        <sz val="13"/>
        <rFont val="Noto Sans CJK SC"/>
        <family val="2"/>
      </rPr>
      <t xml:space="preserve">案；計租坪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已刪除）</t>
    </r>
  </si>
  <si>
    <r>
      <rPr>
        <i val="true"/>
        <sz val="9"/>
        <color rgb="FF666666"/>
        <rFont val="Noto Sans CJK SC"/>
        <family val="2"/>
      </rPr>
      <t xml:space="preserve">需求：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坪／月租</t>
    </r>
    <r>
      <rPr>
        <i val="true"/>
        <sz val="9"/>
        <color rgb="FF666666"/>
        <rFont val="Arial"/>
        <family val="0"/>
        <charset val="1"/>
      </rPr>
      <t xml:space="preserve">40</t>
    </r>
    <r>
      <rPr>
        <i val="true"/>
        <sz val="9"/>
        <color rgb="FF666666"/>
        <rFont val="Noto Sans CJK SC"/>
        <family val="2"/>
      </rPr>
      <t xml:space="preserve">萬／近捷運／大安‧信義‧松山‧中山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2026-09-22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資料缺漏</t>
    </r>
  </si>
  <si>
    <t xml:space="preserve">編號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</si>
  <si>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</si>
  <si>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</si>
  <si>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</si>
  <si>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</si>
  <si>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</si>
  <si>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實用坪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</si>
  <si>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公設比</t>
  </si>
  <si>
    <r>
      <rPr>
        <b val="true"/>
        <sz val="10"/>
        <color rgb="FFFFFFFF"/>
        <rFont val="Noto Sans CJK SC"/>
        <family val="2"/>
      </rPr>
      <t xml:space="preserve">月租金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</si>
  <si>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管理費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</si>
  <si>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車位月費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</si>
  <si>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車位說明</t>
  </si>
  <si>
    <r>
      <rPr>
        <b val="true"/>
        <sz val="10"/>
        <color rgb="FFFFFFFF"/>
        <rFont val="Noto Sans CJK SC"/>
        <family val="2"/>
      </rPr>
      <t xml:space="preserve">押金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</si>
  <si>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最短租期</t>
  </si>
  <si>
    <t xml:space="preserve">最近捷運站</t>
  </si>
  <si>
    <r>
      <rPr>
        <b val="true"/>
        <sz val="10"/>
        <color rgb="FFFFFFFF"/>
        <rFont val="Noto Sans CJK SC"/>
        <family val="2"/>
      </rPr>
      <t xml:space="preserve">步行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</si>
  <si>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樓高
</t>
    </r>
    <r>
      <rPr>
        <b val="true"/>
        <sz val="10"/>
        <color rgb="FFFFFFFF"/>
        <rFont val="Arial"/>
        <family val="0"/>
        <charset val="1"/>
      </rPr>
      <t xml:space="preserve">(M)</t>
    </r>
  </si>
  <si>
    <t xml:space="preserve">使照
年份</t>
  </si>
  <si>
    <t xml:space="preserve">空調型式</t>
  </si>
  <si>
    <t xml:space="preserve">仲介</t>
  </si>
  <si>
    <t xml:space="preserve">承辦人</t>
  </si>
  <si>
    <t xml:space="preserve">備註</t>
  </si>
  <si>
    <t xml:space="preserve">屋況／照片連結</t>
  </si>
  <si>
    <t xml:space="preserve">A</t>
  </si>
  <si>
    <t xml:space="preserve">安敦國際大樓 7F ↗</t>
  </si>
  <si>
    <t xml:space="preserve">大安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</si>
  <si>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號</t>
    </r>
  </si>
  <si>
    <t xml:space="preserve">7F/18F(B4)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</si>
  <si>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個坡平車位</t>
    </r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</si>
  <si>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</t>
    </r>
  </si>
  <si>
    <t xml:space="preserve">忠孝敦化</t>
  </si>
  <si>
    <t xml:space="preserve">獨立空調</t>
  </si>
  <si>
    <t xml:space="preserve">尚揚國際</t>
  </si>
  <si>
    <r>
      <rPr>
        <sz val="10"/>
        <color rgb="FF0000FF"/>
        <rFont val="Noto Sans CJK SC"/>
        <family val="2"/>
      </rPr>
      <t xml:space="preserve">劉品汯 </t>
    </r>
    <r>
      <rPr>
        <sz val="10"/>
        <color rgb="FF0000FF"/>
        <rFont val="Arial"/>
        <family val="0"/>
        <charset val="1"/>
      </rPr>
      <t xml:space="preserve">0901-407-026</t>
    </r>
  </si>
  <si>
    <r>
      <rPr>
        <sz val="10"/>
        <color rgb="FF0000FF"/>
        <rFont val="Noto Sans CJK SC"/>
        <family val="2"/>
      </rPr>
      <t xml:space="preserve">同戶</t>
    </r>
    <r>
      <rPr>
        <sz val="10"/>
        <color rgb="FF0000FF"/>
        <rFont val="Arial"/>
        <family val="0"/>
        <charset val="1"/>
      </rPr>
      <t xml:space="preserve">591(</t>
    </r>
    <r>
      <rPr>
        <sz val="10"/>
        <color rgb="FF0000FF"/>
        <rFont val="Noto Sans CJK SC"/>
        <family val="2"/>
      </rPr>
      <t xml:space="preserve">京安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380,952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=400,000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低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</si>
  <si>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t xml:space="preserve">591 本戶7F·14張照片</t>
  </si>
  <si>
    <t xml:space="preserve">B</t>
  </si>
  <si>
    <t xml:space="preserve">中鼎大樓 15F之1 ↗</t>
  </si>
  <si>
    <r>
      <rPr>
        <sz val="10"/>
        <color rgb="FF0000FF"/>
        <rFont val="Noto Sans CJK SC"/>
        <family val="2"/>
      </rPr>
      <t xml:space="preserve">敦化南路二段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</si>
  <si>
    <t xml:space="preserve">15F/22F(B2)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</si>
  <si>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10,000</t>
    </r>
    <r>
      <rPr>
        <sz val="10"/>
        <color rgb="FF0000FF"/>
        <rFont val="Noto Sans CJK SC"/>
        <family val="2"/>
      </rPr>
      <t xml:space="preserve">未稅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</si>
  <si>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年</t>
    </r>
  </si>
  <si>
    <t xml:space="preserve">信義安和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</si>
  <si>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07-19(</t>
    </r>
    <r>
      <rPr>
        <sz val="10"/>
        <color rgb="FF0000FF"/>
        <rFont val="Noto Sans CJK SC"/>
        <family val="2"/>
      </rPr>
      <t xml:space="preserve">加班費待確認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</si>
  <si>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王智平 </t>
    </r>
    <r>
      <rPr>
        <sz val="10"/>
        <color rgb="FF0000FF"/>
        <rFont val="Arial"/>
        <family val="0"/>
        <charset val="1"/>
      </rPr>
      <t xml:space="preserve">0917-154-083</t>
    </r>
  </si>
  <si>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22F(J&amp;E)230</t>
    </r>
    <r>
      <rPr>
        <sz val="10"/>
        <color rgb="FF0000FF"/>
        <rFont val="Noto Sans CJK SC"/>
        <family val="2"/>
      </rPr>
      <t xml:space="preserve">坪開價</t>
    </r>
    <r>
      <rPr>
        <sz val="10"/>
        <color rgb="FF0000FF"/>
        <rFont val="Arial"/>
        <family val="0"/>
        <charset val="1"/>
      </rPr>
      <t xml:space="preserve">455,400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=478,170</t>
    </r>
    <r>
      <rPr>
        <sz val="10"/>
        <color rgb="FF0000FF"/>
        <rFont val="Noto Sans CJK SC"/>
        <family val="2"/>
      </rPr>
      <t xml:space="preserve">含稅；信義</t>
    </r>
    <r>
      <rPr>
        <sz val="10"/>
        <color rgb="FF0000FF"/>
        <rFont val="Arial"/>
        <family val="0"/>
        <charset val="1"/>
      </rPr>
      <t xml:space="preserve">CZ05572</t>
    </r>
    <r>
      <rPr>
        <sz val="10"/>
        <color rgb="FF0000FF"/>
        <rFont val="Noto Sans CJK SC"/>
        <family val="2"/>
      </rPr>
      <t xml:space="preserve">為同戶</t>
    </r>
    <r>
      <rPr>
        <sz val="10"/>
        <color rgb="FF0000FF"/>
        <rFont val="Arial"/>
        <family val="0"/>
        <charset val="1"/>
      </rPr>
      <t xml:space="preserve">15F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451,500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34,873</t>
    </r>
    <r>
      <rPr>
        <sz val="10"/>
        <color rgb="FF0000FF"/>
        <rFont val="Noto Sans CJK SC"/>
        <family val="2"/>
      </rPr>
      <t xml:space="preserve">、含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坡平車位、附隔間裝潢可立即搬入、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張照片</t>
    </r>
  </si>
  <si>
    <t xml:space="preserve">信義 本戶15F·15張照片（CZ05572）</t>
  </si>
  <si>
    <t xml:space="preserve">C</t>
  </si>
  <si>
    <t xml:space="preserve">旭寶大樓 5F ↗</t>
  </si>
  <si>
    <t xml:space="preserve">松山</t>
  </si>
  <si>
    <r>
      <rPr>
        <sz val="10"/>
        <color rgb="FF0000FF"/>
        <rFont val="Noto Sans CJK SC"/>
        <family val="2"/>
      </rPr>
      <t xml:space="preserve">敦化南路一段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</si>
  <si>
    <t xml:space="preserve">5F/12F(B2)</t>
  </si>
  <si>
    <r>
      <rPr>
        <sz val="10"/>
        <color rgb="FF0000FF"/>
        <rFont val="Noto Sans CJK SC"/>
        <family val="2"/>
      </rPr>
      <t xml:space="preserve">機械車位</t>
    </r>
    <r>
      <rPr>
        <sz val="10"/>
        <color rgb="FF0000FF"/>
        <rFont val="Arial"/>
        <family val="0"/>
        <charset val="1"/>
      </rPr>
      <t xml:space="preserve">x6(</t>
    </r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)</t>
    </r>
  </si>
  <si>
    <t xml:space="preserve">小巨蛋</t>
  </si>
  <si>
    <r>
      <rPr>
        <sz val="10"/>
        <color rgb="FF0000FF"/>
        <rFont val="Noto Sans CJK SC"/>
        <family val="2"/>
      </rPr>
      <t xml:space="preserve">坪數超標約</t>
    </r>
    <r>
      <rPr>
        <sz val="10"/>
        <color rgb="FF0000FF"/>
        <rFont val="Arial"/>
        <family val="0"/>
        <charset val="1"/>
      </rPr>
      <t xml:space="preserve">62</t>
    </r>
    <r>
      <rPr>
        <sz val="10"/>
        <color rgb="FF0000FF"/>
        <rFont val="Noto Sans CJK SC"/>
        <family val="2"/>
      </rPr>
      <t xml:space="preserve">坪</t>
    </r>
  </si>
  <si>
    <t xml:space="preserve">好房網大樓頁·19張照片(本戶無公開頁)</t>
  </si>
  <si>
    <t xml:space="preserve">D</t>
  </si>
  <si>
    <t xml:space="preserve">敦化財經大樓 4F之1 ↗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</si>
  <si>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214</t>
    </r>
    <r>
      <rPr>
        <sz val="10"/>
        <color rgb="FF0000FF"/>
        <rFont val="Noto Sans CJK SC"/>
        <family val="2"/>
      </rPr>
      <t xml:space="preserve">號</t>
    </r>
  </si>
  <si>
    <t xml:space="preserve">4F/11F(B2)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</si>
  <si>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8,000</t>
    </r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</si>
  <si>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</si>
  <si>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南京復興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</si>
  <si>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可加獨立</t>
    </r>
  </si>
  <si>
    <r>
      <rPr>
        <sz val="10"/>
        <color rgb="FF0000FF"/>
        <rFont val="Noto Sans CJK SC"/>
        <family val="2"/>
      </rPr>
      <t xml:space="preserve">張正修 </t>
    </r>
    <r>
      <rPr>
        <sz val="10"/>
        <color rgb="FF0000FF"/>
        <rFont val="Arial"/>
        <family val="0"/>
        <charset val="1"/>
      </rPr>
      <t xml:space="preserve">0937-519-365</t>
    </r>
  </si>
  <si>
    <r>
      <rPr>
        <sz val="10"/>
        <color rgb="FF0000FF"/>
        <rFont val="Noto Sans CJK SC"/>
        <family val="2"/>
      </rPr>
      <t xml:space="preserve">原文「</t>
    </r>
    <r>
      <rPr>
        <sz val="10"/>
        <color rgb="FF0000FF"/>
        <rFont val="Arial"/>
        <family val="0"/>
        <charset val="1"/>
      </rPr>
      <t xml:space="preserve">8,0000</t>
    </r>
    <r>
      <rPr>
        <sz val="10"/>
        <color rgb="FF0000FF"/>
        <rFont val="Noto Sans CJK SC"/>
        <family val="2"/>
      </rPr>
      <t xml:space="preserve">」判讀為</t>
    </r>
    <r>
      <rPr>
        <sz val="10"/>
        <color rgb="FF0000FF"/>
        <rFont val="Arial"/>
        <family val="0"/>
        <charset val="1"/>
      </rPr>
      <t xml:space="preserve">8,000/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疑同戶</t>
    </r>
    <r>
      <rPr>
        <sz val="10"/>
        <color rgb="FF0000FF"/>
        <rFont val="Arial"/>
        <family val="0"/>
        <charset val="1"/>
      </rPr>
      <t xml:space="preserve">(4F/11F 220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星辰地產刊登</t>
    </r>
    <r>
      <rPr>
        <sz val="10"/>
        <color rgb="FF0000FF"/>
        <rFont val="Arial"/>
        <family val="0"/>
        <charset val="1"/>
      </rPr>
      <t xml:space="preserve">386,839,</t>
    </r>
    <r>
      <rPr>
        <sz val="10"/>
        <color rgb="FF0000FF"/>
        <rFont val="Noto Sans CJK SC"/>
        <family val="2"/>
      </rPr>
      <t xml:space="preserve">稅別未註</t>
    </r>
  </si>
  <si>
    <t xml:space="preserve">591 疑同戶4F 220坪·星辰地產</t>
  </si>
  <si>
    <t xml:space="preserve">E</t>
  </si>
  <si>
    <t xml:space="preserve">國泰世華銀行大樓 6F ↗</t>
  </si>
  <si>
    <r>
      <rPr>
        <sz val="10"/>
        <color rgb="FF0000FF"/>
        <rFont val="Noto Sans CJK SC"/>
        <family val="2"/>
      </rPr>
      <t xml:space="preserve">仁愛路四段</t>
    </r>
    <r>
      <rPr>
        <sz val="10"/>
        <color rgb="FF0000FF"/>
        <rFont val="Arial"/>
        <family val="0"/>
        <charset val="1"/>
      </rPr>
      <t xml:space="preserve">85</t>
    </r>
    <r>
      <rPr>
        <sz val="10"/>
        <color rgb="FF0000FF"/>
        <rFont val="Noto Sans CJK SC"/>
        <family val="2"/>
      </rPr>
      <t xml:space="preserve">號</t>
    </r>
  </si>
  <si>
    <t xml:space="preserve">6F/14F(B2)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</si>
  <si>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</t>
    </r>
    <r>
      <rPr>
        <sz val="10"/>
        <color rgb="FF0000FF"/>
        <rFont val="Arial"/>
        <family val="0"/>
        <charset val="1"/>
      </rPr>
      <t xml:space="preserve">+2</t>
    </r>
    <r>
      <rPr>
        <sz val="10"/>
        <color rgb="FF0000FF"/>
        <rFont val="Noto Sans CJK SC"/>
        <family val="2"/>
      </rPr>
      <t xml:space="preserve">機車位</t>
    </r>
  </si>
  <si>
    <r>
      <rPr>
        <sz val="10"/>
        <color rgb="FF0000FF"/>
        <rFont val="Noto Sans CJK SC"/>
        <family val="2"/>
      </rPr>
      <t xml:space="preserve">不限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有都更條款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</si>
  <si>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09-17 </t>
    </r>
    <r>
      <rPr>
        <sz val="10"/>
        <color rgb="FF0000FF"/>
        <rFont val="Noto Sans CJK SC"/>
        <family val="2"/>
      </rPr>
      <t xml:space="preserve">加班</t>
    </r>
    <r>
      <rPr>
        <sz val="10"/>
        <color rgb="FF0000FF"/>
        <rFont val="Arial"/>
        <family val="0"/>
        <charset val="1"/>
      </rPr>
      <t xml:space="preserve">3,000/H</t>
    </r>
    <r>
      <rPr>
        <sz val="10"/>
        <color rgb="FF0000FF"/>
        <rFont val="Noto Sans CJK SC"/>
        <family val="2"/>
      </rPr>
      <t xml:space="preserve">分攤</t>
    </r>
  </si>
  <si>
    <r>
      <rPr>
        <sz val="10"/>
        <color rgb="FF0000FF"/>
        <rFont val="Noto Sans CJK SC"/>
        <family val="2"/>
      </rPr>
      <t xml:space="preserve">葉建成 </t>
    </r>
    <r>
      <rPr>
        <sz val="10"/>
        <color rgb="FF0000FF"/>
        <rFont val="Arial"/>
        <family val="0"/>
        <charset val="1"/>
      </rPr>
      <t xml:space="preserve">0973-894168</t>
    </r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</si>
  <si>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150/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</si>
  <si>
    <t xml:space="preserve">信義社區頁·4張外觀照(本戶無公開頁)</t>
  </si>
  <si>
    <t xml:space="preserve">F</t>
  </si>
  <si>
    <t xml:space="preserve">友聯大樓 5F ↗</t>
  </si>
  <si>
    <r>
      <rPr>
        <sz val="10"/>
        <color rgb="FF0000FF"/>
        <rFont val="Noto Sans CJK SC"/>
        <family val="2"/>
      </rPr>
      <t xml:space="preserve">南京東路五段</t>
    </r>
    <r>
      <rPr>
        <sz val="10"/>
        <color rgb="FF0000FF"/>
        <rFont val="Arial"/>
        <family val="0"/>
        <charset val="1"/>
      </rPr>
      <t xml:space="preserve">89</t>
    </r>
    <r>
      <rPr>
        <sz val="10"/>
        <color rgb="FF0000FF"/>
        <rFont val="Noto Sans CJK SC"/>
        <family val="2"/>
      </rPr>
      <t xml:space="preserve">號</t>
    </r>
  </si>
  <si>
    <t xml:space="preserve">5F/15F(B3)</t>
  </si>
  <si>
    <t xml:space="preserve">缺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</si>
  <si>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7,000~8,000</t>
    </r>
  </si>
  <si>
    <t xml:space="preserve">南京三民</t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</si>
  <si>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金額未提供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本戶無公開刊登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社區頁將此門牌登錄為「宏第上海通商大樓」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大樓名待確認</t>
    </r>
  </si>
  <si>
    <t xml:space="preserve">友聯5F 現況室內8張照片（591刊登圖·使用者提供）</t>
  </si>
  <si>
    <t xml:space="preserve">G</t>
  </si>
  <si>
    <t xml:space="preserve">白宮企業大樓 5F ↗</t>
  </si>
  <si>
    <r>
      <rPr>
        <sz val="10"/>
        <color rgb="FF0000FF"/>
        <rFont val="Noto Sans CJK SC"/>
        <family val="2"/>
      </rPr>
      <t xml:space="preserve">南京東路三段</t>
    </r>
    <r>
      <rPr>
        <sz val="10"/>
        <color rgb="FF0000FF"/>
        <rFont val="Arial"/>
        <family val="0"/>
        <charset val="1"/>
      </rPr>
      <t xml:space="preserve">346</t>
    </r>
    <r>
      <rPr>
        <sz val="10"/>
        <color rgb="FF0000FF"/>
        <rFont val="Noto Sans CJK SC"/>
        <family val="2"/>
      </rPr>
      <t xml:space="preserve">號</t>
    </r>
  </si>
  <si>
    <t xml:space="preserve">5F/12F(B1)</t>
  </si>
  <si>
    <t xml:space="preserve">無車位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</si>
  <si>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獨立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有附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</si>
  <si>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不租補習班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三門牌合併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全案無車位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</t>
    </r>
    <r>
      <rPr>
        <sz val="10"/>
        <color rgb="FF0000FF"/>
        <rFont val="Arial"/>
        <family val="0"/>
        <charset val="1"/>
      </rPr>
      <t xml:space="preserve">207</t>
    </r>
    <r>
      <rPr>
        <sz val="10"/>
        <color rgb="FF0000FF"/>
        <rFont val="Noto Sans CJK SC"/>
        <family val="2"/>
      </rPr>
      <t xml:space="preserve">坪整層無公開刊登，同層另有</t>
    </r>
    <r>
      <rPr>
        <sz val="10"/>
        <color rgb="FF0000FF"/>
        <rFont val="Arial"/>
        <family val="0"/>
        <charset val="1"/>
      </rPr>
      <t xml:space="preserve">83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/63</t>
    </r>
    <r>
      <rPr>
        <sz val="10"/>
        <color rgb="FF0000FF"/>
        <rFont val="Noto Sans CJK SC"/>
        <family val="2"/>
      </rPr>
      <t xml:space="preserve">坪分拆戶在信義</t>
    </r>
    <r>
      <rPr>
        <sz val="10"/>
        <color rgb="FF0000FF"/>
        <rFont val="Arial"/>
        <family val="0"/>
        <charset val="1"/>
      </rPr>
      <t xml:space="preserve">/591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非本案</t>
    </r>
    <r>
      <rPr>
        <sz val="10"/>
        <color rgb="FF0000FF"/>
        <rFont val="Arial"/>
        <family val="0"/>
        <charset val="1"/>
      </rPr>
      <t xml:space="preserve">)</t>
    </r>
  </si>
  <si>
    <t xml:space="preserve">好房網大樓頁·10張照片（本戶207坪整層無公開頁）</t>
  </si>
  <si>
    <t xml:space="preserve">H</t>
  </si>
  <si>
    <t xml:space="preserve">591 光復南路 7F ↗</t>
  </si>
  <si>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</si>
  <si>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7F/11F</t>
  </si>
  <si>
    <t xml:space="preserve">未揭露</t>
  </si>
  <si>
    <t xml:space="preserve">言成不動產</t>
  </si>
  <si>
    <r>
      <rPr>
        <sz val="10"/>
        <color rgb="FF0000FF"/>
        <rFont val="Noto Sans CJK SC"/>
        <family val="2"/>
      </rPr>
      <t xml:space="preserve">呂小姐 </t>
    </r>
    <r>
      <rPr>
        <sz val="10"/>
        <color rgb="FF0000FF"/>
        <rFont val="Arial"/>
        <family val="0"/>
        <charset val="1"/>
      </rPr>
      <t xml:space="preserve">0955-577-686</t>
    </r>
  </si>
  <si>
    <r>
      <rPr>
        <sz val="10"/>
        <color rgb="FF0000FF"/>
        <rFont val="Noto Sans CJK SC"/>
        <family val="2"/>
      </rPr>
      <t xml:space="preserve">備註「租金含稅價</t>
    </r>
    <r>
      <rPr>
        <sz val="10"/>
        <color rgb="FF0000FF"/>
        <rFont val="Arial"/>
        <family val="0"/>
        <charset val="1"/>
      </rPr>
      <t xml:space="preserve">400,000</t>
    </r>
    <r>
      <rPr>
        <sz val="10"/>
        <color rgb="FF0000FF"/>
        <rFont val="Noto Sans CJK SC"/>
        <family val="2"/>
      </rPr>
      <t xml:space="preserve">」為準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351,560</t>
    </r>
    <r>
      <rPr>
        <sz val="10"/>
        <color rgb="FF0000FF"/>
        <rFont val="Noto Sans CJK SC"/>
        <family val="2"/>
      </rPr>
      <t xml:space="preserve">不一致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為分割物件</t>
    </r>
    <r>
      <rPr>
        <sz val="10"/>
        <color rgb="FF0000FF"/>
        <rFont val="Arial"/>
        <family val="0"/>
        <charset val="1"/>
      </rPr>
      <t xml:space="preserve">;HouseWeb</t>
    </r>
    <r>
      <rPr>
        <sz val="10"/>
        <color rgb="FF0000FF"/>
        <rFont val="Noto Sans CJK SC"/>
        <family val="2"/>
      </rPr>
      <t xml:space="preserve">同戶刊登</t>
    </r>
    <r>
      <rPr>
        <sz val="10"/>
        <color rgb="FF0000FF"/>
        <rFont val="Arial"/>
        <family val="0"/>
        <charset val="1"/>
      </rPr>
      <t xml:space="preserve">(2653888)40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/11F/B2/</t>
    </r>
    <r>
      <rPr>
        <sz val="10"/>
        <color rgb="FF0000FF"/>
        <rFont val="Noto Sans CJK SC"/>
        <family val="2"/>
      </rPr>
      <t xml:space="preserve">朝西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車位可承租</t>
    </r>
    <r>
      <rPr>
        <sz val="10"/>
        <color rgb="FF0000FF"/>
        <rFont val="Arial"/>
        <family val="0"/>
        <charset val="1"/>
      </rPr>
      <t xml:space="preserve">,40</t>
    </r>
    <r>
      <rPr>
        <sz val="10"/>
        <color rgb="FF0000FF"/>
        <rFont val="Noto Sans CJK SC"/>
        <family val="2"/>
      </rPr>
      <t xml:space="preserve">張照片</t>
    </r>
  </si>
  <si>
    <t xml:space="preserve">HouseWeb 本戶·40張照片</t>
  </si>
  <si>
    <t xml:space="preserve">I</t>
  </si>
  <si>
    <t xml:space="preserve">信義 光復北路新大樓 5F ↗</t>
  </si>
  <si>
    <r>
      <rPr>
        <sz val="10"/>
        <color rgb="FF0000FF"/>
        <rFont val="Noto Sans CJK SC"/>
        <family val="2"/>
      </rPr>
      <t xml:space="preserve">光復北路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</si>
  <si>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</si>
  <si>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FF"/>
        <rFont val="Noto Sans CJK SC"/>
        <family val="2"/>
      </rPr>
      <t xml:space="preserve">無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可另租坡道平面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</si>
  <si>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</si>
  <si>
    <t xml:space="preserve">信義房屋 復興民生店</t>
  </si>
  <si>
    <r>
      <rPr>
        <sz val="10"/>
        <color rgb="FF0000FF"/>
        <rFont val="Noto Sans CJK SC"/>
        <family val="2"/>
      </rPr>
      <t xml:space="preserve">施雅惠 </t>
    </r>
    <r>
      <rPr>
        <sz val="10"/>
        <color rgb="FF0000FF"/>
        <rFont val="Arial"/>
        <family val="0"/>
        <charset val="1"/>
      </rPr>
      <t xml:space="preserve">0955-237827</t>
    </r>
  </si>
  <si>
    <r>
      <rPr>
        <sz val="10"/>
        <color rgb="FF0000FF"/>
        <rFont val="Noto Sans CJK SC"/>
        <family val="2"/>
      </rPr>
      <t xml:space="preserve">信義頁面兩個坪數：出租坪</t>
    </r>
    <r>
      <rPr>
        <sz val="10"/>
        <color rgb="FF0000FF"/>
        <rFont val="Arial"/>
        <family val="0"/>
        <charset val="1"/>
      </rPr>
      <t xml:space="preserve">203.56(</t>
    </r>
    <r>
      <rPr>
        <sz val="10"/>
        <color rgb="FF0000FF"/>
        <rFont val="Noto Sans CJK SC"/>
        <family val="2"/>
      </rPr>
      <t xml:space="preserve">計租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／權狀</t>
    </r>
    <r>
      <rPr>
        <sz val="10"/>
        <color rgb="FF0000FF"/>
        <rFont val="Arial"/>
        <family val="0"/>
        <charset val="1"/>
      </rPr>
      <t xml:space="preserve">239.67=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114.76+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4.90+</t>
    </r>
    <r>
      <rPr>
        <sz val="10"/>
        <color rgb="FF0000FF"/>
        <rFont val="Noto Sans CJK SC"/>
        <family val="2"/>
      </rPr>
      <t xml:space="preserve">共有</t>
    </r>
    <r>
      <rPr>
        <sz val="10"/>
        <color rgb="FF0000FF"/>
        <rFont val="Arial"/>
        <family val="0"/>
        <charset val="1"/>
      </rPr>
      <t xml:space="preserve">120.01</t>
    </r>
    <r>
      <rPr>
        <sz val="10"/>
        <color rgb="FF0000FF"/>
        <rFont val="Noto Sans CJK SC"/>
        <family val="2"/>
      </rPr>
      <t xml:space="preserve">；本表權狀坪欄採計租坪</t>
    </r>
    <r>
      <rPr>
        <sz val="10"/>
        <color rgb="FF0000FF"/>
        <rFont val="Arial"/>
        <family val="0"/>
        <charset val="1"/>
      </rPr>
      <t xml:space="preserve">203.56</t>
    </r>
    <r>
      <rPr>
        <sz val="10"/>
        <color rgb="FF0000FF"/>
        <rFont val="Noto Sans CJK SC"/>
        <family val="2"/>
      </rPr>
      <t xml:space="preserve">，實用坪欄採主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119.66</t>
    </r>
    <r>
      <rPr>
        <sz val="10"/>
        <color rgb="FF0000FF"/>
        <rFont val="Noto Sans CJK SC"/>
        <family val="2"/>
      </rPr>
      <t xml:space="preserve">；租金稅別未明示；屋齡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年；水泥隔間；一層一戶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電梯</t>
    </r>
  </si>
  <si>
    <t xml:space="preserve">信義國際站 本戶·14張照片（備用：www.sinyi.com.tw/rent/houseno/C355686）</t>
  </si>
  <si>
    <t xml:space="preserve">Y1</t>
  </si>
  <si>
    <t xml:space="preserve">永慶 安敦國際大樓 14F ↗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</si>
  <si>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安敦國際大樓</t>
    </r>
    <r>
      <rPr>
        <sz val="10"/>
        <color rgb="FF0000FF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</si>
  <si>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</si>
  <si>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FF"/>
        <rFont val="Noto Sans CJK SC"/>
        <family val="2"/>
      </rPr>
      <t xml:space="preserve">租金內含坡道平面車位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數量未標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</si>
  <si>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個月</t>
    </r>
  </si>
  <si>
    <t xml:space="preserve">永慶房屋 南京光復直營店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</si>
  <si>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</si>
  <si>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稅別未標示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7F(420,000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高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屋齡</t>
    </r>
    <r>
      <rPr>
        <sz val="10"/>
        <color rgb="FF0000FF"/>
        <rFont val="Arial"/>
        <family val="0"/>
        <charset val="1"/>
      </rPr>
      <t xml:space="preserve">37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永慶社區頁</t>
    </r>
    <r>
      <rPr>
        <sz val="10"/>
        <color rgb="FF0000FF"/>
        <rFont val="Arial"/>
        <family val="0"/>
        <charset val="1"/>
      </rPr>
      <t xml:space="preserve">);15</t>
    </r>
    <r>
      <rPr>
        <sz val="10"/>
        <color rgb="FF0000FF"/>
        <rFont val="Noto Sans CJK SC"/>
        <family val="2"/>
      </rPr>
      <t xml:space="preserve">張照片</t>
    </r>
  </si>
  <si>
    <t xml:space="preserve">永慶 本戶14F·15張照片</t>
  </si>
  <si>
    <t xml:space="preserve">Y2</t>
  </si>
  <si>
    <t xml:space="preserve">永慶／信義 家美金融大樓 15F ↗</t>
  </si>
  <si>
    <t xml:space="preserve">信義</t>
  </si>
  <si>
    <r>
      <rPr>
        <sz val="10"/>
        <color rgb="FF0000FF"/>
        <rFont val="Noto Sans CJK SC"/>
        <family val="2"/>
      </rPr>
      <t xml:space="preserve">忠孝東路五段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家美金融</t>
    </r>
    <r>
      <rPr>
        <sz val="10"/>
        <color rgb="FF0000FF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</si>
  <si>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</si>
  <si>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個坡道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信義頁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永慶未標</t>
    </r>
    <r>
      <rPr>
        <sz val="10"/>
        <color rgb="FF0000FF"/>
        <rFont val="Arial"/>
        <family val="0"/>
        <charset val="1"/>
      </rPr>
      <t xml:space="preserve">)</t>
    </r>
  </si>
  <si>
    <t xml:space="preserve">永春</t>
  </si>
  <si>
    <r>
      <rPr>
        <sz val="10"/>
        <color rgb="FF0000FF"/>
        <rFont val="Noto Sans CJK SC"/>
        <family val="2"/>
      </rPr>
      <t xml:space="preserve">冷氣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提供設備</t>
    </r>
    <r>
      <rPr>
        <sz val="10"/>
        <color rgb="FF0000FF"/>
        <rFont val="Arial"/>
        <family val="0"/>
        <charset val="1"/>
      </rPr>
      <t xml:space="preserve">)</t>
    </r>
  </si>
  <si>
    <t xml:space="preserve">永慶 南京光復直營店／信義 商仲二部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</si>
  <si>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  <r>
      <rPr>
        <sz val="10"/>
        <color rgb="FF0000FF"/>
        <rFont val="Noto Sans CJK SC"/>
        <family val="2"/>
      </rPr>
      <t xml:space="preserve">／簡文章 </t>
    </r>
    <r>
      <rPr>
        <sz val="10"/>
        <color rgb="FF0000FF"/>
        <rFont val="Arial"/>
        <family val="0"/>
        <charset val="1"/>
      </rPr>
      <t xml:space="preserve">0918-520-184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</si>
  <si>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；信義</t>
    </r>
    <r>
      <rPr>
        <sz val="10"/>
        <color rgb="FF0000FF"/>
        <rFont val="Arial"/>
        <family val="0"/>
        <charset val="1"/>
      </rPr>
      <t xml:space="preserve">CZ05491</t>
    </r>
    <r>
      <rPr>
        <sz val="10"/>
        <color rgb="FF0000FF"/>
        <rFont val="Noto Sans CJK SC"/>
        <family val="2"/>
      </rPr>
      <t xml:space="preserve">為同戶：主</t>
    </r>
    <r>
      <rPr>
        <sz val="10"/>
        <color rgb="FF0000FF"/>
        <rFont val="Arial"/>
        <family val="0"/>
        <charset val="1"/>
      </rPr>
      <t xml:space="preserve">146.68+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17.37=164.05</t>
    </r>
    <r>
      <rPr>
        <sz val="10"/>
        <color rgb="FF0000FF"/>
        <rFont val="Noto Sans CJK SC"/>
        <family val="2"/>
      </rPr>
      <t xml:space="preserve">、共</t>
    </r>
    <r>
      <rPr>
        <sz val="10"/>
        <color rgb="FF0000FF"/>
        <rFont val="Arial"/>
        <family val="0"/>
        <charset val="1"/>
      </rPr>
      <t xml:space="preserve">44.91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車位、管理費約</t>
    </r>
    <r>
      <rPr>
        <sz val="10"/>
        <color rgb="FF0000FF"/>
        <rFont val="Arial"/>
        <family val="0"/>
        <charset val="1"/>
      </rPr>
      <t xml:space="preserve">36,435(</t>
    </r>
    <r>
      <rPr>
        <sz val="10"/>
        <color rgb="FF0000FF"/>
        <rFont val="Noto Sans CJK SC"/>
        <family val="2"/>
      </rPr>
      <t xml:space="preserve">永慶寫</t>
    </r>
    <r>
      <rPr>
        <sz val="10"/>
        <color rgb="FF0000FF"/>
        <rFont val="Arial"/>
        <family val="0"/>
        <charset val="1"/>
      </rPr>
      <t xml:space="preserve">33,434)</t>
    </r>
    <r>
      <rPr>
        <sz val="10"/>
        <color rgb="FF0000FF"/>
        <rFont val="Noto Sans CJK SC"/>
        <family val="2"/>
      </rPr>
      <t xml:space="preserve">、屋齡</t>
    </r>
    <r>
      <rPr>
        <sz val="10"/>
        <color rgb="FF0000FF"/>
        <rFont val="Arial"/>
        <family val="0"/>
        <charset val="1"/>
      </rPr>
      <t xml:space="preserve">33.1</t>
    </r>
    <r>
      <rPr>
        <sz val="10"/>
        <color rgb="FF0000FF"/>
        <rFont val="Noto Sans CJK SC"/>
        <family val="2"/>
      </rPr>
      <t xml:space="preserve">年、鋼骨玻璃帷幕三面採光、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張照片；稅別兩邊均未標；永春站約</t>
    </r>
    <r>
      <rPr>
        <sz val="10"/>
        <color rgb="FF0000FF"/>
        <rFont val="Arial"/>
        <family val="0"/>
        <charset val="1"/>
      </rPr>
      <t xml:space="preserve">240m</t>
    </r>
    <r>
      <rPr>
        <sz val="10"/>
        <color rgb="FF0000FF"/>
        <rFont val="Noto Sans CJK SC"/>
        <family val="2"/>
      </rPr>
      <t xml:space="preserve">、環狀線</t>
    </r>
    <r>
      <rPr>
        <sz val="10"/>
        <color rgb="FF0000FF"/>
        <rFont val="Arial"/>
        <family val="0"/>
        <charset val="1"/>
      </rPr>
      <t xml:space="preserve">Y37</t>
    </r>
    <r>
      <rPr>
        <sz val="10"/>
        <color rgb="FF0000FF"/>
        <rFont val="Noto Sans CJK SC"/>
        <family val="2"/>
      </rPr>
      <t xml:space="preserve">施工中</t>
    </r>
  </si>
  <si>
    <t xml:space="preserve">永慶 本戶15F·14張照片</t>
  </si>
  <si>
    <t xml:space="preserve">S03</t>
  </si>
  <si>
    <t xml:space="preserve">信義 敦北長城大樓 3F ↗</t>
  </si>
  <si>
    <r>
      <rPr>
        <sz val="10"/>
        <color rgb="FF0000FF"/>
        <rFont val="Noto Sans CJK SC"/>
        <family val="2"/>
      </rPr>
      <t xml:space="preserve">八德路三段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長城大樓</t>
    </r>
    <r>
      <rPr>
        <sz val="10"/>
        <color rgb="FF0000FF"/>
        <rFont val="Arial"/>
        <family val="0"/>
        <charset val="1"/>
      </rPr>
      <t xml:space="preserve">)</t>
    </r>
  </si>
  <si>
    <t xml:space="preserve">3F/16F</t>
  </si>
  <si>
    <t xml:space="preserve">無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</si>
  <si>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國父紀念館</t>
    </r>
  </si>
  <si>
    <t xml:space="preserve">信義房屋 商仲一部</t>
  </si>
  <si>
    <r>
      <rPr>
        <sz val="10"/>
        <color rgb="FF0000FF"/>
        <rFont val="Noto Sans CJK SC"/>
        <family val="2"/>
      </rPr>
      <t xml:space="preserve">陳霆瑋 </t>
    </r>
    <r>
      <rPr>
        <sz val="10"/>
        <color rgb="FF0000FF"/>
        <rFont val="Arial"/>
        <family val="0"/>
        <charset val="1"/>
      </rPr>
      <t xml:space="preserve">0938-893-639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</si>
  <si>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189.31+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11.98+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24.54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10.9%</t>
    </r>
    <r>
      <rPr>
        <sz val="10"/>
        <color rgb="FF0000FF"/>
        <rFont val="Noto Sans CJK SC"/>
        <family val="2"/>
      </rPr>
      <t xml:space="preserve">；玻璃帷幕、氣派門廳、全日保全、男女分廁；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張照片；屋齡</t>
    </r>
    <r>
      <rPr>
        <sz val="10"/>
        <color rgb="FF0000FF"/>
        <rFont val="Arial"/>
        <family val="0"/>
        <charset val="1"/>
      </rPr>
      <t xml:space="preserve">33.9</t>
    </r>
    <r>
      <rPr>
        <sz val="10"/>
        <color rgb="FF0000FF"/>
        <rFont val="Noto Sans CJK SC"/>
        <family val="2"/>
      </rPr>
      <t xml:space="preserve">年</t>
    </r>
  </si>
  <si>
    <t xml:space="preserve">信義 本戶·21張照片（CZ05326）</t>
  </si>
  <si>
    <t xml:space="preserve">S04</t>
  </si>
  <si>
    <t xml:space="preserve">信義 光復南路大坪數辦公 6F ↗</t>
  </si>
  <si>
    <t xml:space="preserve">光復南路</t>
  </si>
  <si>
    <t xml:space="preserve">6F/11F</t>
  </si>
  <si>
    <r>
      <rPr>
        <sz val="10"/>
        <color rgb="FF0000FF"/>
        <rFont val="Noto Sans CJK SC"/>
        <family val="2"/>
      </rPr>
      <t xml:space="preserve">可另租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年租</t>
    </r>
    <r>
      <rPr>
        <sz val="10"/>
        <color rgb="FF0000FF"/>
        <rFont val="Arial"/>
        <family val="0"/>
        <charset val="1"/>
      </rPr>
      <t xml:space="preserve">2.4</t>
    </r>
    <r>
      <rPr>
        <sz val="10"/>
        <color rgb="FF0000FF"/>
        <rFont val="Noto Sans CJK SC"/>
        <family val="2"/>
      </rPr>
      <t xml:space="preserve">萬≈</t>
    </r>
    <r>
      <rPr>
        <sz val="10"/>
        <color rgb="FF0000FF"/>
        <rFont val="Arial"/>
        <family val="0"/>
        <charset val="1"/>
      </rPr>
      <t xml:space="preserve">2,000/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</si>
  <si>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市政府</t>
    </r>
  </si>
  <si>
    <t xml:space="preserve">信義房屋 松江南京店</t>
  </si>
  <si>
    <r>
      <rPr>
        <sz val="10"/>
        <color rgb="FF0000FF"/>
        <rFont val="Noto Sans CJK SC"/>
        <family val="2"/>
      </rPr>
      <t xml:space="preserve">汪智凱 </t>
    </r>
    <r>
      <rPr>
        <sz val="10"/>
        <color rgb="FF0000FF"/>
        <rFont val="Arial"/>
        <family val="0"/>
        <charset val="1"/>
      </rPr>
      <t xml:space="preserve">0921-427-889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</si>
  <si>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211.38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</t>
    </r>
    <r>
      <rPr>
        <sz val="10"/>
        <color rgb="FF0000FF"/>
        <rFont val="Arial"/>
        <family val="0"/>
        <charset val="1"/>
      </rPr>
      <t xml:space="preserve">422.76</t>
    </r>
    <r>
      <rPr>
        <sz val="10"/>
        <color rgb="FF0000FF"/>
        <rFont val="Noto Sans CJK SC"/>
        <family val="2"/>
      </rPr>
      <t xml:space="preserve">，一半分租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7F/11F 211</t>
    </r>
    <r>
      <rPr>
        <sz val="10"/>
        <color rgb="FF0000FF"/>
        <rFont val="Noto Sans CJK SC"/>
        <family val="2"/>
      </rPr>
      <t xml:space="preserve">坪「分割物件」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極可能同棟；屋齡</t>
    </r>
    <r>
      <rPr>
        <sz val="10"/>
        <color rgb="FF0000FF"/>
        <rFont val="Arial"/>
        <family val="0"/>
        <charset val="1"/>
      </rPr>
      <t xml:space="preserve">51.3</t>
    </r>
    <r>
      <rPr>
        <sz val="10"/>
        <color rgb="FF0000FF"/>
        <rFont val="Noto Sans CJK SC"/>
        <family val="2"/>
      </rPr>
      <t xml:space="preserve">年、外觀拉皮；</t>
    </r>
    <r>
      <rPr>
        <sz val="10"/>
        <color rgb="FF0000FF"/>
        <rFont val="Arial"/>
        <family val="0"/>
        <charset val="1"/>
      </rPr>
      <t xml:space="preserve">19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</si>
  <si>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本戶·19張照片（C328671）</t>
  </si>
  <si>
    <t xml:space="preserve">S05</t>
  </si>
  <si>
    <t xml:space="preserve">信義 中山區大辦公室＋大倉儲 10F ↗</t>
  </si>
  <si>
    <t xml:space="preserve">中山</t>
  </si>
  <si>
    <t xml:space="preserve">建國北路二段</t>
  </si>
  <si>
    <t xml:space="preserve">10F/12F</t>
  </si>
  <si>
    <r>
      <rPr>
        <sz val="10"/>
        <color rgb="FF0000FF"/>
        <rFont val="Noto Sans CJK SC"/>
        <family val="2"/>
      </rPr>
      <t xml:space="preserve">平面可另租</t>
    </r>
    <r>
      <rPr>
        <sz val="10"/>
        <color rgb="FF0000FF"/>
        <rFont val="Arial"/>
        <family val="0"/>
        <charset val="1"/>
      </rPr>
      <t xml:space="preserve">5,000</t>
    </r>
  </si>
  <si>
    <r>
      <rPr>
        <sz val="10"/>
        <color rgb="FF0000FF"/>
        <rFont val="Noto Sans CJK SC"/>
        <family val="2"/>
      </rPr>
      <t xml:space="preserve">中山國中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行天宮</t>
    </r>
  </si>
  <si>
    <t xml:space="preserve">信義房屋 投資二部</t>
  </si>
  <si>
    <r>
      <rPr>
        <sz val="10"/>
        <color rgb="FF0000FF"/>
        <rFont val="Noto Sans CJK SC"/>
        <family val="2"/>
      </rPr>
      <t xml:space="preserve">張聰仁 </t>
    </r>
    <r>
      <rPr>
        <sz val="10"/>
        <color rgb="FF0000FF"/>
        <rFont val="Arial"/>
        <family val="0"/>
        <charset val="1"/>
      </rPr>
      <t xml:space="preserve">0939-738-856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</si>
  <si>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246.00+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16.50+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15.54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5.6%</t>
    </r>
    <r>
      <rPr>
        <sz val="10"/>
        <color rgb="FF0000FF"/>
        <rFont val="Noto Sans CJK SC"/>
        <family val="2"/>
      </rPr>
      <t xml:space="preserve">；一層一戶、三面採光、室內有水線；屋齡</t>
    </r>
    <r>
      <rPr>
        <sz val="10"/>
        <color rgb="FF0000FF"/>
        <rFont val="Arial"/>
        <family val="0"/>
        <charset val="1"/>
      </rPr>
      <t xml:space="preserve">41.7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</si>
  <si>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本戶·16張照片（C905199）</t>
  </si>
  <si>
    <t xml:space="preserve">S06</t>
  </si>
  <si>
    <t xml:space="preserve">信義 八德正核心大辦公室 7F ↗</t>
  </si>
  <si>
    <t xml:space="preserve">八德路二段</t>
  </si>
  <si>
    <t xml:space="preserve">7F/12F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</si>
  <si>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</si>
  <si>
    <r>
      <rPr>
        <sz val="10"/>
        <color rgb="FF0000FF"/>
        <rFont val="Noto Sans CJK SC"/>
        <family val="2"/>
      </rPr>
      <t xml:space="preserve">林嘉君 </t>
    </r>
    <r>
      <rPr>
        <sz val="10"/>
        <color rgb="FF0000FF"/>
        <rFont val="Arial"/>
        <family val="0"/>
        <charset val="1"/>
      </rPr>
      <t xml:space="preserve">0912-313-517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</si>
  <si>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254.06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權狀頁面寫</t>
    </r>
    <r>
      <rPr>
        <sz val="10"/>
        <color rgb="FF0000FF"/>
        <rFont val="Arial"/>
        <family val="0"/>
        <charset val="1"/>
      </rPr>
      <t xml:space="preserve">786.72=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322.97+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12.15+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451.60</t>
    </r>
    <r>
      <rPr>
        <sz val="10"/>
        <color rgb="FF0000FF"/>
        <rFont val="Noto Sans CJK SC"/>
        <family val="2"/>
      </rPr>
      <t xml:space="preserve">，數字異常待確認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；使照樓高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米；雙捷運；屋齡</t>
    </r>
    <r>
      <rPr>
        <sz val="10"/>
        <color rgb="FF0000FF"/>
        <rFont val="Arial"/>
        <family val="0"/>
        <charset val="1"/>
      </rPr>
      <t xml:space="preserve">30.1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</si>
  <si>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本戶·9張照片（CZ05587）</t>
  </si>
  <si>
    <t xml:space="preserve">S07</t>
  </si>
  <si>
    <t xml:space="preserve">信義 明水路營業用商辦 4F ↗</t>
  </si>
  <si>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</si>
  <si>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</si>
  <si>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</si>
  <si>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大直</t>
    </r>
  </si>
  <si>
    <t xml:space="preserve">信義房屋 商仲二部</t>
  </si>
  <si>
    <r>
      <rPr>
        <sz val="10"/>
        <color rgb="FF0000FF"/>
        <rFont val="Noto Sans CJK SC"/>
        <family val="2"/>
      </rPr>
      <t xml:space="preserve">陳泰利 </t>
    </r>
    <r>
      <rPr>
        <sz val="10"/>
        <color rgb="FF0000FF"/>
        <rFont val="Arial"/>
        <family val="0"/>
        <charset val="1"/>
      </rPr>
      <t xml:space="preserve">0952-228-883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</si>
  <si>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HouseWeb W03(</t>
    </r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4F/10F 253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35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同戶；主</t>
    </r>
    <r>
      <rPr>
        <sz val="10"/>
        <color rgb="FF0000FF"/>
        <rFont val="Arial"/>
        <family val="0"/>
        <charset val="1"/>
      </rPr>
      <t xml:space="preserve">156.08+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10.69+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86.39</t>
    </r>
    <r>
      <rPr>
        <sz val="10"/>
        <color rgb="FF0000FF"/>
        <rFont val="Noto Sans CJK SC"/>
        <family val="2"/>
      </rPr>
      <t xml:space="preserve">；挑高</t>
    </r>
    <r>
      <rPr>
        <sz val="10"/>
        <color rgb="FF0000FF"/>
        <rFont val="Arial"/>
        <family val="0"/>
        <charset val="1"/>
      </rPr>
      <t xml:space="preserve">3.4</t>
    </r>
    <r>
      <rPr>
        <sz val="10"/>
        <color rgb="FF0000FF"/>
        <rFont val="Noto Sans CJK SC"/>
        <family val="2"/>
      </rPr>
      <t xml:space="preserve">米、前身月子中心；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車位；屋齡</t>
    </r>
    <r>
      <rPr>
        <sz val="10"/>
        <color rgb="FF0000FF"/>
        <rFont val="Arial"/>
        <family val="0"/>
        <charset val="1"/>
      </rPr>
      <t xml:space="preserve">25.1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</si>
  <si>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本戶·12張照片（CZ03701）</t>
  </si>
  <si>
    <t xml:space="preserve">S08</t>
  </si>
  <si>
    <t xml:space="preserve">信義 國票大樓 15F C ↗</t>
  </si>
  <si>
    <r>
      <rPr>
        <sz val="10"/>
        <color rgb="FF0000FF"/>
        <rFont val="Noto Sans CJK SC"/>
        <family val="2"/>
      </rPr>
      <t xml:space="preserve">樂群三路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</si>
  <si>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</si>
  <si>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</si>
  <si>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大直明水店</t>
  </si>
  <si>
    <r>
      <rPr>
        <sz val="10"/>
        <color rgb="FF0000FF"/>
        <rFont val="Noto Sans CJK SC"/>
        <family val="2"/>
      </rPr>
      <t xml:space="preserve">林彥儒 </t>
    </r>
    <r>
      <rPr>
        <sz val="10"/>
        <color rgb="FF0000FF"/>
        <rFont val="Arial"/>
        <family val="0"/>
        <charset val="1"/>
      </rPr>
      <t xml:space="preserve">0988-520-520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</si>
  <si>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83.14+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4.41+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125.75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59%(</t>
    </r>
    <r>
      <rPr>
        <sz val="10"/>
        <color rgb="FF0000FF"/>
        <rFont val="Noto Sans CJK SC"/>
        <family val="2"/>
      </rPr>
      <t xml:space="preserve">實用僅</t>
    </r>
    <r>
      <rPr>
        <sz val="10"/>
        <color rgb="FF0000FF"/>
        <rFont val="Arial"/>
        <family val="0"/>
        <charset val="1"/>
      </rPr>
      <t xml:space="preserve">87.55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；屋齡</t>
    </r>
    <r>
      <rPr>
        <sz val="10"/>
        <color rgb="FF0000FF"/>
        <rFont val="Arial"/>
        <family val="0"/>
        <charset val="1"/>
      </rPr>
      <t xml:space="preserve">6.8</t>
    </r>
    <r>
      <rPr>
        <sz val="10"/>
        <color rgb="FF0000FF"/>
        <rFont val="Noto Sans CJK SC"/>
        <family val="2"/>
      </rPr>
      <t xml:space="preserve">年新大樓；最短租期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</si>
  <si>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本戶·12張照片（C346398）</t>
  </si>
  <si>
    <t xml:space="preserve">S11</t>
  </si>
  <si>
    <t xml:space="preserve">信義 雙捷核心八德經典商辦 5F ↗</t>
  </si>
  <si>
    <t xml:space="preserve">5F/12F</t>
  </si>
  <si>
    <t xml:space="preserve">未標示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</si>
  <si>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</si>
  <si>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S06</t>
    </r>
    <r>
      <rPr>
        <sz val="10"/>
        <color rgb="FF0000FF"/>
        <rFont val="Noto Sans CJK SC"/>
        <family val="2"/>
      </rPr>
      <t xml:space="preserve">同棟；一層兩戶；超坪</t>
    </r>
    <r>
      <rPr>
        <sz val="10"/>
        <color rgb="FF0000FF"/>
        <rFont val="Arial"/>
        <family val="0"/>
        <charset val="1"/>
      </rPr>
      <t xml:space="preserve">65</t>
    </r>
  </si>
  <si>
    <t xml:space="preserve">信義 本戶（CZ05585）</t>
  </si>
  <si>
    <t xml:space="preserve">S12</t>
  </si>
  <si>
    <t xml:space="preserve">信義 信義大樓 21F ↗</t>
  </si>
  <si>
    <r>
      <rPr>
        <sz val="10"/>
        <color rgb="FF0000FF"/>
        <rFont val="Noto Sans CJK SC"/>
        <family val="2"/>
      </rPr>
      <t xml:space="preserve">松仁路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信義大樓</t>
    </r>
    <r>
      <rPr>
        <sz val="10"/>
        <color rgb="FF0000FF"/>
        <rFont val="Arial"/>
        <family val="0"/>
        <charset val="1"/>
      </rPr>
      <t xml:space="preserve">)</t>
    </r>
  </si>
  <si>
    <t xml:space="preserve">21F/23F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</si>
  <si>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</si>
  <si>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市政府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象山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</si>
  <si>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投資一部</t>
  </si>
  <si>
    <r>
      <rPr>
        <sz val="10"/>
        <color rgb="FF0000FF"/>
        <rFont val="Noto Sans CJK SC"/>
        <family val="2"/>
      </rPr>
      <t xml:space="preserve">許雅傑 </t>
    </r>
    <r>
      <rPr>
        <sz val="10"/>
        <color rgb="FF0000FF"/>
        <rFont val="Arial"/>
        <family val="0"/>
        <charset val="1"/>
      </rPr>
      <t xml:space="preserve">0966-513-725</t>
    </r>
  </si>
  <si>
    <r>
      <rPr>
        <sz val="10"/>
        <color rgb="FF0000FF"/>
        <rFont val="Noto Sans CJK SC"/>
        <family val="2"/>
      </rPr>
      <t xml:space="preserve">信義計畫區；可連租</t>
    </r>
    <r>
      <rPr>
        <sz val="10"/>
        <color rgb="FF0000FF"/>
        <rFont val="Arial"/>
        <family val="0"/>
        <charset val="1"/>
      </rPr>
      <t xml:space="preserve">20~22</t>
    </r>
    <r>
      <rPr>
        <sz val="10"/>
        <color rgb="FF0000FF"/>
        <rFont val="Noto Sans CJK SC"/>
        <family val="2"/>
      </rPr>
      <t xml:space="preserve">樓；超預算</t>
    </r>
  </si>
  <si>
    <t xml:space="preserve">信義 本戶（C904707）</t>
  </si>
  <si>
    <t xml:space="preserve">S13</t>
  </si>
  <si>
    <t xml:space="preserve">信義 環球世貿 10F ↗</t>
  </si>
  <si>
    <r>
      <rPr>
        <sz val="10"/>
        <color rgb="FF0000FF"/>
        <rFont val="Noto Sans CJK SC"/>
        <family val="2"/>
      </rPr>
      <t xml:space="preserve">信義路五段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環球世貿</t>
    </r>
    <r>
      <rPr>
        <sz val="10"/>
        <color rgb="FF0000FF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</si>
  <si>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</si>
  <si>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FF"/>
        <rFont val="Noto Sans CJK SC"/>
        <family val="2"/>
      </rPr>
      <t xml:space="preserve">台北</t>
    </r>
    <r>
      <rPr>
        <sz val="10"/>
        <color rgb="FF0000FF"/>
        <rFont val="Arial"/>
        <family val="0"/>
        <charset val="1"/>
      </rPr>
      <t xml:space="preserve">101/</t>
    </r>
    <r>
      <rPr>
        <sz val="10"/>
        <color rgb="FF0000FF"/>
        <rFont val="Noto Sans CJK SC"/>
        <family val="2"/>
      </rPr>
      <t xml:space="preserve">世貿</t>
    </r>
  </si>
  <si>
    <t xml:space="preserve">信義房屋 忠孝玉成店</t>
  </si>
  <si>
    <r>
      <rPr>
        <sz val="10"/>
        <color rgb="FF0000FF"/>
        <rFont val="Noto Sans CJK SC"/>
        <family val="2"/>
      </rPr>
      <t xml:space="preserve">林雍勝 </t>
    </r>
    <r>
      <rPr>
        <sz val="10"/>
        <color rgb="FF0000FF"/>
        <rFont val="Arial"/>
        <family val="0"/>
        <charset val="1"/>
      </rPr>
      <t xml:space="preserve">0915-969-937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</si>
  <si>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J01(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18F)</t>
    </r>
    <r>
      <rPr>
        <sz val="10"/>
        <color rgb="FF0000FF"/>
        <rFont val="Noto Sans CJK SC"/>
        <family val="2"/>
      </rPr>
      <t xml:space="preserve">同棟；超預算</t>
    </r>
  </si>
  <si>
    <t xml:space="preserve">信義 本戶（C360646）</t>
  </si>
  <si>
    <t xml:space="preserve">S14</t>
  </si>
  <si>
    <t xml:space="preserve">信義 復興南路稀有大空間地下室 B1 ↗</t>
  </si>
  <si>
    <t xml:space="preserve">復興南路一段</t>
  </si>
  <si>
    <t xml:space="preserve">B1/7F</t>
  </si>
  <si>
    <t xml:space="preserve">信義房屋 和平店</t>
  </si>
  <si>
    <r>
      <rPr>
        <sz val="10"/>
        <color rgb="FF0000FF"/>
        <rFont val="Noto Sans CJK SC"/>
        <family val="2"/>
      </rPr>
      <t xml:space="preserve">傅椿淵 </t>
    </r>
    <r>
      <rPr>
        <sz val="10"/>
        <color rgb="FF0000FF"/>
        <rFont val="Arial"/>
        <family val="0"/>
        <charset val="1"/>
      </rPr>
      <t xml:space="preserve">0988-100-122</t>
    </r>
  </si>
  <si>
    <r>
      <rPr>
        <sz val="10"/>
        <color rgb="FF0000FF"/>
        <rFont val="Noto Sans CJK SC"/>
        <family val="2"/>
      </rPr>
      <t xml:space="preserve">使用者提供；地下一樓、無採光，適會所；</t>
    </r>
    <r>
      <rPr>
        <sz val="10"/>
        <color rgb="FF0000FF"/>
        <rFont val="Arial"/>
        <family val="0"/>
        <charset val="1"/>
      </rPr>
      <t xml:space="preserve">300,000</t>
    </r>
    <r>
      <rPr>
        <sz val="10"/>
        <color rgb="FF0000FF"/>
        <rFont val="Noto Sans CJK SC"/>
        <family val="2"/>
      </rPr>
      <t xml:space="preserve">未稅；屋齡</t>
    </r>
    <r>
      <rPr>
        <sz val="10"/>
        <color rgb="FF0000FF"/>
        <rFont val="Arial"/>
        <family val="0"/>
        <charset val="1"/>
      </rPr>
      <t xml:space="preserve">45.8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張照片</t>
    </r>
  </si>
  <si>
    <t xml:space="preserve">信義 本戶·5張照片（C348029）</t>
  </si>
  <si>
    <t xml:space="preserve">S15</t>
  </si>
  <si>
    <t xml:space="preserve">信義 永春地下大空間店商辦 B1 ↗</t>
  </si>
  <si>
    <t xml:space="preserve">松德路</t>
  </si>
  <si>
    <t xml:space="preserve">B1/12F</t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</si>
  <si>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個升降機械</t>
    </r>
  </si>
  <si>
    <t xml:space="preserve">信義房屋 忠孝永春店</t>
  </si>
  <si>
    <r>
      <rPr>
        <sz val="10"/>
        <color rgb="FF0000FF"/>
        <rFont val="Noto Sans CJK SC"/>
        <family val="2"/>
      </rPr>
      <t xml:space="preserve">張超鈞 </t>
    </r>
    <r>
      <rPr>
        <sz val="10"/>
        <color rgb="FF0000FF"/>
        <rFont val="Arial"/>
        <family val="0"/>
        <charset val="1"/>
      </rPr>
      <t xml:space="preserve">0905-809-808</t>
    </r>
  </si>
  <si>
    <r>
      <rPr>
        <sz val="10"/>
        <color rgb="FF0000FF"/>
        <rFont val="Noto Sans CJK SC"/>
        <family val="2"/>
      </rPr>
      <t xml:space="preserve">地下一樓、獨立出入口、樓高</t>
    </r>
    <r>
      <rPr>
        <sz val="10"/>
        <color rgb="FF0000FF"/>
        <rFont val="Arial"/>
        <family val="0"/>
        <charset val="1"/>
      </rPr>
      <t xml:space="preserve">4.2</t>
    </r>
    <r>
      <rPr>
        <sz val="10"/>
        <color rgb="FF0000FF"/>
        <rFont val="Noto Sans CJK SC"/>
        <family val="2"/>
      </rPr>
      <t xml:space="preserve">米；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</si>
  <si>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本戶·18張照片（C360351）</t>
  </si>
  <si>
    <r>
      <rPr>
        <b val="true"/>
        <sz val="10"/>
        <rFont val="Noto Sans CJK SC"/>
        <family val="2"/>
      </rPr>
      <t xml:space="preserve">預算基準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月</t>
    </r>
    <r>
      <rPr>
        <b val="true"/>
        <sz val="10"/>
        <rFont val="Arial"/>
        <family val="0"/>
        <charset val="1"/>
      </rPr>
      <t xml:space="preserve">)</t>
    </r>
  </si>
  <si>
    <t xml:space="preserve">← 可修改，全表連動</t>
  </si>
  <si>
    <t xml:space="preserve">成本效率計算（黑字＝公式）</t>
  </si>
  <si>
    <r>
      <rPr>
        <b val="true"/>
        <sz val="10"/>
        <color rgb="FFFFFFFF"/>
        <rFont val="Noto Sans CJK SC"/>
        <family val="2"/>
      </rPr>
      <t xml:space="preserve">屋齡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</si>
  <si>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權狀坪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</si>
  <si>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實用坪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</si>
  <si>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月總持有成本</t>
  </si>
  <si>
    <t xml:space="preserve">每權狀坪
總成本</t>
  </si>
  <si>
    <t xml:space="preserve">每實用坪
總成本</t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</si>
  <si>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</si>
  <si>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</si>
  <si>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年總成本</t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</si>
  <si>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年總成本</t>
    </r>
  </si>
  <si>
    <t xml:space="preserve">押金金額</t>
  </si>
  <si>
    <t xml:space="preserve">資料完整度</t>
  </si>
  <si>
    <r>
      <rPr>
        <b val="true"/>
        <sz val="13"/>
        <rFont val="Noto Sans CJK SC"/>
        <family val="2"/>
      </rPr>
      <t xml:space="preserve">秀泰影城 新辦公室選址 — 優先順序建議（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案：第一優先 </t>
    </r>
    <r>
      <rPr>
        <b val="true"/>
        <sz val="13"/>
        <rFont val="Arial"/>
        <family val="0"/>
        <charset val="1"/>
      </rPr>
      <t xml:space="preserve">7</t>
    </r>
    <r>
      <rPr>
        <b val="true"/>
        <sz val="13"/>
        <rFont val="Noto Sans CJK SC"/>
        <family val="2"/>
      </rPr>
      <t xml:space="preserve">／第二優先 </t>
    </r>
    <r>
      <rPr>
        <b val="true"/>
        <sz val="13"/>
        <rFont val="Arial"/>
        <family val="0"/>
        <charset val="1"/>
      </rPr>
      <t xml:space="preserve">21</t>
    </r>
    <r>
      <rPr>
        <b val="true"/>
        <sz val="13"/>
        <rFont val="Noto Sans CJK SC"/>
        <family val="2"/>
      </rPr>
      <t xml:space="preserve">／不建議 </t>
    </r>
    <r>
      <rPr>
        <b val="true"/>
        <sz val="13"/>
        <rFont val="Arial"/>
        <family val="0"/>
        <charset val="1"/>
      </rPr>
      <t xml:space="preserve">22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</si>
  <si>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分級規則（</t>
    </r>
    <r>
      <rPr>
        <i val="true"/>
        <sz val="9"/>
        <color rgb="FF666666"/>
        <rFont val="Arial"/>
        <family val="0"/>
        <charset val="1"/>
      </rPr>
      <t xml:space="preserve">2026-09-23 </t>
    </r>
    <r>
      <rPr>
        <i val="true"/>
        <sz val="9"/>
        <color rgb="FF666666"/>
        <rFont val="Noto Sans CJK SC"/>
        <family val="2"/>
      </rPr>
      <t xml:space="preserve">使用者指定）：第一優先＝計租坪 ≥ </t>
    </r>
    <r>
      <rPr>
        <i val="true"/>
        <sz val="9"/>
        <color rgb="FF666666"/>
        <rFont val="Arial"/>
        <family val="0"/>
        <charset val="1"/>
      </rPr>
      <t xml:space="preserve">220 </t>
    </r>
    <r>
      <rPr>
        <i val="true"/>
        <sz val="9"/>
        <color rgb="FF666666"/>
        <rFont val="Noto Sans CJK SC"/>
        <family val="2"/>
      </rPr>
      <t xml:space="preserve">且 月總成本 ≤ </t>
    </r>
    <r>
      <rPr>
        <i val="true"/>
        <sz val="9"/>
        <color rgb="FF666666"/>
        <rFont val="Arial"/>
        <family val="0"/>
        <charset val="1"/>
      </rPr>
      <t xml:space="preserve">44</t>
    </r>
    <r>
      <rPr>
        <i val="true"/>
        <sz val="9"/>
        <color rgb="FF666666"/>
        <rFont val="Noto Sans CJK SC"/>
        <family val="2"/>
      </rPr>
      <t xml:space="preserve">萬（優先看屋）；第二優先＝月總成本 ≤ </t>
    </r>
    <r>
      <rPr>
        <i val="true"/>
        <sz val="9"/>
        <color rgb="FF666666"/>
        <rFont val="Arial"/>
        <family val="0"/>
        <charset val="1"/>
      </rPr>
      <t xml:space="preserve">48</t>
    </r>
    <r>
      <rPr>
        <i val="true"/>
        <sz val="9"/>
        <color rgb="FF666666"/>
        <rFont val="Noto Sans CJK SC"/>
        <family val="2"/>
      </rPr>
      <t xml:space="preserve">萬（可以談）；不建議＝成本超過</t>
    </r>
    <r>
      <rPr>
        <i val="true"/>
        <sz val="9"/>
        <color rgb="FF666666"/>
        <rFont val="Arial"/>
        <family val="0"/>
        <charset val="1"/>
      </rPr>
      <t xml:space="preserve">48</t>
    </r>
    <r>
      <rPr>
        <i val="true"/>
        <sz val="9"/>
        <color rgb="FF666666"/>
        <rFont val="Noto Sans CJK SC"/>
        <family val="2"/>
      </rPr>
      <t xml:space="preserve">萬、不在四區、地下室或同戶重複（先不看）。同一級內坪數大的排前面。月總成本＝含稅租金＋管理費＋車位；缺管理費者成本為低估值，已在理由欄註明。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缺</t>
    </r>
  </si>
  <si>
    <t xml:space="preserve">順位</t>
  </si>
  <si>
    <t xml:space="preserve">層級</t>
  </si>
  <si>
    <t xml:space="preserve">地址／路段</t>
  </si>
  <si>
    <r>
      <rPr>
        <b val="true"/>
        <sz val="10"/>
        <color rgb="FFFFFFFF"/>
        <rFont val="Noto Sans CJK SC"/>
        <family val="2"/>
      </rPr>
      <t xml:space="preserve">權狀坪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計租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</si>
  <si>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
口徑</t>
  </si>
  <si>
    <t xml:space="preserve">車位月費</t>
  </si>
  <si>
    <t xml:space="preserve">月總持有
成本</t>
  </si>
  <si>
    <t xml:space="preserve">較預算
差額</t>
  </si>
  <si>
    <t xml:space="preserve">最近捷運</t>
  </si>
  <si>
    <t xml:space="preserve">屋齡</t>
  </si>
  <si>
    <t xml:space="preserve">排序理由</t>
  </si>
  <si>
    <t xml:space="preserve">下一步動作</t>
  </si>
  <si>
    <t xml:space="preserve">第一優先</t>
  </si>
  <si>
    <t xml:space="preserve">含稅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</si>
  <si>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</si>
  <si>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（缺管理費，實際成本更高）：≥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坪且≤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萬　｜　信義 八德路二段</t>
    </r>
    <r>
      <rPr>
        <sz val="10"/>
        <color rgb="FF000000"/>
        <rFont val="Arial"/>
        <family val="0"/>
        <charset val="1"/>
      </rPr>
      <t xml:space="preserve">5F 285.67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同棟、一層兩戶；超坪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，管理費未揭露。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</si>
  <si>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談不成再看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</si>
  <si>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</si>
  <si>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278.04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431,000</t>
    </r>
    <r>
      <rPr>
        <sz val="10"/>
        <color rgb="FF000000"/>
        <rFont val="Noto Sans CJK SC"/>
        <family val="2"/>
      </rPr>
      <t xml:space="preserve">：≥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坪且≤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萬　｜　信義 建國北路二段</t>
    </r>
    <r>
      <rPr>
        <sz val="10"/>
        <color rgb="FF000000"/>
        <rFont val="Arial"/>
        <family val="0"/>
        <charset val="1"/>
      </rPr>
      <t xml:space="preserve">10F 278.04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5,000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431,000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262.5</t>
    </r>
    <r>
      <rPr>
        <sz val="10"/>
        <color rgb="FF000000"/>
        <rFont val="Noto Sans CJK SC"/>
        <family val="2"/>
      </rPr>
      <t xml:space="preserve">坪、公設</t>
    </r>
    <r>
      <rPr>
        <sz val="10"/>
        <color rgb="FF000000"/>
        <rFont val="Arial"/>
        <family val="0"/>
        <charset val="1"/>
      </rPr>
      <t xml:space="preserve">5.6%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1,642</t>
    </r>
    <r>
      <rPr>
        <sz val="10"/>
        <color rgb="FF000000"/>
        <rFont val="Noto Sans CJK SC"/>
        <family val="2"/>
      </rPr>
      <t xml:space="preserve">為全場最低；一層一戶、三面採光。代價：超坪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坪、屋齡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年、捷運步行時間未揭露。</t>
    </r>
  </si>
  <si>
    <r>
      <rPr>
        <sz val="10"/>
        <color rgb="FF000000"/>
        <rFont val="Noto Sans CJK SC"/>
        <family val="2"/>
      </rPr>
      <t xml:space="preserve">約看；若可分租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坪或議價則升第一優先</t>
    </r>
  </si>
  <si>
    <t xml:space="preserve">W07</t>
  </si>
  <si>
    <t xml:space="preserve">【大直辦公室出租】空間大好規劃、採光佳 ↗</t>
  </si>
  <si>
    <t xml:space="preserve">3F/10F</t>
  </si>
  <si>
    <r>
      <rPr>
        <sz val="10"/>
        <color rgb="FF0000FF"/>
        <rFont val="Noto Sans CJK SC"/>
        <family val="2"/>
      </rPr>
      <t xml:space="preserve">刊登價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稅別未標</t>
    </r>
  </si>
  <si>
    <r>
      <rPr>
        <sz val="10"/>
        <color rgb="FF0000FF"/>
        <rFont val="Noto Sans CJK SC"/>
        <family val="2"/>
      </rPr>
      <t xml:space="preserve">平面式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費用另計</t>
    </r>
    <r>
      <rPr>
        <sz val="10"/>
        <color rgb="FF0000FF"/>
        <rFont val="Arial"/>
        <family val="0"/>
        <charset val="1"/>
      </rPr>
      <t xml:space="preserve">)</t>
    </r>
  </si>
  <si>
    <t xml:space="preserve">面議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</si>
  <si>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</si>
  <si>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優昇商用 連先生</t>
  </si>
  <si>
    <t xml:space="preserve">02-8751-6676</t>
  </si>
  <si>
    <r>
      <rPr>
        <sz val="10"/>
        <color rgb="FF0000FF"/>
        <rFont val="Arial"/>
        <family val="0"/>
        <charset val="1"/>
      </rPr>
      <t xml:space="preserve">@1,499</t>
    </r>
    <r>
      <rPr>
        <sz val="10"/>
        <color rgb="FF0000FF"/>
        <rFont val="Noto Sans CJK SC"/>
        <family val="2"/>
      </rPr>
      <t xml:space="preserve">；押金面議、最短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</si>
  <si>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HouseWeb·27張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</si>
  <si>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（缺管理費，實際成本更高）：≥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坪且≤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萬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</si>
  <si>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t xml:space="preserve">若營運長接受大直，再索取物調表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</si>
  <si>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423,010</t>
    </r>
    <r>
      <rPr>
        <sz val="10"/>
        <color rgb="FF000000"/>
        <rFont val="Noto Sans CJK SC"/>
        <family val="2"/>
      </rPr>
      <t xml:space="preserve">：≥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坪且≤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萬　｜　信義 八德路二段</t>
    </r>
    <r>
      <rPr>
        <sz val="10"/>
        <color rgb="FF000000"/>
        <rFont val="Arial"/>
        <family val="0"/>
        <charset val="1"/>
      </rPr>
      <t xml:space="preserve">7F 254.06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41,920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423,010</t>
    </r>
    <r>
      <rPr>
        <sz val="10"/>
        <color rgb="FF000000"/>
        <rFont val="Noto Sans CJK SC"/>
        <family val="2"/>
      </rPr>
      <t xml:space="preserve">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米、雙捷運、屋齡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年。代價：超坪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、權狀頁面數字異常</t>
    </r>
    <r>
      <rPr>
        <sz val="10"/>
        <color rgb="FF000000"/>
        <rFont val="Arial"/>
        <family val="0"/>
        <charset val="1"/>
      </rPr>
      <t xml:space="preserve">(786.72)</t>
    </r>
    <r>
      <rPr>
        <sz val="10"/>
        <color rgb="FF000000"/>
        <rFont val="Noto Sans CJK SC"/>
        <family val="2"/>
      </rPr>
      <t xml:space="preserve">、實用坪未明。</t>
    </r>
  </si>
  <si>
    <t xml:space="preserve">請信義提供權狀與平面圖；約看</t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</si>
  <si>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</si>
  <si>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253.16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386,676</t>
    </r>
    <r>
      <rPr>
        <sz val="10"/>
        <color rgb="FF000000"/>
        <rFont val="Noto Sans CJK SC"/>
        <family val="2"/>
      </rPr>
      <t xml:space="preserve">：≥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坪且≤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萬</t>
    </r>
  </si>
  <si>
    <t xml:space="preserve">—</t>
  </si>
  <si>
    <t xml:space="preserve">W06</t>
  </si>
  <si>
    <t xml:space="preserve">【大直辦公室出租】優質辦公室、採光佳 ↗</t>
  </si>
  <si>
    <t xml:space="preserve">平面式</t>
  </si>
  <si>
    <r>
      <rPr>
        <sz val="10"/>
        <color rgb="FF0000FF"/>
        <rFont val="Arial"/>
        <family val="0"/>
        <charset val="1"/>
      </rPr>
      <t xml:space="preserve">@1,508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W03</t>
    </r>
    <r>
      <rPr>
        <sz val="10"/>
        <color rgb="FF0000FF"/>
        <rFont val="Noto Sans CJK SC"/>
        <family val="2"/>
      </rPr>
      <t xml:space="preserve">同棟同層</t>
    </r>
    <r>
      <rPr>
        <sz val="10"/>
        <color rgb="FF0000FF"/>
        <rFont val="Arial"/>
        <family val="0"/>
        <charset val="1"/>
      </rPr>
      <t xml:space="preserve">?</t>
    </r>
  </si>
  <si>
    <t xml:space="preserve">HouseWeb·37張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</si>
  <si>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（缺管理費，實際成本更高）：≥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坪且≤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萬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</si>
  <si>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t xml:space="preserve">J11</t>
  </si>
  <si>
    <t xml:space="preserve">八德路vs龍江路 2F 220坪 ↗</t>
  </si>
  <si>
    <r>
      <rPr>
        <sz val="10"/>
        <color rgb="FF0000FF"/>
        <rFont val="Noto Sans CJK SC"/>
        <family val="2"/>
      </rPr>
      <t xml:space="preserve">八德路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龍江路</t>
    </r>
  </si>
  <si>
    <t xml:space="preserve">2F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</si>
  <si>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×1.05</t>
    </r>
  </si>
  <si>
    <t xml:space="preserve">傑森愛華</t>
  </si>
  <si>
    <r>
      <rPr>
        <sz val="10"/>
        <color rgb="FF0000FF"/>
        <rFont val="Noto Sans CJK SC"/>
        <family val="2"/>
      </rPr>
      <t xml:space="preserve">張先生 </t>
    </r>
    <r>
      <rPr>
        <sz val="10"/>
        <color rgb="FF0000FF"/>
        <rFont val="Arial"/>
        <family val="0"/>
        <charset val="1"/>
      </rPr>
      <t xml:space="preserve">0931-330823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</si>
  <si>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級帷幕純辦，地標大樓，入口大，正方，挑高</t>
    </r>
  </si>
  <si>
    <t xml:space="preserve">傑森愛華原始PDF 第3頁（此列無照片）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</si>
  <si>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（缺管理費，實際成本更高）：≥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坪且≤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萬　｜　唯一「坪數精準＋含稅租金在預算內」且自述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級帷幕地標挑高；但只有一行清單，管理費、使用率、照片全無。</t>
    </r>
  </si>
  <si>
    <r>
      <rPr>
        <sz val="10"/>
        <color rgb="FF000000"/>
        <rFont val="Noto Sans CJK SC"/>
        <family val="2"/>
      </rPr>
      <t xml:space="preserve">向傑森愛華索取單筆報表與帶看；確認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樓採光與門牌</t>
    </r>
  </si>
  <si>
    <t xml:space="preserve">第二優先</t>
  </si>
  <si>
    <t xml:space="preserve">J13</t>
  </si>
  <si>
    <t xml:space="preserve">民生東路VS建國北路 2*F 225坪 ↗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</si>
  <si>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建國北路</t>
    </r>
  </si>
  <si>
    <t xml:space="preserve">2*F</t>
  </si>
  <si>
    <r>
      <rPr>
        <sz val="10"/>
        <color rgb="FF0000FF"/>
        <rFont val="Noto Sans CJK SC"/>
        <family val="2"/>
      </rPr>
      <t xml:space="preserve">帷幕純辦、入口佳，正方、公設低、一層一戶，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個門牌，獨立空調，面樹景</t>
    </r>
  </si>
  <si>
    <t xml:space="preserve">傑森愛華原始PDF 第4頁（含照片）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</si>
  <si>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（缺管理費，實際成本更高）：≥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坪，成本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</si>
  <si>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不推進</t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</si>
  <si>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</si>
  <si>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：≥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坪，成本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使用者提供：永慶 安敦國際大樓</t>
    </r>
    <r>
      <rPr>
        <sz val="10"/>
        <color rgb="FF000000"/>
        <rFont val="Arial"/>
        <family val="0"/>
        <charset val="1"/>
      </rPr>
      <t xml:space="preserve">14F 224.18</t>
    </r>
    <r>
      <rPr>
        <sz val="10"/>
        <color rgb="FF000000"/>
        <rFont val="Noto Sans CJK SC"/>
        <family val="2"/>
      </rPr>
      <t xml:space="preserve">坪，刊登</t>
    </r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含車位＋管理費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480,000(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案同棟高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層、視野較佳；忠孝敦化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分。但比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7F(420,000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貴，總成本超預算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</si>
  <si>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Noto Sans CJK SC"/>
        <family val="2"/>
      </rPr>
      <t xml:space="preserve">作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案議價對照：同棟</t>
    </r>
    <r>
      <rPr>
        <sz val="10"/>
        <color rgb="FF000000"/>
        <rFont val="Arial"/>
        <family val="0"/>
        <charset val="1"/>
      </rPr>
      <t xml:space="preserve">14F 448,000 vs 7F 420,000</t>
    </r>
    <r>
      <rPr>
        <sz val="10"/>
        <color rgb="FF000000"/>
        <rFont val="Noto Sans CJK SC"/>
        <family val="2"/>
      </rPr>
      <t xml:space="preserve">；若堅持高樓層再談</t>
    </r>
  </si>
  <si>
    <t xml:space="preserve">J12</t>
  </si>
  <si>
    <t xml:space="preserve">敦化南路2段 (中鼎大樓 77號2樓) 2F 222坪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</si>
  <si>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</si>
  <si>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</t>
    </r>
  </si>
  <si>
    <t xml:space="preserve">中央空調</t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</si>
  <si>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33,300/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空曠毛胚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案同棟；信義</t>
    </r>
    <r>
      <rPr>
        <sz val="10"/>
        <color rgb="FF0000FF"/>
        <rFont val="Arial"/>
        <family val="0"/>
        <charset val="1"/>
      </rPr>
      <t xml:space="preserve">CZ05228</t>
    </r>
    <r>
      <rPr>
        <sz val="10"/>
        <color rgb="FF0000FF"/>
        <rFont val="Noto Sans CJK SC"/>
        <family val="2"/>
      </rPr>
      <t xml:space="preserve">「敦南樹景純辦」即同戶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222.28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168.32+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53.96)</t>
    </r>
    <r>
      <rPr>
        <sz val="10"/>
        <color rgb="FF0000FF"/>
        <rFont val="Noto Sans CJK SC"/>
        <family val="2"/>
      </rPr>
      <t xml:space="preserve">、刊登</t>
    </r>
    <r>
      <rPr>
        <sz val="10"/>
        <color rgb="FF0000FF"/>
        <rFont val="Arial"/>
        <family val="0"/>
        <charset val="1"/>
      </rPr>
      <t xml:space="preserve">455,000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31,120</t>
    </r>
    <r>
      <rPr>
        <sz val="10"/>
        <color rgb="FF0000FF"/>
        <rFont val="Noto Sans CJK SC"/>
        <family val="2"/>
      </rPr>
      <t xml:space="preserve">、無車位、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張照片——與傑森愛華</t>
    </r>
    <r>
      <rPr>
        <sz val="10"/>
        <color rgb="FF0000FF"/>
        <rFont val="Arial"/>
        <family val="0"/>
        <charset val="1"/>
      </rPr>
      <t xml:space="preserve">420,000</t>
    </r>
    <r>
      <rPr>
        <sz val="10"/>
        <color rgb="FF0000FF"/>
        <rFont val="Noto Sans CJK SC"/>
        <family val="2"/>
      </rPr>
      <t xml:space="preserve">含稅相差</t>
    </r>
    <r>
      <rPr>
        <sz val="10"/>
        <color rgb="FF0000FF"/>
        <rFont val="Arial"/>
        <family val="0"/>
        <charset val="1"/>
      </rPr>
      <t xml:space="preserve">3.5</t>
    </r>
    <r>
      <rPr>
        <sz val="10"/>
        <color rgb="FF0000FF"/>
        <rFont val="Noto Sans CJK SC"/>
        <family val="2"/>
      </rPr>
      <t xml:space="preserve">萬</t>
    </r>
  </si>
  <si>
    <t xml:space="preserve">傑森愛華單筆報表PDF（中鼎2F·2頁，含照片）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</si>
  <si>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474,300</t>
    </r>
    <r>
      <rPr>
        <sz val="10"/>
        <color rgb="FF000000"/>
        <rFont val="Noto Sans CJK SC"/>
        <family val="2"/>
      </rPr>
      <t xml:space="preserve">：≥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坪，成本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含稅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33,300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  <r>
      <rPr>
        <sz val="10"/>
        <color rgb="FF000000"/>
        <rFont val="Arial"/>
        <family val="0"/>
        <charset val="1"/>
      </rPr>
      <t xml:space="preserve">21,000</t>
    </r>
    <r>
      <rPr>
        <sz val="10"/>
        <color rgb="FF000000"/>
        <rFont val="Noto Sans CJK SC"/>
        <family val="2"/>
      </rPr>
      <t xml:space="preserve">；使用率</t>
    </r>
    <r>
      <rPr>
        <sz val="10"/>
        <color rgb="FF000000"/>
        <rFont val="Arial"/>
        <family val="0"/>
        <charset val="1"/>
      </rPr>
      <t xml:space="preserve">78%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坪；毛胚需全裝修；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 信義</t>
    </r>
    <r>
      <rPr>
        <sz val="10"/>
        <color rgb="FF000000"/>
        <rFont val="Arial"/>
        <family val="0"/>
        <charset val="1"/>
      </rPr>
      <t xml:space="preserve">CZ05228</t>
    </r>
    <r>
      <rPr>
        <sz val="10"/>
        <color rgb="FF000000"/>
        <rFont val="Noto Sans CJK SC"/>
        <family val="2"/>
      </rPr>
      <t xml:space="preserve">同戶刊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，比傑森愛華貴</t>
    </r>
    <r>
      <rPr>
        <sz val="10"/>
        <color rgb="FF000000"/>
        <rFont val="Arial"/>
        <family val="0"/>
        <charset val="1"/>
      </rPr>
      <t xml:space="preserve">3.5</t>
    </r>
    <r>
      <rPr>
        <sz val="10"/>
        <color rgb="FF000000"/>
        <rFont val="Noto Sans CJK SC"/>
        <family val="2"/>
      </rPr>
      <t xml:space="preserve">萬，以傑森愛華價為準議。</t>
    </r>
  </si>
  <si>
    <t xml:space="preserve">暫不推進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</si>
  <si>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</si>
  <si>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450,913</t>
    </r>
    <r>
      <rPr>
        <sz val="10"/>
        <color rgb="FF000000"/>
        <rFont val="Noto Sans CJK SC"/>
        <family val="2"/>
      </rPr>
      <t xml:space="preserve">：≥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坪，成本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坪數</t>
    </r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最精準；忠孝敦化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分全案最佳；獨立空調＋含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車位；資料最完整。同戶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另一仲介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含稅可作議價錨。</t>
    </r>
  </si>
  <si>
    <r>
      <rPr>
        <sz val="10"/>
        <color rgb="FF000000"/>
        <rFont val="Noto Sans CJK SC"/>
        <family val="2"/>
      </rPr>
      <t xml:space="preserve">約看＋以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含稅出價；租期由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年改談</t>
    </r>
    <r>
      <rPr>
        <sz val="10"/>
        <color rgb="FF000000"/>
        <rFont val="Arial"/>
        <family val="0"/>
        <charset val="1"/>
      </rPr>
      <t xml:space="preserve">3+2</t>
    </r>
    <r>
      <rPr>
        <sz val="10"/>
        <color rgb="FF000000"/>
        <rFont val="Noto Sans CJK SC"/>
        <family val="2"/>
      </rPr>
      <t xml:space="preserve">；確認樓高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可否接受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</si>
  <si>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</si>
  <si>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405,500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 光復南路</t>
    </r>
    <r>
      <rPr>
        <sz val="10"/>
        <color rgb="FF000000"/>
        <rFont val="Arial"/>
        <family val="0"/>
        <charset val="1"/>
      </rPr>
      <t xml:space="preserve">6F 211.38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15,000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405,500</t>
    </r>
    <r>
      <rPr>
        <sz val="10"/>
        <color rgb="FF000000"/>
        <rFont val="Noto Sans CJK SC"/>
        <family val="2"/>
      </rPr>
      <t xml:space="preserve">；但屋齡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年全場最老之一、為對半分租戶；與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案同棟可能性高。</t>
    </r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</si>
  <si>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案一併詢價比較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</si>
  <si>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417,935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含稅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；但為「分割物件」權狀坪待丈量，門牌、公設比、屋齡未揭露，刊登價自相矛盾。 另：信義</t>
    </r>
    <r>
      <rPr>
        <sz val="10"/>
        <color rgb="FF000000"/>
        <rFont val="Arial"/>
        <family val="0"/>
        <charset val="1"/>
      </rPr>
      <t xml:space="preserve">C328671</t>
    </r>
    <r>
      <rPr>
        <sz val="10"/>
        <color rgb="FF000000"/>
        <rFont val="Noto Sans CJK SC"/>
        <family val="2"/>
      </rPr>
      <t xml:space="preserve">同條路</t>
    </r>
    <r>
      <rPr>
        <sz val="10"/>
        <color rgb="FF000000"/>
        <rFont val="Arial"/>
        <family val="0"/>
        <charset val="1"/>
      </rPr>
      <t xml:space="preserve">6F/11F 211.38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422.76</t>
    </r>
    <r>
      <rPr>
        <sz val="10"/>
        <color rgb="FF000000"/>
        <rFont val="Noto Sans CJK SC"/>
        <family val="2"/>
      </rPr>
      <t xml:space="preserve">對半分租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，極可能同棟，可交叉比價。</t>
    </r>
  </si>
  <si>
    <t xml:space="preserve">要求權狀、門牌與分割後坪數再評估</t>
  </si>
  <si>
    <t xml:space="preserve">J09</t>
  </si>
  <si>
    <t xml:space="preserve">敦化北路VS民生東路 2F 211坪 ↗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</si>
  <si>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民生東路</t>
    </r>
  </si>
  <si>
    <t xml:space="preserve">純辦、三角窗、店辦，外商區、此區單價最低，公設低，屋況佳</t>
  </si>
  <si>
    <t xml:space="preserve">傑森愛華原始PDF 第3頁（含照片）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</si>
  <si>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（缺管理費，實際成本更高）：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</si>
  <si>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J07</t>
  </si>
  <si>
    <t xml:space="preserve">仁愛路4段近復興南路 (鴻霖大樓 25號10樓之2) 10F 210坪 ↗</t>
  </si>
  <si>
    <r>
      <rPr>
        <sz val="10"/>
        <color rgb="FF0000FF"/>
        <rFont val="Noto Sans CJK SC"/>
        <family val="2"/>
      </rPr>
      <t xml:space="preserve">仁愛路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段近復興南路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鴻霖大樓 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樓之</t>
    </r>
    <r>
      <rPr>
        <sz val="10"/>
        <color rgb="FF0000FF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</si>
  <si>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</si>
  <si>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FF"/>
        <rFont val="Noto Sans CJK SC"/>
        <family val="2"/>
      </rPr>
      <t xml:space="preserve">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</si>
  <si>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大安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</si>
  <si>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</si>
  <si>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【已取得單筆報表】屋齡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信義社區頁</t>
    </r>
    <r>
      <rPr>
        <sz val="10"/>
        <color rgb="FF0000FF"/>
        <rFont val="Arial"/>
        <family val="0"/>
        <charset val="1"/>
      </rPr>
      <t xml:space="preserve">,12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戶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公設</t>
    </r>
    <r>
      <rPr>
        <sz val="10"/>
        <color rgb="FF0000FF"/>
        <rFont val="Arial"/>
        <family val="0"/>
        <charset val="1"/>
      </rPr>
      <t xml:space="preserve">28%,</t>
    </r>
    <r>
      <rPr>
        <sz val="10"/>
        <color rgb="FF0000FF"/>
        <rFont val="Noto Sans CJK SC"/>
        <family val="2"/>
      </rPr>
      <t xml:space="preserve">馬賽克外牆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、使用率</t>
    </r>
    <r>
      <rPr>
        <sz val="10"/>
        <color rgb="FF0000FF"/>
        <rFont val="Arial"/>
        <family val="0"/>
        <charset val="1"/>
      </rPr>
      <t xml:space="preserve">73%(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190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39,900/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、獨立空調、車位另租、租期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大安；含照片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張。原文：高級地段、純辦（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個門牌）、工業風漂亮裝潢、正方、公設低</t>
    </r>
  </si>
  <si>
    <t xml:space="preserve">傑森愛華單筆報表PDF（鴻霖10F之2·3頁，含照片）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</si>
  <si>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407,400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含稅</t>
    </r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39,900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407,400</t>
    </r>
    <r>
      <rPr>
        <sz val="10"/>
        <color rgb="FF000000"/>
        <rFont val="Noto Sans CJK SC"/>
        <family val="2"/>
      </rPr>
      <t xml:space="preserve">貼近預算；雙捷運；工業風裝潢可省裝修；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張照片。但屋齡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73%(</t>
    </r>
    <r>
      <rPr>
        <sz val="10"/>
        <color rgb="FF000000"/>
        <rFont val="Noto Sans CJK SC"/>
        <family val="2"/>
      </rPr>
      <t xml:space="preserve">實用約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、每實用坪</t>
    </r>
    <r>
      <rPr>
        <sz val="10"/>
        <color rgb="FF000000"/>
        <rFont val="Arial"/>
        <family val="0"/>
        <charset val="1"/>
      </rPr>
      <t xml:space="preserve">2,657</t>
    </r>
    <r>
      <rPr>
        <sz val="10"/>
        <color rgb="FF000000"/>
        <rFont val="Noto Sans CJK SC"/>
        <family val="2"/>
      </rPr>
      <t xml:space="preserve">偏高。</t>
    </r>
  </si>
  <si>
    <r>
      <rPr>
        <sz val="10"/>
        <color rgb="FF000000"/>
        <rFont val="Noto Sans CJK SC"/>
        <family val="2"/>
      </rPr>
      <t xml:space="preserve">確認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坪實用是否夠用、車位月費；夠用即約看</t>
    </r>
  </si>
  <si>
    <t xml:space="preserve">J06</t>
  </si>
  <si>
    <t xml:space="preserve">中山北路1段近市民大道 9F 209坪 ↗</t>
  </si>
  <si>
    <r>
      <rPr>
        <sz val="10"/>
        <color rgb="FF0000FF"/>
        <rFont val="Noto Sans CJK SC"/>
        <family val="2"/>
      </rPr>
      <t xml:space="preserve">中山北路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段近市民大道</t>
    </r>
  </si>
  <si>
    <t xml:space="preserve">9F</t>
  </si>
  <si>
    <t xml:space="preserve">帷幕純辦、入口佳、正方、一層一戶、適百業、近火車站或中山站</t>
  </si>
  <si>
    <t xml:space="preserve">傑森愛華原始PDF 第2頁（含照片）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</si>
  <si>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（缺管理費，實際成本更高）：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</si>
  <si>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</si>
  <si>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208.96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434,435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信義同戶：家美金融大樓</t>
    </r>
    <r>
      <rPr>
        <sz val="10"/>
        <color rgb="FF000000"/>
        <rFont val="Arial"/>
        <family val="0"/>
        <charset val="1"/>
      </rPr>
      <t xml:space="preserve">15F 208.96</t>
    </r>
    <r>
      <rPr>
        <sz val="10"/>
        <color rgb="FF000000"/>
        <rFont val="Noto Sans CJK SC"/>
        <family val="2"/>
      </rPr>
      <t xml:space="preserve">坪，</t>
    </r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434,435(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；信義頁補齊主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車位、鋼骨玻璃帷幕三面採光；永春站約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分。信義區東側非計畫區。</t>
    </r>
  </si>
  <si>
    <t xml:space="preserve">向兩家確認稅別與車位；約看</t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</si>
  <si>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</si>
  <si>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207.04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389,134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唯一低於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萬的物調表案，但實用僅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坪、無車位、屋齡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年、樓高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；同層另有</t>
    </r>
    <r>
      <rPr>
        <sz val="10"/>
        <color rgb="FF000000"/>
        <rFont val="Arial"/>
        <family val="0"/>
        <charset val="1"/>
      </rPr>
      <t xml:space="preserve">83/63</t>
    </r>
    <r>
      <rPr>
        <sz val="10"/>
        <color rgb="FF000000"/>
        <rFont val="Noto Sans CJK SC"/>
        <family val="2"/>
      </rPr>
      <t xml:space="preserve">坪小戶分開刊登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，整層可得性待確認。</t>
    </r>
  </si>
  <si>
    <t xml:space="preserve">排除</t>
  </si>
  <si>
    <t xml:space="preserve">W02</t>
  </si>
  <si>
    <t xml:space="preserve">【松山區辦公室出租】漂亮裝潢隔間、高樓層 ↗</t>
  </si>
  <si>
    <t xml:space="preserve">八德路四段</t>
  </si>
  <si>
    <t xml:space="preserve">9F/16F</t>
  </si>
  <si>
    <r>
      <rPr>
        <sz val="10"/>
        <color rgb="FF0000FF"/>
        <rFont val="Noto Sans CJK SC"/>
        <family val="2"/>
      </rPr>
      <t xml:space="preserve">未揭露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八德路四段近松山車站</t>
    </r>
    <r>
      <rPr>
        <sz val="10"/>
        <color rgb="FF0000FF"/>
        <rFont val="Arial"/>
        <family val="0"/>
        <charset val="1"/>
      </rPr>
      <t xml:space="preserve">)</t>
    </r>
  </si>
  <si>
    <t xml:space="preserve">02-8751-6676 / 0939-658-987</t>
  </si>
  <si>
    <r>
      <rPr>
        <sz val="10"/>
        <color rgb="FF0000FF"/>
        <rFont val="Arial"/>
        <family val="0"/>
        <charset val="1"/>
      </rPr>
      <t xml:space="preserve">@1,703</t>
    </r>
    <r>
      <rPr>
        <sz val="10"/>
        <color rgb="FF0000FF"/>
        <rFont val="Noto Sans CJK SC"/>
        <family val="2"/>
      </rPr>
      <t xml:space="preserve">；現況有裝潢隔間；服務費半個月</t>
    </r>
  </si>
  <si>
    <t xml:space="preserve">HouseWeb·38張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</si>
  <si>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（缺管理費，實際成本更高）：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刊登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(@1,703)</t>
    </r>
    <r>
      <rPr>
        <sz val="10"/>
        <color rgb="FF000000"/>
        <rFont val="Noto Sans CJK SC"/>
        <family val="2"/>
      </rPr>
      <t xml:space="preserve">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坪接近需求。稅別、管理費、門牌與捷運距離未揭露。</t>
    </r>
  </si>
  <si>
    <t xml:space="preserve">向優昇連先生索取物調表；確認門牌與捷運</t>
  </si>
  <si>
    <t xml:space="preserve">W10</t>
  </si>
  <si>
    <t xml:space="preserve">【信義區辦公室出租】全空好規劃、採光佳、高樓層 ↗</t>
  </si>
  <si>
    <t xml:space="preserve">松山路</t>
  </si>
  <si>
    <t xml:space="preserve">7F/10F</t>
  </si>
  <si>
    <r>
      <rPr>
        <sz val="10"/>
        <color rgb="FF0000FF"/>
        <rFont val="Noto Sans CJK SC"/>
        <family val="2"/>
      </rPr>
      <t xml:space="preserve">永春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後山埤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推定，非信義計畫區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</si>
  <si>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@1,463</t>
    </r>
    <r>
      <rPr>
        <sz val="10"/>
        <color rgb="FF0000FF"/>
        <rFont val="Noto Sans CJK SC"/>
        <family val="2"/>
      </rPr>
      <t xml:space="preserve">；全空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</t>
    </r>
    <r>
      <rPr>
        <sz val="10"/>
        <color rgb="FF0000FF"/>
        <rFont val="Arial"/>
        <family val="0"/>
        <charset val="1"/>
      </rPr>
      <t xml:space="preserve">)</t>
    </r>
  </si>
  <si>
    <t xml:space="preserve">HouseWeb·20張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</si>
  <si>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（缺管理費，實際成本更高）：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刊登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(@1,463)</t>
    </r>
    <r>
      <rPr>
        <sz val="10"/>
        <color rgb="FF000000"/>
        <rFont val="Noto Sans CJK SC"/>
        <family val="2"/>
      </rPr>
      <t xml:space="preserve">全場第二便宜、平面車位、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坪符合；全空毛胚需全裝修；松山路屬信義區東側非計畫區。稅別、管理費未揭露。</t>
    </r>
  </si>
  <si>
    <t xml:space="preserve">索取物調表；確認門牌、捷運步行時間</t>
  </si>
  <si>
    <t xml:space="preserve">J02</t>
  </si>
  <si>
    <t xml:space="preserve">南京東路5段近三民站 5F 204坪 ↗</t>
  </si>
  <si>
    <r>
      <rPr>
        <sz val="10"/>
        <color rgb="FF0000FF"/>
        <rFont val="Noto Sans CJK SC"/>
        <family val="2"/>
      </rPr>
      <t xml:space="preserve">南京東路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段近三民站</t>
    </r>
  </si>
  <si>
    <t xml:space="preserve">5F</t>
  </si>
  <si>
    <r>
      <rPr>
        <sz val="10"/>
        <color rgb="FF0000FF"/>
        <rFont val="Noto Sans CJK SC"/>
        <family val="2"/>
      </rPr>
      <t xml:space="preserve">南京三民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清單</t>
    </r>
    <r>
      <rPr>
        <sz val="10"/>
        <color rgb="FF0000FF"/>
        <rFont val="Arial"/>
        <family val="0"/>
        <charset val="1"/>
      </rPr>
      <t xml:space="preserve">:</t>
    </r>
    <r>
      <rPr>
        <sz val="10"/>
        <color rgb="FF0000FF"/>
        <rFont val="Noto Sans CJK SC"/>
        <family val="2"/>
      </rPr>
      <t xml:space="preserve">近三民站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</si>
  <si>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 近捷運，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戶，低公設，外觀佳，大理石入口，正方</t>
    </r>
  </si>
  <si>
    <t xml:space="preserve">傑森愛華原始PDF 第1頁（含照片）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</si>
  <si>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（缺管理費，實際成本更高）：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級純辦、低公設、一層一戶、近三民站；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坪略小。無管理費資料。</t>
    </r>
  </si>
  <si>
    <t xml:space="preserve">索取單筆報表</t>
  </si>
  <si>
    <t xml:space="preserve">W01</t>
  </si>
  <si>
    <t xml:space="preserve">▲敦南商圈【氣派純辦】【裝潢新】 ↗</t>
  </si>
  <si>
    <r>
      <rPr>
        <sz val="10"/>
        <color rgb="FF0000FF"/>
        <rFont val="Noto Sans CJK SC"/>
        <family val="2"/>
      </rPr>
      <t xml:space="preserve">敦南商圈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路名未揭露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</si>
  <si>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—/27F(B4)</t>
  </si>
  <si>
    <t xml:space="preserve">可承租</t>
  </si>
  <si>
    <r>
      <rPr>
        <sz val="10"/>
        <color rgb="FF0000FF"/>
        <rFont val="Noto Sans CJK SC"/>
        <family val="2"/>
      </rPr>
      <t xml:space="preserve">文湖線南京復興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廣告</t>
    </r>
    <r>
      <rPr>
        <sz val="10"/>
        <color rgb="FF0000FF"/>
        <rFont val="Arial"/>
        <family val="0"/>
        <charset val="1"/>
      </rPr>
      <t xml:space="preserve">)</t>
    </r>
  </si>
  <si>
    <t xml:space="preserve">滿意房屋</t>
  </si>
  <si>
    <t xml:space="preserve">02-2713-5151</t>
  </si>
  <si>
    <r>
      <rPr>
        <sz val="10"/>
        <color rgb="FF0000FF"/>
        <rFont val="Arial"/>
        <family val="0"/>
        <charset val="1"/>
      </rPr>
      <t xml:space="preserve">@2,299</t>
    </r>
    <r>
      <rPr>
        <sz val="10"/>
        <color rgb="FF0000FF"/>
        <rFont val="Noto Sans CJK SC"/>
        <family val="2"/>
      </rPr>
      <t xml:space="preserve">；同仲介另有</t>
    </r>
    <r>
      <rPr>
        <sz val="10"/>
        <color rgb="FF0000FF"/>
        <rFont val="Arial"/>
        <family val="0"/>
        <charset val="1"/>
      </rPr>
      <t xml:space="preserve">136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25.8</t>
    </r>
    <r>
      <rPr>
        <sz val="10"/>
        <color rgb="FF0000FF"/>
        <rFont val="Noto Sans CJK SC"/>
        <family val="2"/>
      </rPr>
      <t xml:space="preserve">萬</t>
    </r>
  </si>
  <si>
    <t xml:space="preserve">HouseWeb·26張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</si>
  <si>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（缺管理費，實際成本更高）：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</si>
  <si>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</si>
  <si>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337,910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年新大樓，一層一戶、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電梯；租金＋管理費</t>
    </r>
    <r>
      <rPr>
        <sz val="10"/>
        <color rgb="FF000000"/>
        <rFont val="Arial"/>
        <family val="0"/>
        <charset val="1"/>
      </rPr>
      <t xml:space="preserve">337,910</t>
    </r>
    <r>
      <rPr>
        <sz val="10"/>
        <color rgb="FF000000"/>
        <rFont val="Noto Sans CJK SC"/>
        <family val="2"/>
      </rPr>
      <t xml:space="preserve">低於預算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。但主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50.1%)——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坪」若指計租坪則應排第一，若指實用坪則排除。無車位、水泥隔間需全裝修。</t>
    </r>
  </si>
  <si>
    <r>
      <rPr>
        <sz val="10"/>
        <color rgb="FF000000"/>
        <rFont val="Noto Sans CJK SC"/>
        <family val="2"/>
      </rPr>
      <t xml:space="preserve">先由營運長確認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坪定義；向信義問稅別、門牌、車位費、樓高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</si>
  <si>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</si>
  <si>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203.26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413,004</t>
    </r>
    <r>
      <rPr>
        <sz val="10"/>
        <color rgb="FF000000"/>
        <rFont val="Noto Sans CJK SC"/>
        <family val="2"/>
      </rPr>
      <t xml:space="preserve">（缺管理費，實際成本更高）：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租金最貼近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萬、公設</t>
    </r>
    <r>
      <rPr>
        <sz val="10"/>
        <color rgb="FF000000"/>
        <rFont val="Arial"/>
        <family val="0"/>
        <charset val="1"/>
      </rPr>
      <t xml:space="preserve">6.57%</t>
    </r>
    <r>
      <rPr>
        <sz val="10"/>
        <color rgb="FF000000"/>
        <rFont val="Noto Sans CJK SC"/>
        <family val="2"/>
      </rPr>
      <t xml:space="preserve">、南京三民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分、獨立空調；卡在管理費未提供、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坪略小、僅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客梯；大樓名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宏第上海通商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待確認。</t>
    </r>
  </si>
  <si>
    <r>
      <rPr>
        <sz val="10"/>
        <color rgb="FF000000"/>
        <rFont val="Noto Sans CJK SC"/>
        <family val="2"/>
      </rPr>
      <t xml:space="preserve">索取近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個月管理費結算單後重新排序</t>
    </r>
  </si>
  <si>
    <t xml:space="preserve">W04</t>
  </si>
  <si>
    <t xml:space="preserve">【大直辦公室出租】大直氣派門面、管理佳、現成裝潢 ↗</t>
  </si>
  <si>
    <r>
      <rPr>
        <sz val="10"/>
        <color rgb="FF0000FF"/>
        <rFont val="Noto Sans CJK SC"/>
        <family val="2"/>
      </rPr>
      <t xml:space="preserve">植福路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</si>
  <si>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9F/10F</t>
  </si>
  <si>
    <t xml:space="preserve">@2,201</t>
  </si>
  <si>
    <t xml:space="preserve">HouseWeb·43張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</si>
  <si>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（缺管理費，實際成本更高）：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</si>
  <si>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J01</t>
  </si>
  <si>
    <t xml:space="preserve">信義路5段(環球) 18F 201坪 ↗</t>
  </si>
  <si>
    <r>
      <rPr>
        <sz val="10"/>
        <color rgb="FF0000FF"/>
        <rFont val="Noto Sans CJK SC"/>
        <family val="2"/>
      </rPr>
      <t xml:space="preserve">信義路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)</t>
    </r>
  </si>
  <si>
    <t xml:space="preserve">18F</t>
  </si>
  <si>
    <t xml:space="preserve">清單未載</t>
  </si>
  <si>
    <r>
      <rPr>
        <sz val="10"/>
        <color rgb="FF0000FF"/>
        <rFont val="Noto Sans CJK SC"/>
        <family val="2"/>
      </rPr>
      <t xml:space="preserve">氣派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級純辦，宏偉大廳，正方，挑高，絕美視野，單邊，</t>
    </r>
    <r>
      <rPr>
        <sz val="10"/>
        <color rgb="FF0000FF"/>
        <rFont val="Arial"/>
        <family val="0"/>
        <charset val="1"/>
      </rPr>
      <t xml:space="preserve">open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</si>
  <si>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（缺管理費，實際成本更高）：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信義區案；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級挑高視野；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坪略小；信義區管理費通常較高，總成本恐超標。</t>
    </r>
  </si>
  <si>
    <t xml:space="preserve">索取單筆報表（重點：管理費）</t>
  </si>
  <si>
    <t xml:space="preserve">W13</t>
  </si>
  <si>
    <t xml:space="preserve">中山區辦公室出租 ↗</t>
  </si>
  <si>
    <t xml:space="preserve">林森北路</t>
  </si>
  <si>
    <t xml:space="preserve">6F/11F(B2)</t>
  </si>
  <si>
    <r>
      <rPr>
        <sz val="10"/>
        <color rgb="FF0000FF"/>
        <rFont val="Noto Sans CJK SC"/>
        <family val="2"/>
      </rPr>
      <t xml:space="preserve">中山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雙連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</si>
  <si>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弗利艾樂 辦公室出租商業網</t>
  </si>
  <si>
    <t xml:space="preserve">0913-958-003</t>
  </si>
  <si>
    <r>
      <rPr>
        <sz val="10"/>
        <color rgb="FF0000FF"/>
        <rFont val="Arial"/>
        <family val="0"/>
        <charset val="1"/>
      </rPr>
      <t xml:space="preserve">@1,594</t>
    </r>
    <r>
      <rPr>
        <sz val="10"/>
        <color rgb="FF0000FF"/>
        <rFont val="Noto Sans CJK SC"/>
        <family val="2"/>
      </rPr>
      <t xml:space="preserve">；朝西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</si>
  <si>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（缺管理費，實際成本更高）：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刊登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(@1,594)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坪；林森北路商圈形象偏弱，無車位，稅別管理費未揭露。</t>
    </r>
  </si>
  <si>
    <t xml:space="preserve">J16</t>
  </si>
  <si>
    <t xml:space="preserve">八德路近復興北路 (中影八德大樓 八德路二段260號2樓全層) 2F 200坪 ↗</t>
  </si>
  <si>
    <r>
      <rPr>
        <sz val="10"/>
        <color rgb="FF0000FF"/>
        <rFont val="Noto Sans CJK SC"/>
        <family val="2"/>
      </rPr>
      <t xml:space="preserve">八德路二段</t>
    </r>
    <r>
      <rPr>
        <sz val="10"/>
        <color rgb="FF0000FF"/>
        <rFont val="Arial"/>
        <family val="0"/>
        <charset val="1"/>
      </rPr>
      <t xml:space="preserve">260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樓全層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中影八德大樓</t>
    </r>
    <r>
      <rPr>
        <sz val="10"/>
        <color rgb="FF0000FF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</si>
  <si>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</si>
  <si>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</si>
  <si>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可到捷運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</si>
  <si>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</si>
  <si>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【已取得單筆報表】中影八德大樓（原中央日報社大樓）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全層；登記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坪（清單誤植</t>
    </r>
    <r>
      <rPr>
        <sz val="10"/>
        <color rgb="FF0000FF"/>
        <rFont val="Arial"/>
        <family val="0"/>
        <charset val="1"/>
      </rPr>
      <t xml:space="preserve">240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294,000÷1,470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）、使用率</t>
    </r>
    <r>
      <rPr>
        <sz val="10"/>
        <color rgb="FF0000FF"/>
        <rFont val="Arial"/>
        <family val="0"/>
        <charset val="1"/>
      </rPr>
      <t xml:space="preserve">75%(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、樓高</t>
    </r>
    <r>
      <rPr>
        <sz val="10"/>
        <color rgb="FF0000FF"/>
        <rFont val="Arial"/>
        <family val="0"/>
        <charset val="1"/>
      </rPr>
      <t xml:space="preserve">3.5M</t>
    </r>
    <r>
      <rPr>
        <sz val="10"/>
        <color rgb="FF0000FF"/>
        <rFont val="Noto Sans CJK SC"/>
        <family val="2"/>
      </rPr>
      <t xml:space="preserve">挑高、管理費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30,000/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天、捷運南京復興；使照</t>
    </r>
    <r>
      <rPr>
        <sz val="10"/>
        <color rgb="FF0000FF"/>
        <rFont val="Arial"/>
        <family val="0"/>
        <charset val="1"/>
      </rPr>
      <t xml:space="preserve">75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(1986)RC</t>
    </r>
    <r>
      <rPr>
        <sz val="10"/>
        <color rgb="FF0000FF"/>
        <rFont val="Noto Sans CJK SC"/>
        <family val="2"/>
      </rPr>
      <t xml:space="preserve">地上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層地下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層、使用分區住四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使照載一般事務所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；現況為前酒吧裝潢需全拆；含照片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張＋使照影本＋分區圖。原文：純辦、正方、漂亮入口、一層一戶、可到捷運、停車方便</t>
    </r>
  </si>
  <si>
    <t xml:space="preserve">傑森愛華單筆報表PDF（中影八德2F·11頁，含照片/使照）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</si>
  <si>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346,050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219</t>
    </r>
    <r>
      <rPr>
        <sz val="10"/>
        <color rgb="FF000000"/>
        <rFont val="Noto Sans CJK SC"/>
        <family val="2"/>
      </rPr>
      <t xml:space="preserve">坪，成本≤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全場最便宜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30.9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，坪數多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；「可到捷運」語意模糊、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樓。便宜到需要查原因。</t>
    </r>
  </si>
  <si>
    <t xml:space="preserve">索取單筆報表，確認屋況、捷運距離與低價原因</t>
  </si>
  <si>
    <t xml:space="preserve">不建議</t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</si>
  <si>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</si>
  <si>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506,347</t>
    </r>
    <r>
      <rPr>
        <sz val="10"/>
        <color rgb="FF000000"/>
        <rFont val="Noto Sans CJK SC"/>
        <family val="2"/>
      </rPr>
      <t xml:space="preserve">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每實用坪</t>
    </r>
    <r>
      <rPr>
        <sz val="10"/>
        <color rgb="FF000000"/>
        <rFont val="Arial"/>
        <family val="0"/>
        <charset val="1"/>
      </rPr>
      <t xml:space="preserve">1,983</t>
    </r>
    <r>
      <rPr>
        <sz val="10"/>
        <color rgb="FF000000"/>
        <rFont val="Noto Sans CJK SC"/>
        <family val="2"/>
      </rPr>
      <t xml:space="preserve">全場最便宜，但</t>
    </r>
    <r>
      <rPr>
        <sz val="10"/>
        <color rgb="FF000000"/>
        <rFont val="Arial"/>
        <family val="0"/>
        <charset val="1"/>
      </rPr>
      <t xml:space="preserve">282</t>
    </r>
    <r>
      <rPr>
        <sz val="10"/>
        <color rgb="FF000000"/>
        <rFont val="Noto Sans CJK SC"/>
        <family val="2"/>
      </rPr>
      <t xml:space="preserve">坪超買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坪、捷運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分、機械車位。只有擴編前提下才成立。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</si>
  <si>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年內編制可能擴張再談分割或減租</t>
    </r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</si>
  <si>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</si>
  <si>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【規則】地下樓層；計租坪 </t>
    </r>
    <r>
      <rPr>
        <sz val="10"/>
        <color rgb="FF000000"/>
        <rFont val="Arial"/>
        <family val="0"/>
        <charset val="1"/>
      </rPr>
      <t xml:space="preserve">277.81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（缺管理費，實際成本更高）</t>
    </r>
  </si>
  <si>
    <t xml:space="preserve">J18</t>
  </si>
  <si>
    <t xml:space="preserve">忠孝東路4段VS延吉街 4F 276坪 ↗</t>
  </si>
  <si>
    <r>
      <rPr>
        <sz val="10"/>
        <color rgb="FF0000FF"/>
        <rFont val="Noto Sans CJK SC"/>
        <family val="2"/>
      </rPr>
      <t xml:space="preserve">忠孝東路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延吉街</t>
    </r>
  </si>
  <si>
    <t xml:space="preserve">4F</t>
  </si>
  <si>
    <r>
      <rPr>
        <sz val="10"/>
        <color rgb="FF0000FF"/>
        <rFont val="Noto Sans CJK SC"/>
        <family val="2"/>
      </rPr>
      <t xml:space="preserve">地標帷幕純辦、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、毛胚，捷運旁、商業區、適百業、多門牌（可分割）</t>
    </r>
  </si>
  <si>
    <t xml:space="preserve">傑森愛華原始PDF 第6頁（含照片）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</si>
  <si>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（缺管理費，實際成本更高）：成本超過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</si>
  <si>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266.36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（缺管理費，實際成本更高）：成本超過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</si>
  <si>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265.82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544,931</t>
    </r>
    <r>
      <rPr>
        <sz val="10"/>
        <color rgb="FF000000"/>
        <rFont val="Noto Sans CJK SC"/>
        <family val="2"/>
      </rPr>
      <t xml:space="preserve">（缺管理費，實際成本更高）：成本超過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</si>
  <si>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265.72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（缺管理費，實際成本更高）：成本超過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＋最高租金；形象佳但風險與成本雙高。</t>
    </r>
  </si>
  <si>
    <t xml:space="preserve">J17</t>
  </si>
  <si>
    <t xml:space="preserve">市民大道3段近復興南路 8F 257坪 ↗</t>
  </si>
  <si>
    <r>
      <rPr>
        <sz val="10"/>
        <color rgb="FF0000FF"/>
        <rFont val="Noto Sans CJK SC"/>
        <family val="2"/>
      </rPr>
      <t xml:space="preserve">市民大道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段近復興南路</t>
    </r>
  </si>
  <si>
    <t xml:space="preserve">8F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</si>
  <si>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級新純辦、品味外型、漂亮入口，正方、一層一戶、漂亮裝潢，獨立空調（現租客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月，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月中帶看）</t>
    </r>
  </si>
  <si>
    <t xml:space="preserve">傑森愛華原始PDF 第5頁（此列無照片）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</si>
  <si>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（缺管理費，實際成本更高）：成本超過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</si>
  <si>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W03</t>
  </si>
  <si>
    <t xml:space="preserve">【大直辦公室出租】空間大好規劃、優質美辦 ↗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</si>
  <si>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</si>
  <si>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@1,383</t>
    </r>
    <r>
      <rPr>
        <sz val="10"/>
        <color rgb="FF0000FF"/>
        <rFont val="Noto Sans CJK SC"/>
        <family val="2"/>
      </rPr>
      <t xml:space="preserve">；坪數多</t>
    </r>
    <r>
      <rPr>
        <sz val="10"/>
        <color rgb="FF0000FF"/>
        <rFont val="Arial"/>
        <family val="0"/>
        <charset val="1"/>
      </rPr>
      <t xml:space="preserve">33</t>
    </r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</si>
  <si>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為準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</si>
  <si>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232.22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494,098</t>
    </r>
    <r>
      <rPr>
        <sz val="10"/>
        <color rgb="FF000000"/>
        <rFont val="Noto Sans CJK SC"/>
        <family val="2"/>
      </rPr>
      <t xml:space="preserve">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公設</t>
    </r>
    <r>
      <rPr>
        <sz val="10"/>
        <color rgb="FF000000"/>
        <rFont val="Arial"/>
        <family val="0"/>
        <charset val="1"/>
      </rPr>
      <t xml:space="preserve">21.1%</t>
    </r>
    <r>
      <rPr>
        <sz val="10"/>
        <color rgb="FF000000"/>
        <rFont val="Noto Sans CJK SC"/>
        <family val="2"/>
      </rPr>
      <t xml:space="preserve">每實用坪</t>
    </r>
    <r>
      <rPr>
        <sz val="10"/>
        <color rgb="FF000000"/>
        <rFont val="Arial"/>
        <family val="0"/>
        <charset val="1"/>
      </rPr>
      <t xml:space="preserve">2,697</t>
    </r>
    <r>
      <rPr>
        <sz val="10"/>
        <color rgb="FF000000"/>
        <rFont val="Noto Sans CJK SC"/>
        <family val="2"/>
      </rPr>
      <t xml:space="preserve">最貴之一；加班空調費待確認；樓高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矛盾。 信義</t>
    </r>
    <r>
      <rPr>
        <sz val="10"/>
        <color rgb="FF000000"/>
        <rFont val="Arial"/>
        <family val="0"/>
        <charset val="1"/>
      </rPr>
      <t xml:space="preserve">CZ05572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刊</t>
    </r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車位、附隔間裝潢，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張照片可看。</t>
    </r>
  </si>
  <si>
    <t xml:space="preserve">暫不推進，除非裝潢可完整沿用</t>
  </si>
  <si>
    <t xml:space="preserve">J15</t>
  </si>
  <si>
    <t xml:space="preserve">敦化南路2段(中鼎大樓 77號22樓) 22F 230坪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</si>
  <si>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</si>
  <si>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t xml:space="preserve">22F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</si>
  <si>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</si>
  <si>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179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160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36,800/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毛胚、</t>
    </r>
    <r>
      <rPr>
        <sz val="10"/>
        <color rgb="FF0000FF"/>
        <rFont val="Arial"/>
        <family val="0"/>
        <charset val="1"/>
      </rPr>
      <t xml:space="preserve">101</t>
    </r>
    <r>
      <rPr>
        <sz val="10"/>
        <color rgb="FF0000FF"/>
        <rFont val="Noto Sans CJK SC"/>
        <family val="2"/>
      </rPr>
      <t xml:space="preserve">景觀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</t>
    </r>
  </si>
  <si>
    <t xml:space="preserve">傑森愛華單筆報表PDF（中鼎22F·3頁，含照片）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</si>
  <si>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526,970</t>
    </r>
    <r>
      <rPr>
        <sz val="10"/>
        <color rgb="FF000000"/>
        <rFont val="Noto Sans CJK SC"/>
        <family val="2"/>
      </rPr>
      <t xml:space="preserve">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總成本</t>
    </r>
    <r>
      <rPr>
        <sz val="10"/>
        <color rgb="FF000000"/>
        <rFont val="Arial"/>
        <family val="0"/>
        <charset val="1"/>
      </rPr>
      <t xml:space="preserve">52.8</t>
    </r>
    <r>
      <rPr>
        <sz val="10"/>
        <color rgb="FF000000"/>
        <rFont val="Noto Sans CJK SC"/>
        <family val="2"/>
      </rPr>
      <t xml:space="preserve">萬全場最高之一，毛胚，實用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坪。</t>
    </r>
  </si>
  <si>
    <t xml:space="preserve">J14</t>
  </si>
  <si>
    <t xml:space="preserve">民生東路近敦化北路 8F 226坪 ↗</t>
  </si>
  <si>
    <t xml:space="preserve">民生東路近敦化北路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</si>
  <si>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級純辦，外商區，入口佳，正方，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，一層一戶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</si>
  <si>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（缺管理費，實際成本更高）：成本超過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</si>
  <si>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</si>
  <si>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225.83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501,600</t>
    </r>
    <r>
      <rPr>
        <sz val="10"/>
        <color rgb="FF000000"/>
        <rFont val="Noto Sans CJK SC"/>
        <family val="2"/>
      </rPr>
      <t xml:space="preserve">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 敦北長城大樓</t>
    </r>
    <r>
      <rPr>
        <sz val="10"/>
        <color rgb="FF000000"/>
        <rFont val="Arial"/>
        <family val="0"/>
        <charset val="1"/>
      </rPr>
      <t xml:space="preserve">3F 225.83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27,100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501,600</t>
    </r>
    <r>
      <rPr>
        <sz val="10"/>
        <color rgb="FF000000"/>
        <rFont val="Noto Sans CJK SC"/>
        <family val="2"/>
      </rPr>
      <t xml:space="preserve">超預算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10.9%</t>
    </r>
    <r>
      <rPr>
        <sz val="10"/>
        <color rgb="FF000000"/>
        <rFont val="Noto Sans CJK SC"/>
        <family val="2"/>
      </rPr>
      <t xml:space="preserve">、玻璃帷幕氣派門廳、屋齡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年。坪數與質感都好，但價格不成立。</t>
    </r>
  </si>
  <si>
    <r>
      <rPr>
        <sz val="10"/>
        <color rgb="FF000000"/>
        <rFont val="Noto Sans CJK SC"/>
        <family val="2"/>
      </rPr>
      <t xml:space="preserve">若預算可上修至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萬再考慮</t>
    </r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</si>
  <si>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</si>
  <si>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220.07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496,555</t>
    </r>
    <r>
      <rPr>
        <sz val="10"/>
        <color rgb="FF000000"/>
        <rFont val="Noto Sans CJK SC"/>
        <family val="2"/>
      </rPr>
      <t xml:space="preserve">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坪數</t>
    </r>
    <r>
      <rPr>
        <sz val="10"/>
        <color rgb="FF000000"/>
        <rFont val="Arial"/>
        <family val="0"/>
        <charset val="1"/>
      </rPr>
      <t xml:space="preserve">220.07</t>
    </r>
    <r>
      <rPr>
        <sz val="10"/>
        <color rgb="FF000000"/>
        <rFont val="Noto Sans CJK SC"/>
        <family val="2"/>
      </rPr>
      <t xml:space="preserve">精準；公設</t>
    </r>
    <r>
      <rPr>
        <sz val="10"/>
        <color rgb="FF000000"/>
        <rFont val="Arial"/>
        <family val="0"/>
        <charset val="1"/>
      </rPr>
      <t xml:space="preserve">5.84%</t>
    </r>
    <r>
      <rPr>
        <sz val="10"/>
        <color rgb="FF000000"/>
        <rFont val="Noto Sans CJK SC"/>
        <family val="2"/>
      </rPr>
      <t xml:space="preserve">全場最低；可加獨立空調。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疑同戶星辰刊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，比尚揚低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月。</t>
    </r>
  </si>
  <si>
    <r>
      <rPr>
        <sz val="10"/>
        <color rgb="FF000000"/>
        <rFont val="Noto Sans CJK SC"/>
        <family val="2"/>
      </rPr>
      <t xml:space="preserve">核對是否同戶與稅別；釐清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管理費項目、車位「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」實價、竣工年</t>
    </r>
    <r>
      <rPr>
        <sz val="10"/>
        <color rgb="FF000000"/>
        <rFont val="Arial"/>
        <family val="0"/>
        <charset val="1"/>
      </rPr>
      <t xml:space="preserve">(1991 vs 1983)</t>
    </r>
  </si>
  <si>
    <t xml:space="preserve">J10</t>
  </si>
  <si>
    <t xml:space="preserve">安和路一段 (即安敦國際大樓17F) 17F 214坪 ↗</t>
  </si>
  <si>
    <r>
      <rPr>
        <sz val="10"/>
        <color rgb="FF0000FF"/>
        <rFont val="Noto Sans CJK SC"/>
        <family val="2"/>
      </rPr>
      <t xml:space="preserve">安和路一段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即安敦國際大樓</t>
    </r>
    <r>
      <rPr>
        <sz val="10"/>
        <color rgb="FF0000FF"/>
        <rFont val="Arial"/>
        <family val="0"/>
        <charset val="1"/>
      </rPr>
      <t xml:space="preserve">17F)</t>
    </r>
  </si>
  <si>
    <t xml:space="preserve">17F</t>
  </si>
  <si>
    <r>
      <rPr>
        <sz val="10"/>
        <color rgb="FF0000FF"/>
        <rFont val="Noto Sans CJK SC"/>
        <family val="2"/>
      </rPr>
      <t xml:space="preserve">獨立空調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</si>
  <si>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經信義房屋出租頁</t>
    </r>
    <r>
      <rPr>
        <sz val="10"/>
        <color rgb="FF0000FF"/>
        <rFont val="Arial"/>
        <family val="0"/>
        <charset val="1"/>
      </rPr>
      <t xml:space="preserve">(CZ05290)</t>
    </r>
    <r>
      <rPr>
        <sz val="10"/>
        <color rgb="FF0000FF"/>
        <rFont val="Noto Sans CJK SC"/>
        <family val="2"/>
      </rPr>
      <t xml:space="preserve">比對為安敦國際大樓</t>
    </r>
    <r>
      <rPr>
        <sz val="10"/>
        <color rgb="FF0000FF"/>
        <rFont val="Arial"/>
        <family val="0"/>
        <charset val="1"/>
      </rPr>
      <t xml:space="preserve">17F 214.68</t>
    </r>
    <r>
      <rPr>
        <sz val="10"/>
        <color rgb="FF0000FF"/>
        <rFont val="Noto Sans CJK SC"/>
        <family val="2"/>
      </rPr>
      <t xml:space="preserve">坪，租金</t>
    </r>
    <r>
      <rPr>
        <sz val="10"/>
        <color rgb="FF0000FF"/>
        <rFont val="Arial"/>
        <family val="0"/>
        <charset val="1"/>
      </rPr>
      <t xml:space="preserve">472,000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30,053</t>
    </r>
    <r>
      <rPr>
        <sz val="10"/>
        <color rgb="FF0000FF"/>
        <rFont val="Noto Sans CJK SC"/>
        <family val="2"/>
      </rPr>
      <t xml:space="preserve">；與物調表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案同棟。原文：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級帷幕純辦，公設低，視野佳，工業風裝潢，近捷運</t>
    </r>
  </si>
  <si>
    <t xml:space="preserve">傑森愛華原始PDF 第3頁（含照片）；同戶另見信義CZ05290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</si>
  <si>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（缺管理費，實際成本更高）：成本超過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</si>
  <si>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【規則】地下樓層；計租坪 </t>
    </r>
    <r>
      <rPr>
        <sz val="10"/>
        <color rgb="FF000000"/>
        <rFont val="Arial"/>
        <family val="0"/>
        <charset val="1"/>
      </rPr>
      <t xml:space="preserve">213.56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236,980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</si>
  <si>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</si>
  <si>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213.3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501,100</t>
    </r>
    <r>
      <rPr>
        <sz val="10"/>
        <color rgb="FF000000"/>
        <rFont val="Noto Sans CJK SC"/>
        <family val="2"/>
      </rPr>
      <t xml:space="preserve">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 國票大樓</t>
    </r>
    <r>
      <rPr>
        <sz val="10"/>
        <color rgb="FF000000"/>
        <rFont val="Arial"/>
        <family val="0"/>
        <charset val="1"/>
      </rPr>
      <t xml:space="preserve">15F(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 213.3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33,600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501,100</t>
    </r>
    <r>
      <rPr>
        <sz val="10"/>
        <color rgb="FF000000"/>
        <rFont val="Noto Sans CJK SC"/>
        <family val="2"/>
      </rPr>
      <t xml:space="preserve">；屋齡</t>
    </r>
    <r>
      <rPr>
        <sz val="10"/>
        <color rgb="FF000000"/>
        <rFont val="Arial"/>
        <family val="0"/>
        <charset val="1"/>
      </rPr>
      <t xml:space="preserve">6.8</t>
    </r>
    <r>
      <rPr>
        <sz val="10"/>
        <color rgb="FF000000"/>
        <rFont val="Noto Sans CJK SC"/>
        <family val="2"/>
      </rPr>
      <t xml:space="preserve">年新大樓、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車位，但公設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坪、最短租期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年、大直非核心。</t>
    </r>
  </si>
  <si>
    <t xml:space="preserve">W11</t>
  </si>
  <si>
    <t xml:space="preserve">松山區辦公室出租 ↗</t>
  </si>
  <si>
    <t xml:space="preserve">7F/11F(B2)</t>
  </si>
  <si>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(591</t>
    </r>
    <r>
      <rPr>
        <sz val="10"/>
        <color rgb="FF0000FF"/>
        <rFont val="Noto Sans CJK SC"/>
        <family val="2"/>
      </rPr>
      <t xml:space="preserve">備註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</si>
  <si>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659m</t>
    </r>
  </si>
  <si>
    <t xml:space="preserve">0913-958-003 / 02-2547-1511</t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</si>
  <si>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591 22030027</t>
    </r>
    <r>
      <rPr>
        <sz val="10"/>
        <color rgb="FF0000FF"/>
        <rFont val="Noto Sans CJK SC"/>
        <family val="2"/>
      </rPr>
      <t xml:space="preserve">同戶；朝西；可入籍</t>
    </r>
  </si>
  <si>
    <t xml:space="preserve">HouseWeb·40張</t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</si>
  <si>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為準</t>
    </r>
  </si>
  <si>
    <t xml:space="preserve">J08</t>
  </si>
  <si>
    <t xml:space="preserve">南京東路近龍江路 8F 210坪 ↗</t>
  </si>
  <si>
    <t xml:space="preserve">南京東路近龍江路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</si>
  <si>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級帷幕純辦、漂亮大樓、正方、採光佳、有隔間，近捷運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</si>
  <si>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（缺管理費，實際成本更高）：成本超過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</si>
  <si>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J04</t>
  </si>
  <si>
    <t xml:space="preserve">民生東路3段vs復興北路 11F 205坪 ↗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</si>
  <si>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復興北路</t>
    </r>
  </si>
  <si>
    <t xml:space="preserve">11F</t>
  </si>
  <si>
    <t xml:space="preserve">帷幕純辦，入口佳，採光視野佳，近捷運，稀有正方無柱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</si>
  <si>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（缺管理費，實際成本更高）：成本超過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</si>
  <si>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J05</t>
  </si>
  <si>
    <t xml:space="preserve">民生東路3段vs復興北路 3F 205坪 ↗</t>
  </si>
  <si>
    <t xml:space="preserve">3F</t>
  </si>
  <si>
    <t xml:space="preserve">帷幕純辦，正方無柱、稀有帶裝潢</t>
  </si>
  <si>
    <t xml:space="preserve">J03</t>
  </si>
  <si>
    <t xml:space="preserve">中山北路近市民大道 17F 204坪 ↗</t>
  </si>
  <si>
    <t xml:space="preserve">中山北路近市民大道</t>
  </si>
  <si>
    <r>
      <rPr>
        <sz val="10"/>
        <color rgb="FF0000FF"/>
        <rFont val="Noto Sans CJK SC"/>
        <family val="2"/>
      </rPr>
      <t xml:space="preserve">台北車站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中山站</t>
    </r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</si>
  <si>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</si>
  <si>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獨立冷氣</t>
    </r>
    <r>
      <rPr>
        <sz val="10"/>
        <color rgb="FF0000FF"/>
        <rFont val="Arial"/>
        <family val="0"/>
        <charset val="1"/>
      </rPr>
      <t xml:space="preserve">(W08)</t>
    </r>
  </si>
  <si>
    <r>
      <rPr>
        <sz val="10"/>
        <color rgb="FF0000FF"/>
        <rFont val="Noto Sans CJK SC"/>
        <family val="2"/>
      </rPr>
      <t xml:space="preserve">帷幕純辦，入口佳，近台北車站，健保局樓上，高樓視野佳（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個門牌，室內廁所）</t>
    </r>
  </si>
  <si>
    <t xml:space="preserve">傑森愛華原始PDF 第1頁（此列無照片）；同戶照片見W08 HouseWeb</t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</si>
  <si>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W08 </t>
    </r>
    <r>
      <rPr>
        <sz val="10"/>
        <color rgb="FF000000"/>
        <rFont val="Noto Sans CJK SC"/>
        <family val="2"/>
      </rPr>
      <t xml:space="preserve">為準</t>
    </r>
  </si>
  <si>
    <t xml:space="preserve">W08</t>
  </si>
  <si>
    <t xml:space="preserve">☆捷運台北車站☆漂亮商辦、一層一戶、高樓層 ↗</t>
  </si>
  <si>
    <t xml:space="preserve">中山北路一段</t>
  </si>
  <si>
    <t xml:space="preserve">17F/18F(B4)</t>
  </si>
  <si>
    <t xml:space="preserve">獨立冷氣</t>
  </si>
  <si>
    <t xml:space="preserve">松高房屋 洪小姐</t>
  </si>
  <si>
    <t xml:space="preserve">0984-278-218</t>
  </si>
  <si>
    <r>
      <rPr>
        <sz val="10"/>
        <color rgb="FF0000FF"/>
        <rFont val="Noto Sans CJK SC"/>
        <family val="2"/>
      </rPr>
      <t xml:space="preserve">即 </t>
    </r>
    <r>
      <rPr>
        <sz val="10"/>
        <color rgb="FF0000FF"/>
        <rFont val="Arial"/>
        <family val="0"/>
        <charset val="1"/>
      </rPr>
      <t xml:space="preserve">J&amp;E </t>
    </r>
    <r>
      <rPr>
        <sz val="10"/>
        <color rgb="FF0000FF"/>
        <rFont val="Noto Sans CJK SC"/>
        <family val="2"/>
      </rPr>
      <t xml:space="preserve">清單 </t>
    </r>
    <r>
      <rPr>
        <sz val="10"/>
        <color rgb="FF0000FF"/>
        <rFont val="Arial"/>
        <family val="0"/>
        <charset val="1"/>
      </rPr>
      <t xml:space="preserve">J03 </t>
    </r>
    <r>
      <rPr>
        <sz val="10"/>
        <color rgb="FF0000FF"/>
        <rFont val="Noto Sans CJK SC"/>
        <family val="2"/>
      </rPr>
      <t xml:space="preserve">同戶；含稅</t>
    </r>
    <r>
      <rPr>
        <sz val="10"/>
        <color rgb="FF0000FF"/>
        <rFont val="Arial"/>
        <family val="0"/>
        <charset val="1"/>
      </rPr>
      <t xml:space="preserve">490,245</t>
    </r>
    <r>
      <rPr>
        <sz val="10"/>
        <color rgb="FF0000FF"/>
        <rFont val="Noto Sans CJK SC"/>
        <family val="2"/>
      </rPr>
      <t xml:space="preserve">；獨立冷氣、三面採光</t>
    </r>
  </si>
  <si>
    <t xml:space="preserve">HouseWeb·35張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</si>
  <si>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512,575</t>
    </r>
    <r>
      <rPr>
        <sz val="10"/>
        <color rgb="FF000000"/>
        <rFont val="Noto Sans CJK SC"/>
        <family val="2"/>
      </rPr>
      <t xml:space="preserve">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</si>
  <si>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i val="true"/>
        <sz val="9"/>
        <color rgb="FF666666"/>
        <rFont val="Noto Sans CJK SC"/>
        <family val="2"/>
      </rPr>
      <t xml:space="preserve">註：月總持有成本＝含稅租金＋管理費＋車位費（缺者以</t>
    </r>
    <r>
      <rPr>
        <i val="true"/>
        <sz val="9"/>
        <color rgb="FF666666"/>
        <rFont val="Arial"/>
        <family val="0"/>
        <charset val="1"/>
      </rPr>
      <t xml:space="preserve">0</t>
    </r>
    <r>
      <rPr>
        <i val="true"/>
        <sz val="9"/>
        <color rgb="FF666666"/>
        <rFont val="Noto Sans CJK SC"/>
        <family val="2"/>
      </rPr>
      <t xml:space="preserve">計，並在該欄標「缺」）；每實用坪總成本僅在實用坪已知時計算。傑森愛華／</t>
    </r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多數缺管理費，其總成本為低估值。較預算差額連動 </t>
    </r>
    <r>
      <rPr>
        <i val="true"/>
        <sz val="9"/>
        <color rgb="FF666666"/>
        <rFont val="Arial"/>
        <family val="0"/>
        <charset val="1"/>
      </rPr>
      <t xml:space="preserve">A </t>
    </r>
    <r>
      <rPr>
        <i val="true"/>
        <sz val="9"/>
        <color rgb="FF666666"/>
        <rFont val="Noto Sans CJK SC"/>
        <family val="2"/>
      </rPr>
      <t xml:space="preserve">頁籤 </t>
    </r>
    <r>
      <rPr>
        <i val="true"/>
        <sz val="9"/>
        <color rgb="FF666666"/>
        <rFont val="Arial"/>
        <family val="0"/>
        <charset val="1"/>
      </rPr>
      <t xml:space="preserve">C15 </t>
    </r>
    <r>
      <rPr>
        <i val="true"/>
        <sz val="9"/>
        <color rgb="FF666666"/>
        <rFont val="Noto Sans CJK SC"/>
        <family val="2"/>
      </rPr>
      <t xml:space="preserve">預算格。</t>
    </r>
  </si>
  <si>
    <r>
      <rPr>
        <b val="true"/>
        <sz val="13"/>
        <rFont val="Noto Sans CJK SC"/>
        <family val="2"/>
      </rPr>
      <t xml:space="preserve">四維評分（需求</t>
    </r>
    <r>
      <rPr>
        <b val="true"/>
        <sz val="13"/>
        <rFont val="Arial"/>
        <family val="0"/>
        <charset val="1"/>
      </rPr>
      <t xml:space="preserve">35%·</t>
    </r>
    <r>
      <rPr>
        <b val="true"/>
        <sz val="13"/>
        <rFont val="Noto Sans CJK SC"/>
        <family val="2"/>
      </rPr>
      <t xml:space="preserve">商圈</t>
    </r>
    <r>
      <rPr>
        <b val="true"/>
        <sz val="13"/>
        <rFont val="Arial"/>
        <family val="0"/>
        <charset val="1"/>
      </rPr>
      <t xml:space="preserve">25%·</t>
    </r>
    <r>
      <rPr>
        <b val="true"/>
        <sz val="13"/>
        <rFont val="Noto Sans CJK SC"/>
        <family val="2"/>
      </rPr>
      <t xml:space="preserve">質感</t>
    </r>
    <r>
      <rPr>
        <b val="true"/>
        <sz val="13"/>
        <rFont val="Arial"/>
        <family val="0"/>
        <charset val="1"/>
      </rPr>
      <t xml:space="preserve">20%·</t>
    </r>
    <r>
      <rPr>
        <b val="true"/>
        <sz val="13"/>
        <rFont val="Noto Sans CJK SC"/>
        <family val="2"/>
      </rPr>
      <t xml:space="preserve">性價比</t>
    </r>
    <r>
      <rPr>
        <b val="true"/>
        <sz val="13"/>
        <rFont val="Arial"/>
        <family val="0"/>
        <charset val="1"/>
      </rPr>
      <t xml:space="preserve">20%</t>
    </r>
    <r>
      <rPr>
        <b val="true"/>
        <sz val="13"/>
        <rFont val="Noto Sans CJK SC"/>
        <family val="2"/>
      </rPr>
      <t xml:space="preserve">）— 僅供參考；正式排序以 </t>
    </r>
    <r>
      <rPr>
        <b val="true"/>
        <sz val="13"/>
        <rFont val="Arial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頁籤「坪數＋價位」三級規則為準</t>
    </r>
  </si>
  <si>
    <r>
      <rPr>
        <i val="true"/>
        <sz val="9"/>
        <color rgb="FF666666"/>
        <rFont val="Noto Sans CJK SC"/>
        <family val="2"/>
      </rPr>
      <t xml:space="preserve">各維 </t>
    </r>
    <r>
      <rPr>
        <i val="true"/>
        <sz val="9"/>
        <color rgb="FF666666"/>
        <rFont val="Arial"/>
        <family val="0"/>
        <charset val="1"/>
      </rPr>
      <t xml:space="preserve">0~5 </t>
    </r>
    <r>
      <rPr>
        <i val="true"/>
        <sz val="9"/>
        <color rgb="FF666666"/>
        <rFont val="Noto Sans CJK SC"/>
        <family val="2"/>
      </rPr>
      <t xml:space="preserve">分；總分＝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Noto Sans CJK SC"/>
        <family val="2"/>
      </rPr>
      <t xml:space="preserve">需求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商圈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質感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性價比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)×20 − </t>
    </r>
    <r>
      <rPr>
        <i val="true"/>
        <sz val="9"/>
        <color rgb="FF666666"/>
        <rFont val="Noto Sans CJK SC"/>
        <family val="2"/>
      </rPr>
      <t xml:space="preserve">風險扣分</t>
    </r>
    <r>
      <rPr>
        <i val="true"/>
        <sz val="9"/>
        <color rgb="FF666666"/>
        <rFont val="Arial"/>
        <family val="0"/>
        <charset val="1"/>
      </rPr>
      <t xml:space="preserve">×4</t>
    </r>
    <r>
      <rPr>
        <i val="true"/>
        <sz val="9"/>
        <color rgb="FF666666"/>
        <rFont val="Noto Sans CJK SC"/>
        <family val="2"/>
      </rPr>
      <t xml:space="preserve">。權重在 </t>
    </r>
    <r>
      <rPr>
        <i val="true"/>
        <sz val="9"/>
        <color rgb="FF666666"/>
        <rFont val="Arial"/>
        <family val="0"/>
        <charset val="1"/>
      </rPr>
      <t xml:space="preserve">B4:E4 </t>
    </r>
    <r>
      <rPr>
        <i val="true"/>
        <sz val="9"/>
        <color rgb="FF666666"/>
        <rFont val="Noto Sans CJK SC"/>
        <family val="2"/>
      </rPr>
      <t xml:space="preserve">可改，總分公式連動。基本門檻：四區內、計租坪</t>
    </r>
    <r>
      <rPr>
        <i val="true"/>
        <sz val="9"/>
        <color rgb="FF666666"/>
        <rFont val="Arial"/>
        <family val="0"/>
        <charset val="1"/>
      </rPr>
      <t xml:space="preserve">200~290</t>
    </r>
    <r>
      <rPr>
        <i val="true"/>
        <sz val="9"/>
        <color rgb="FF666666"/>
        <rFont val="Noto Sans CJK SC"/>
        <family val="2"/>
      </rPr>
      <t xml:space="preserve">（計租坪</t>
    </r>
    <r>
      <rPr>
        <i val="true"/>
        <sz val="9"/>
        <color rgb="FF666666"/>
        <rFont val="Arial"/>
        <family val="0"/>
        <charset val="1"/>
      </rPr>
      <t xml:space="preserve">180~290lt;190</t>
    </r>
    <r>
      <rPr>
        <i val="true"/>
        <sz val="9"/>
        <color rgb="FF666666"/>
        <rFont val="Noto Sans CJK SC"/>
        <family val="2"/>
      </rPr>
      <t xml:space="preserve">已刪除）、非資料異常；同戶重複</t>
    </r>
    <r>
      <rPr>
        <i val="true"/>
        <sz val="9"/>
        <color rgb="FF666666"/>
        <rFont val="Arial"/>
        <family val="0"/>
        <charset val="1"/>
      </rPr>
      <t xml:space="preserve">(W11=H, J03=W08)</t>
    </r>
    <r>
      <rPr>
        <i val="true"/>
        <sz val="9"/>
        <color rgb="FF666666"/>
        <rFont val="Noto Sans CJK SC"/>
        <family val="2"/>
      </rPr>
      <t xml:space="preserve">不列十強。</t>
    </r>
  </si>
  <si>
    <t xml:space="preserve">需求符合</t>
  </si>
  <si>
    <t xml:space="preserve">商圈便利</t>
  </si>
  <si>
    <t xml:space="preserve">質感</t>
  </si>
  <si>
    <t xml:space="preserve">性價比</t>
  </si>
  <si>
    <t xml:space="preserve">權重</t>
  </si>
  <si>
    <t xml:space="preserve">第一優先
順序</t>
  </si>
  <si>
    <t xml:space="preserve">評分名次</t>
  </si>
  <si>
    <t xml:space="preserve">區</t>
  </si>
  <si>
    <t xml:space="preserve">來源</t>
  </si>
  <si>
    <r>
      <rPr>
        <b val="true"/>
        <sz val="10"/>
        <color rgb="FFFFFFFF"/>
        <rFont val="Arial"/>
        <family val="0"/>
        <charset val="1"/>
      </rPr>
      <t xml:space="preserve">H</t>
    </r>
    <r>
      <rPr>
        <b val="true"/>
        <sz val="10"/>
        <color rgb="FFFFFFFF"/>
        <rFont val="Noto Sans CJK SC"/>
        <family val="2"/>
      </rPr>
      <t xml:space="preserve">層級</t>
    </r>
  </si>
  <si>
    <t xml:space="preserve">計租坪</t>
  </si>
  <si>
    <t xml:space="preserve">實用坪</t>
  </si>
  <si>
    <t xml:space="preserve">含稅租金</t>
  </si>
  <si>
    <t xml:space="preserve">已知總成本</t>
  </si>
  <si>
    <t xml:space="preserve">每實用坪</t>
  </si>
  <si>
    <r>
      <rPr>
        <b val="true"/>
        <sz val="10"/>
        <color rgb="FFFFFFFF"/>
        <rFont val="Noto Sans CJK SC"/>
        <family val="2"/>
      </rPr>
      <t xml:space="preserve">風險扣分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</si>
  <si>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總分</t>
    </r>
    <r>
      <rPr>
        <b val="true"/>
        <sz val="10"/>
        <color rgb="FFFFFFFF"/>
        <rFont val="Arial"/>
        <family val="0"/>
        <charset val="1"/>
      </rPr>
      <t xml:space="preserve">(0-100)</t>
    </r>
  </si>
  <si>
    <t xml:space="preserve">符合門檻</t>
  </si>
  <si>
    <t xml:space="preserve">需求分依據</t>
  </si>
  <si>
    <t xml:space="preserve">商圈分依據</t>
  </si>
  <si>
    <t xml:space="preserve">質感分依據</t>
  </si>
  <si>
    <t xml:space="preserve">性價比依據</t>
  </si>
  <si>
    <t xml:space="preserve">風險扣分原因</t>
  </si>
  <si>
    <t xml:space="preserve">物調表</t>
  </si>
  <si>
    <t xml:space="preserve">是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</si>
  <si>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450,913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</si>
  <si>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</si>
  <si>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</si>
  <si>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2,382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</si>
  <si>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413,004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</si>
  <si>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</si>
  <si>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</si>
  <si>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</si>
  <si>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永慶房屋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</si>
  <si>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480,000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</si>
  <si>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</si>
  <si>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年；安敦國際大樓高樓層景觀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</si>
  <si>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</si>
  <si>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稅別未標示；比同棟</t>
    </r>
    <r>
      <rPr>
        <sz val="10"/>
        <color rgb="FF000000"/>
        <rFont val="Arial"/>
        <family val="0"/>
        <charset val="1"/>
      </rPr>
      <t xml:space="preserve">7F(A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</si>
  <si>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369,600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</si>
  <si>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</si>
  <si>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級地標挑高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</si>
  <si>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1,680(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</si>
  <si>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信義房屋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</si>
  <si>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337,910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</si>
  <si>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</si>
  <si>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2,824</t>
    </r>
  </si>
  <si>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50%)</t>
    </r>
    <r>
      <rPr>
        <sz val="10"/>
        <color rgb="FF000000"/>
        <rFont val="Noto Sans CJK SC"/>
        <family val="2"/>
      </rPr>
      <t xml:space="preserve">、無車位、水泥隔間需全裝修</t>
    </r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</si>
  <si>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423,010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</si>
  <si>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</si>
  <si>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</si>
  <si>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權狀數字異常待確認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</si>
  <si>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401,100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</si>
  <si>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</si>
  <si>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級宏偉大廳挑高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</si>
  <si>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</si>
  <si>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434,435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</si>
  <si>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</si>
  <si>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</si>
  <si>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2,648</t>
    </r>
  </si>
  <si>
    <t xml:space="preserve">稅別未標示；信義區東側非計畫區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</si>
  <si>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346,050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</si>
  <si>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</si>
  <si>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年；樓高</t>
    </r>
    <r>
      <rPr>
        <sz val="10"/>
        <color rgb="FF000000"/>
        <rFont val="Arial"/>
        <family val="0"/>
        <charset val="1"/>
      </rPr>
      <t xml:space="preserve">3.5M</t>
    </r>
    <r>
      <rPr>
        <sz val="10"/>
        <color rgb="FF000000"/>
        <rFont val="Noto Sans CJK SC"/>
        <family val="2"/>
      </rPr>
      <t xml:space="preserve">挑高、一樓大廳石材與電扶梯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；現況前酒吧裝潢需拆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</si>
  <si>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2,307</t>
    </r>
  </si>
  <si>
    <r>
      <rPr>
        <sz val="10"/>
        <color rgb="FF000000"/>
        <rFont val="Noto Sans CJK SC"/>
        <family val="2"/>
      </rPr>
      <t xml:space="preserve">使用分區「住四」需確認、前酒吧裝潢需全拆、報表日期</t>
    </r>
    <r>
      <rPr>
        <sz val="10"/>
        <color rgb="FF000000"/>
        <rFont val="Arial"/>
        <family val="0"/>
        <charset val="1"/>
      </rPr>
      <t xml:space="preserve">2024/6</t>
    </r>
  </si>
  <si>
    <t xml:space="preserve">HouseWeb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</si>
  <si>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350,900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</si>
  <si>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</si>
  <si>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屋齡未揭露；現況漂亮裝潢</t>
    </r>
    <r>
      <rPr>
        <sz val="10"/>
        <color rgb="FF000000"/>
        <rFont val="Arial"/>
        <family val="0"/>
        <charset val="1"/>
      </rPr>
      <t xml:space="preserve">(38</t>
    </r>
    <r>
      <rPr>
        <sz val="10"/>
        <color rgb="FF000000"/>
        <rFont val="Noto Sans CJK SC"/>
        <family val="2"/>
      </rPr>
      <t xml:space="preserve">張照片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</si>
  <si>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1,703(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</si>
  <si>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389,134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</si>
  <si>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</si>
  <si>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</si>
  <si>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2,480</t>
    </r>
  </si>
  <si>
    <r>
      <rPr>
        <sz val="10"/>
        <color rgb="FF000000"/>
        <rFont val="Noto Sans CJK SC"/>
        <family val="2"/>
      </rPr>
      <t xml:space="preserve">無車位、實用僅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坪、三門牌整層可得性待確認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</si>
  <si>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404,985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</si>
  <si>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</si>
  <si>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1,985(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</si>
  <si>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</si>
  <si>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</si>
  <si>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t xml:space="preserve">屋齡未揭露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</si>
  <si>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</si>
  <si>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591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</si>
  <si>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417,935</t>
    </r>
  </si>
  <si>
    <t xml:space="preserve">分割物件坪數待丈量、刊登價自相矛盾、門牌未揭露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</si>
  <si>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501,600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</si>
  <si>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年；玻璃帷幕、氣派門廳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</si>
  <si>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2,492</t>
    </r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</si>
  <si>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431,000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</si>
  <si>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</si>
  <si>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1,642</t>
    </r>
  </si>
  <si>
    <r>
      <rPr>
        <sz val="10"/>
        <color rgb="FF000000"/>
        <rFont val="Noto Sans CJK SC"/>
        <family val="2"/>
      </rPr>
      <t xml:space="preserve">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</si>
  <si>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494,340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</si>
  <si>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年；安敦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</si>
  <si>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</si>
  <si>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否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</si>
  <si>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236,980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</si>
  <si>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</si>
  <si>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1,161</t>
    </r>
  </si>
  <si>
    <t xml:space="preserve">地下室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</si>
  <si>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</si>
  <si>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級；捷運步行時間未揭露</t>
    </r>
  </si>
  <si>
    <t xml:space="preserve">屋齡未揭露；全空毛胚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</si>
  <si>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1,463(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</si>
  <si>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全空毛胚需全裝修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</si>
  <si>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320,000</t>
    </r>
  </si>
  <si>
    <t xml:space="preserve">屋齡未揭露；林森北路商圈形象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</si>
  <si>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1,594(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</si>
  <si>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405,500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</si>
  <si>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</si>
  <si>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1,838(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</si>
  <si>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年、對半分租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</si>
  <si>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494,098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</si>
  <si>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</si>
  <si>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年；圓形挑高大廳、大理石梯廳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</si>
  <si>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2,697</t>
    </r>
  </si>
  <si>
    <t xml:space="preserve">加班空調費率待確認、樓高來源矛盾</t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</si>
  <si>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386,676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</si>
  <si>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</si>
  <si>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2,319</t>
    </r>
  </si>
  <si>
    <t xml:space="preserve">大直非核心</t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</si>
  <si>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428,505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</si>
  <si>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</si>
  <si>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474,300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</si>
  <si>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</si>
  <si>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2,742</t>
    </r>
  </si>
  <si>
    <r>
      <rPr>
        <sz val="10"/>
        <color rgb="FF000000"/>
        <rFont val="Noto Sans CJK SC"/>
        <family val="2"/>
      </rPr>
      <t xml:space="preserve">毛胚需全裝修、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</si>
  <si>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496,555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</si>
  <si>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</si>
  <si>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2,396</t>
    </r>
  </si>
  <si>
    <r>
      <rPr>
        <sz val="10"/>
        <color rgb="FF000000"/>
        <rFont val="Noto Sans CJK SC"/>
        <family val="2"/>
      </rPr>
      <t xml:space="preserve">竣工年來源矛盾、車位「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」疑誤植、管理費全場最高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</si>
  <si>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438,900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</si>
  <si>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</si>
  <si>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</si>
  <si>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2,070(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</si>
  <si>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407,400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</si>
  <si>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年；馬賽克外牆、室內堆置雜物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</si>
  <si>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2,663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</si>
  <si>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</si>
  <si>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469,000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</si>
  <si>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</si>
  <si>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</si>
  <si>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1,383(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</si>
  <si>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380,000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</si>
  <si>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</si>
  <si>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526,970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</si>
  <si>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景觀；室內毛胚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</si>
  <si>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2,944</t>
    </r>
  </si>
  <si>
    <t xml:space="preserve">毛胚需全裝修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</si>
  <si>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512,575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</si>
  <si>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</si>
  <si>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</si>
  <si>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472,500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</si>
  <si>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2,415(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</si>
  <si>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506,347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</si>
  <si>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</si>
  <si>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1,983</t>
    </r>
  </si>
  <si>
    <r>
      <rPr>
        <sz val="10"/>
        <color rgb="FF000000"/>
        <rFont val="Noto Sans CJK SC"/>
        <family val="2"/>
      </rPr>
      <t xml:space="preserve">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坪、機械車位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</si>
  <si>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507,150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</si>
  <si>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</si>
  <si>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522,375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</si>
  <si>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</si>
  <si>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</si>
  <si>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502,211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</si>
  <si>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年；仁愛圓環一級門牌、僑福建設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</si>
  <si>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</si>
  <si>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＋管理費實支實付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</si>
  <si>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544,931</t>
    </r>
  </si>
  <si>
    <t xml:space="preserve">屋齡未揭露；信義計畫區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</si>
  <si>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2,050(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</si>
  <si>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486,465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</si>
  <si>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2,373(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</si>
  <si>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504,000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</si>
  <si>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1,826(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</si>
  <si>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</si>
  <si>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</si>
  <si>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560,000</t>
    </r>
  </si>
  <si>
    <t xml:space="preserve">屋齡未揭露；環球世貿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</si>
  <si>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2,102(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</si>
  <si>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501,100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</si>
  <si>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年；大直新大樓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</si>
  <si>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5,724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</si>
  <si>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年租期、大直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</si>
  <si>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588,000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</si>
  <si>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級新純辦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</si>
  <si>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2,288(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</si>
  <si>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</si>
  <si>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</si>
  <si>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1,080(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</si>
  <si>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446,800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</si>
  <si>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2,201(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</si>
  <si>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大樓質感排序（獨立於成本與坪數）</t>
  </si>
  <si>
    <t xml:space="preserve">「大樓本體」＝屋齡、規格、門廳、電梯、管理；「室內空間」＝樓高、採光、交屋狀態、實際可用坪。證據等級：已驗證＝有照片或第三方頁面；自述＝僅仲介文字。</t>
  </si>
  <si>
    <t xml:space="preserve">質感順位</t>
  </si>
  <si>
    <t xml:space="preserve">大樓本體質感</t>
  </si>
  <si>
    <t xml:space="preserve">室內空間質感</t>
  </si>
  <si>
    <t xml:space="preserve">證據等級</t>
  </si>
  <si>
    <r>
      <rPr>
        <b val="true"/>
        <sz val="10"/>
        <color rgb="FFFFFFFF"/>
        <rFont val="Noto Sans CJK SC"/>
        <family val="2"/>
      </rPr>
      <t xml:space="preserve">質感代價（與成本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坪數的取捨）</t>
    </r>
  </si>
  <si>
    <r>
      <rPr>
        <sz val="10"/>
        <color rgb="FF000000"/>
        <rFont val="Noto Sans CJK SC"/>
        <family val="2"/>
      </rPr>
      <t xml:space="preserve">壓倒性第一：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案唯一新樓，一層一戶、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電梯、四面通風、全天候管理</t>
    </r>
  </si>
  <si>
    <r>
      <rPr>
        <sz val="10"/>
        <color rgb="FF000000"/>
        <rFont val="Noto Sans CJK SC"/>
        <family val="2"/>
      </rPr>
      <t xml:space="preserve">水泥隔間毛胚，室內質感取決於裝修預算；樓高未揭露；室內主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坪（計租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</si>
  <si>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屋齡與規格已驗證；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張照片尚未實際檢視</t>
    </r>
  </si>
  <si>
    <t xml:space="preserve">室內可用坪最小；無車位；需全裝修</t>
  </si>
  <si>
    <t xml:space="preserve">B/J12/J15</t>
  </si>
  <si>
    <t xml:space="preserve">中鼎大樓 15F / 2F / 22F ↗</t>
  </si>
  <si>
    <r>
      <rPr>
        <sz val="10"/>
        <color rgb="FF000000"/>
        <rFont val="Noto Sans CJK SC"/>
        <family val="2"/>
      </rPr>
      <t xml:space="preserve">圓形挑高大廳、大理石電梯廳、帷幕外觀；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直視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；舊樓中門面最有份量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</si>
  <si>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現況有裝潢隔間；</t>
    </r>
    <r>
      <rPr>
        <sz val="10"/>
        <color rgb="FF000000"/>
        <rFont val="Arial"/>
        <family val="0"/>
        <charset val="1"/>
      </rPr>
      <t xml:space="preserve">2F/22F</t>
    </r>
    <r>
      <rPr>
        <sz val="10"/>
        <color rgb="FF000000"/>
        <rFont val="Noto Sans CJK SC"/>
        <family val="2"/>
      </rPr>
      <t xml:space="preserve">毛胚；樓高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</t>
    </r>
  </si>
  <si>
    <r>
      <rPr>
        <sz val="10"/>
        <color rgb="FF000000"/>
        <rFont val="Noto Sans CJK SC"/>
        <family val="2"/>
      </rPr>
      <t xml:space="preserve">已驟證（傑森愛華單筆報表照片、好房網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張）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</si>
  <si>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21%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2,697~2,941</t>
    </r>
    <r>
      <rPr>
        <sz val="10"/>
        <color rgb="FF000000"/>
        <rFont val="Noto Sans CJK SC"/>
        <family val="2"/>
      </rPr>
      <t xml:space="preserve">全場最貴段</t>
    </r>
  </si>
  <si>
    <r>
      <rPr>
        <sz val="10"/>
        <color rgb="FF000000"/>
        <rFont val="Noto Sans CJK SC"/>
        <family val="2"/>
      </rPr>
      <t xml:space="preserve">仁愛圓環一級門牌、僑福建設、樓高</t>
    </r>
    <r>
      <rPr>
        <sz val="10"/>
        <color rgb="FF000000"/>
        <rFont val="Arial"/>
        <family val="0"/>
        <charset val="1"/>
      </rPr>
      <t xml:space="preserve">3.06M</t>
    </r>
    <r>
      <rPr>
        <sz val="10"/>
        <color rgb="FF000000"/>
        <rFont val="Noto Sans CJK SC"/>
        <family val="2"/>
      </rPr>
      <t xml:space="preserve">、含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車位；對外形象舊樓最強</t>
    </r>
  </si>
  <si>
    <r>
      <rPr>
        <sz val="10"/>
        <color rgb="FF000000"/>
        <rFont val="Noto Sans CJK SC"/>
        <family val="2"/>
      </rPr>
      <t xml:space="preserve">現有隔間裝潢；中央空調</t>
    </r>
    <r>
      <rPr>
        <sz val="10"/>
        <color rgb="FF000000"/>
        <rFont val="Arial"/>
        <family val="0"/>
        <charset val="1"/>
      </rPr>
      <t xml:space="preserve">09-17</t>
    </r>
  </si>
  <si>
    <r>
      <rPr>
        <sz val="10"/>
        <color rgb="FF000000"/>
        <rFont val="Noto Sans CJK SC"/>
        <family val="2"/>
      </rPr>
      <t xml:space="preserve">信義社區頁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</si>
  <si>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＋全場最高租金</t>
    </r>
  </si>
  <si>
    <r>
      <rPr>
        <sz val="10"/>
        <color rgb="FF000000"/>
        <rFont val="Noto Sans CJK SC"/>
        <family val="2"/>
      </rPr>
      <t xml:space="preserve">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客梯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貨梯、公設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合理</t>
    </r>
  </si>
  <si>
    <r>
      <rPr>
        <sz val="10"/>
        <color rgb="FF000000"/>
        <rFont val="Noto Sans CJK SC"/>
        <family val="2"/>
      </rPr>
      <t xml:space="preserve">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偏低；獨立空調；含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</si>
  <si>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17F</t>
    </r>
    <r>
      <rPr>
        <sz val="10"/>
        <color rgb="FF000000"/>
        <rFont val="Noto Sans CJK SC"/>
        <family val="2"/>
      </rPr>
      <t xml:space="preserve">出租頁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</si>
  <si>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年租期；樓高</t>
    </r>
  </si>
  <si>
    <t xml:space="preserve">J01/J11/J14/J17</t>
  </si>
  <si>
    <t xml:space="preserve">傑森愛華自述A級案（環球18F／八德×龍江2F／民生東路8F／市民大道8F） ↗</t>
  </si>
  <si>
    <r>
      <rPr>
        <sz val="10"/>
        <color rgb="FF000000"/>
        <rFont val="Noto Sans CJK SC"/>
        <family val="2"/>
      </rPr>
      <t xml:space="preserve">自述「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級帷幕純辦、宏偉大廳、挑高、地標」</t>
    </r>
  </si>
  <si>
    <t xml:space="preserve">僅仲介自述，無照片——看到前不排入前四</t>
  </si>
  <si>
    <r>
      <rPr>
        <sz val="10"/>
        <color rgb="FF000000"/>
        <rFont val="Arial"/>
        <family val="0"/>
        <charset val="1"/>
      </rPr>
      <t xml:space="preserve">J14/J17</t>
    </r>
    <r>
      <rPr>
        <sz val="10"/>
        <color rgb="FF000000"/>
        <rFont val="Noto Sans CJK SC"/>
        <family val="2"/>
      </rPr>
      <t xml:space="preserve">超預算；</t>
    </r>
    <r>
      <rPr>
        <sz val="10"/>
        <color rgb="FF000000"/>
        <rFont val="Arial"/>
        <family val="0"/>
        <charset val="1"/>
      </rPr>
      <t xml:space="preserve">J11/J01</t>
    </r>
    <r>
      <rPr>
        <sz val="10"/>
        <color rgb="FF000000"/>
        <rFont val="Noto Sans CJK SC"/>
        <family val="2"/>
      </rPr>
      <t xml:space="preserve">資料只有一行</t>
    </r>
  </si>
  <si>
    <t xml:space="preserve">HouseWeb 八德路四段 9F ↗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</si>
  <si>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層樓、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樓高樓層、平面車位</t>
    </r>
  </si>
  <si>
    <r>
      <rPr>
        <sz val="10"/>
        <color rgb="FF000000"/>
        <rFont val="Noto Sans CJK SC"/>
        <family val="2"/>
      </rPr>
      <t xml:space="preserve">現況漂亮裝潢隔間（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張照片可看）</t>
    </r>
  </si>
  <si>
    <r>
      <rPr>
        <sz val="10"/>
        <color rgb="FF000000"/>
        <rFont val="Arial"/>
        <family val="0"/>
        <charset val="1"/>
      </rPr>
      <t xml:space="preserve">HouseWeb 38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</si>
  <si>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Noto Sans CJK SC"/>
        <family val="2"/>
      </rPr>
      <t xml:space="preserve">稅別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門牌未揭露</t>
    </r>
  </si>
  <si>
    <t xml:space="preserve">HouseWeb 信義區松山路 7F ↗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</si>
  <si>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層一般商辦；松山路非信義計畫區</t>
    </r>
  </si>
  <si>
    <r>
      <rPr>
        <sz val="10"/>
        <color rgb="FF000000"/>
        <rFont val="Noto Sans CJK SC"/>
        <family val="2"/>
      </rPr>
      <t xml:space="preserve">全空毛胚，需全裝修（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</si>
  <si>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 20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</si>
  <si>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萬最便宜段；形象與交通待實地評估</t>
    </r>
  </si>
  <si>
    <t xml:space="preserve">D / C / F</t>
  </si>
  <si>
    <t xml:space="preserve">敦化財經 4F、旭寶 5F、友聯 5F ↗</t>
  </si>
  <si>
    <r>
      <rPr>
        <sz val="10"/>
        <color rgb="FF000000"/>
        <rFont val="Arial"/>
        <family val="0"/>
        <charset val="1"/>
      </rPr>
      <t xml:space="preserve">35~43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</si>
  <si>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標準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級純辦；友聯門廳氣派（好房網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張）；旭寶公設</t>
    </r>
    <r>
      <rPr>
        <sz val="10"/>
        <color rgb="FF000000"/>
        <rFont val="Arial"/>
        <family val="0"/>
        <charset val="1"/>
      </rPr>
      <t xml:space="preserve">9.46%</t>
    </r>
  </si>
  <si>
    <r>
      <rPr>
        <sz val="10"/>
        <color rgb="FF000000"/>
        <rFont val="Noto Sans CJK SC"/>
        <family val="2"/>
      </rPr>
      <t xml:space="preserve">敦化財經採光明亮有裝潢；旭寶有裝潢；友聯樓高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</si>
  <si>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好房網大樓照片；本戶室內無公開照</t>
  </si>
  <si>
    <t xml:space="preserve">鴻霖大樓 10F之2 ↗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</si>
  <si>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年全場最老、馬賽克外牆、公設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Noto Sans CJK SC"/>
        <family val="2"/>
      </rPr>
      <t xml:space="preserve">；老式方格窗</t>
    </r>
  </si>
  <si>
    <r>
      <rPr>
        <sz val="10"/>
        <color rgb="FF000000"/>
        <rFont val="Noto Sans CJK SC"/>
        <family val="2"/>
      </rPr>
      <t xml:space="preserve">照片顯示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隔屏、木紋地板、堆置雜物；使用率</t>
    </r>
    <r>
      <rPr>
        <sz val="10"/>
        <color rgb="FF000000"/>
        <rFont val="Arial"/>
        <family val="0"/>
        <charset val="1"/>
      </rPr>
      <t xml:space="preserve">73%</t>
    </r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</si>
  <si>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</t>
    </r>
  </si>
  <si>
    <t xml:space="preserve">W03/W06/W07/W04</t>
  </si>
  <si>
    <t xml:space="preserve">HouseWeb 大直明水路·植福路·敬業一路 ↗</t>
  </si>
  <si>
    <r>
      <rPr>
        <sz val="10"/>
        <color rgb="FF000000"/>
        <rFont val="Noto Sans CJK SC"/>
        <family val="2"/>
      </rPr>
      <t xml:space="preserve">大直重劊區低樓層商辦（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層以下）；門面尚可但遠離大安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松山核心</t>
    </r>
  </si>
  <si>
    <r>
      <rPr>
        <sz val="10"/>
        <color rgb="FF000000"/>
        <rFont val="Noto Sans CJK SC"/>
        <family val="2"/>
      </rPr>
      <t xml:space="preserve">有裝潢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者多（</t>
    </r>
    <r>
      <rPr>
        <sz val="10"/>
        <color rgb="FF000000"/>
        <rFont val="Arial"/>
        <family val="0"/>
        <charset val="1"/>
      </rPr>
      <t xml:space="preserve">27~43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</si>
  <si>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照片</t>
    </r>
  </si>
  <si>
    <t xml:space="preserve">地段偏離；稅別管理費未揭露</t>
  </si>
  <si>
    <t xml:space="preserve">G / W13</t>
  </si>
  <si>
    <t xml:space="preserve">白宮 5F、HouseWeb 林森北路 6F ↗</t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</si>
  <si>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未揭露</t>
    </r>
  </si>
  <si>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全場最老最低；林森北路商圈形象弱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</si>
  <si>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/591/HouseWeb</t>
    </r>
    <r>
      <rPr>
        <sz val="10"/>
        <color rgb="FF000000"/>
        <rFont val="Noto Sans CJK SC"/>
        <family val="2"/>
      </rPr>
      <t xml:space="preserve">照片</t>
    </r>
  </si>
  <si>
    <r>
      <rPr>
        <i val="true"/>
        <sz val="9"/>
        <color rgb="FF666666"/>
        <rFont val="Noto Sans CJK SC"/>
        <family val="2"/>
      </rPr>
      <t xml:space="preserve">結論：純以質感排，光復北路第一沒有懸念；但其代價是室內可用坪最小（</t>
    </r>
    <r>
      <rPr>
        <i val="true"/>
        <sz val="9"/>
        <color rgb="FF666666"/>
        <rFont val="Arial"/>
        <family val="0"/>
        <charset val="1"/>
      </rPr>
      <t xml:space="preserve">119.66</t>
    </r>
    <r>
      <rPr>
        <i val="true"/>
        <sz val="9"/>
        <color rgb="FF666666"/>
        <rFont val="Noto Sans CJK SC"/>
        <family val="2"/>
      </rPr>
      <t xml:space="preserve">）。第二梯隊（中鼎、國泰世華）的質感則須以每月多付</t>
    </r>
    <r>
      <rPr>
        <i val="true"/>
        <sz val="9"/>
        <color rgb="FF666666"/>
        <rFont val="Arial"/>
        <family val="0"/>
        <charset val="1"/>
      </rPr>
      <t xml:space="preserve">10~20</t>
    </r>
    <r>
      <rPr>
        <i val="true"/>
        <sz val="9"/>
        <color rgb="FF666666"/>
        <rFont val="Noto Sans CJK SC"/>
        <family val="2"/>
      </rPr>
      <t xml:space="preserve">萬換取。「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坪」定義（計租坪 </t>
    </r>
    <r>
      <rPr>
        <i val="true"/>
        <sz val="9"/>
        <color rgb="FF666666"/>
        <rFont val="Arial"/>
        <family val="0"/>
        <charset val="1"/>
      </rPr>
      <t xml:space="preserve">vs </t>
    </r>
    <r>
      <rPr>
        <i val="true"/>
        <sz val="9"/>
        <color rgb="FF666666"/>
        <rFont val="Noto Sans CJK SC"/>
        <family val="2"/>
      </rPr>
      <t xml:space="preserve">室內坪）決定光復北路是第一還是出局。</t>
    </r>
  </si>
  <si>
    <r>
      <rPr>
        <b val="true"/>
        <sz val="13"/>
        <rFont val="Noto Sans CJK SC"/>
        <family val="2"/>
      </rPr>
      <t xml:space="preserve">傑森愛華國際物業顧問行 出租物件清單 — </t>
    </r>
    <r>
      <rPr>
        <b val="true"/>
        <sz val="13"/>
        <rFont val="Arial"/>
        <family val="0"/>
        <charset val="1"/>
      </rPr>
      <t xml:space="preserve">24 </t>
    </r>
    <r>
      <rPr>
        <b val="true"/>
        <sz val="13"/>
        <rFont val="Noto Sans CJK SC"/>
        <family val="2"/>
      </rPr>
      <t xml:space="preserve">件中 ≥</t>
    </r>
    <r>
      <rPr>
        <b val="true"/>
        <sz val="13"/>
        <rFont val="Arial"/>
        <family val="0"/>
        <charset val="1"/>
      </rPr>
      <t xml:space="preserve">200</t>
    </r>
    <r>
      <rPr>
        <b val="true"/>
        <sz val="13"/>
        <rFont val="Noto Sans CJK SC"/>
        <family val="2"/>
      </rPr>
      <t xml:space="preserve">坪之 </t>
    </r>
    <r>
      <rPr>
        <b val="true"/>
        <sz val="13"/>
        <rFont val="Arial"/>
        <family val="0"/>
        <charset val="1"/>
      </rPr>
      <t xml:space="preserve">18 </t>
    </r>
    <r>
      <rPr>
        <b val="true"/>
        <sz val="13"/>
        <rFont val="Noto Sans CJK SC"/>
        <family val="2"/>
      </rPr>
      <t xml:space="preserve">件換算與篩選（</t>
    </r>
    <r>
      <rPr>
        <b val="true"/>
        <sz val="13"/>
        <rFont val="Arial"/>
        <family val="0"/>
        <charset val="1"/>
      </rPr>
      <t xml:space="preserve">J19~J24 &lt;200</t>
    </r>
    <r>
      <rPr>
        <b val="true"/>
        <sz val="13"/>
        <rFont val="Noto Sans CJK SC"/>
        <family val="2"/>
      </rPr>
      <t xml:space="preserve">坪已刪除）</t>
    </r>
  </si>
  <si>
    <r>
      <rPr>
        <i val="true"/>
        <sz val="9"/>
        <color rgb="FF666666"/>
        <rFont val="Noto Sans CJK SC"/>
        <family val="2"/>
      </rPr>
      <t xml:space="preserve">原始清單租金均為「未稅」，本表一律換算為含稅（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）以與物調表同口徑比較。行政區依路段推定，門牌未揭露。清單未提供管理費、車位、公設比、屋齡、樓高。</t>
    </r>
  </si>
  <si>
    <t xml:space="preserve">序</t>
  </si>
  <si>
    <r>
      <rPr>
        <b val="true"/>
        <sz val="10"/>
        <color rgb="FFFFFFFF"/>
        <rFont val="Noto Sans CJK SC"/>
        <family val="2"/>
      </rPr>
      <t xml:space="preserve">地點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路段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</si>
  <si>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坪數</t>
  </si>
  <si>
    <t xml:space="preserve">未稅租金</t>
  </si>
  <si>
    <t xml:space="preserve">未稅單價</t>
  </si>
  <si>
    <r>
      <rPr>
        <b val="true"/>
        <sz val="10"/>
        <color rgb="FFFFFFFF"/>
        <rFont val="Noto Sans CJK SC"/>
        <family val="2"/>
      </rPr>
      <t xml:space="preserve">含稅租金
</t>
    </r>
    <r>
      <rPr>
        <b val="true"/>
        <sz val="10"/>
        <color rgb="FFFFFFFF"/>
        <rFont val="Arial"/>
        <family val="0"/>
        <charset val="1"/>
      </rPr>
      <t xml:space="preserve">(×1.05)</t>
    </r>
  </si>
  <si>
    <t xml:space="preserve">含稅單價</t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</si>
  <si>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
差額</t>
    </r>
  </si>
  <si>
    <t xml:space="preserve">推定
行政區</t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</si>
  <si>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vs220
</t>
    </r>
    <r>
      <rPr>
        <b val="true"/>
        <sz val="10"/>
        <color rgb="FFFFFFFF"/>
        <rFont val="Noto Sans CJK SC"/>
        <family val="2"/>
      </rPr>
      <t xml:space="preserve">差距</t>
    </r>
  </si>
  <si>
    <t xml:space="preserve">篩選結果</t>
  </si>
  <si>
    <t xml:space="preserve">大樓特色（原文）</t>
  </si>
  <si>
    <t xml:space="preserve">信義路5段(環球) ↗</t>
  </si>
  <si>
    <t xml:space="preserve">18</t>
  </si>
  <si>
    <t xml:space="preserve">南京東路5段近三民站 ↗</t>
  </si>
  <si>
    <t xml:space="preserve">5</t>
  </si>
  <si>
    <t xml:space="preserve">中山北路近市民大道 ↗</t>
  </si>
  <si>
    <t xml:space="preserve">17</t>
  </si>
  <si>
    <t xml:space="preserve">民生東路3段vs復興北路 ↗</t>
  </si>
  <si>
    <t xml:space="preserve">11</t>
  </si>
  <si>
    <t xml:space="preserve">3</t>
  </si>
  <si>
    <t xml:space="preserve">中山北路1段近市民大道 ↗</t>
  </si>
  <si>
    <t xml:space="preserve">9</t>
  </si>
  <si>
    <t xml:space="preserve">仁愛路4段近復興南路 (鴻霖大樓 25號10樓之2) ↗</t>
  </si>
  <si>
    <t xml:space="preserve">10</t>
  </si>
  <si>
    <t xml:space="preserve">南京東路近龍江路 ↗</t>
  </si>
  <si>
    <t xml:space="preserve">8</t>
  </si>
  <si>
    <t xml:space="preserve">敦化北路VS民生東路 ↗</t>
  </si>
  <si>
    <t xml:space="preserve">2</t>
  </si>
  <si>
    <t xml:space="preserve">安和路一段 (即安敦國際大樓17F) ↗</t>
  </si>
  <si>
    <t xml:space="preserve">八德路vs龍江路 ↗</t>
  </si>
  <si>
    <t xml:space="preserve">敦化南路2段 (中鼎大樓 77號2樓) ↗</t>
  </si>
  <si>
    <t xml:space="preserve">民生東路VS建國北路 ↗</t>
  </si>
  <si>
    <t xml:space="preserve">2*</t>
  </si>
  <si>
    <t xml:space="preserve">民生東路近敦化北路 ↗</t>
  </si>
  <si>
    <t xml:space="preserve">敦化南路2段(中鼎大樓 77號22樓) ↗</t>
  </si>
  <si>
    <t xml:space="preserve">22</t>
  </si>
  <si>
    <t xml:space="preserve">八德路近復興北路 (中影八德大樓 八德路二段260號2樓全層) ↗</t>
  </si>
  <si>
    <t xml:space="preserve">市民大道3段近復興南路 ↗</t>
  </si>
  <si>
    <t xml:space="preserve">忠孝東路4段VS延吉街 ↗</t>
  </si>
  <si>
    <t xml:space="preserve">4</t>
  </si>
  <si>
    <r>
      <rPr>
        <i val="true"/>
        <sz val="9"/>
        <color rgb="FF666666"/>
        <rFont val="Noto Sans CJK SC"/>
        <family val="2"/>
      </rPr>
      <t xml:space="preserve">註：清單未提供管理費與車位費，上表「含稅租金」尚未加計此二項；與物調表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案的「月總持有成本」比較時須再加上管理費（本次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案實際落在 </t>
    </r>
    <r>
      <rPr>
        <i val="true"/>
        <sz val="9"/>
        <color rgb="FF666666"/>
        <rFont val="Arial"/>
        <family val="0"/>
        <charset val="1"/>
      </rPr>
      <t xml:space="preserve">17,935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48,415 </t>
    </r>
    <r>
      <rPr>
        <i val="true"/>
        <sz val="9"/>
        <color rgb="FF666666"/>
        <rFont val="Noto Sans CJK SC"/>
        <family val="2"/>
      </rPr>
      <t xml:space="preserve">元／月）。</t>
    </r>
  </si>
  <si>
    <r>
      <rPr>
        <b val="true"/>
        <sz val="13"/>
        <rFont val="Arial"/>
        <family val="0"/>
        <charset val="1"/>
      </rPr>
      <t xml:space="preserve">HouseWeb </t>
    </r>
    <r>
      <rPr>
        <b val="true"/>
        <sz val="13"/>
        <rFont val="Noto Sans CJK SC"/>
        <family val="2"/>
      </rPr>
      <t xml:space="preserve">淘屋網 — 台北市辦公出租 </t>
    </r>
    <r>
      <rPr>
        <b val="true"/>
        <sz val="13"/>
        <rFont val="Arial"/>
        <family val="0"/>
        <charset val="1"/>
      </rPr>
      <t xml:space="preserve">180~300</t>
    </r>
    <r>
      <rPr>
        <b val="true"/>
        <sz val="13"/>
        <rFont val="Noto Sans CJK SC"/>
        <family val="2"/>
      </rPr>
      <t xml:space="preserve">坪、</t>
    </r>
    <r>
      <rPr>
        <b val="true"/>
        <sz val="13"/>
        <rFont val="Arial"/>
        <family val="0"/>
        <charset val="1"/>
      </rPr>
      <t xml:space="preserve">25~48</t>
    </r>
    <r>
      <rPr>
        <b val="true"/>
        <sz val="13"/>
        <rFont val="Noto Sans CJK SC"/>
        <family val="2"/>
      </rPr>
      <t xml:space="preserve">萬，篩選大安／信義／松山／中山 共 </t>
    </r>
    <r>
      <rPr>
        <b val="true"/>
        <sz val="13"/>
        <rFont val="Arial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件，刪除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坪 </t>
    </r>
    <r>
      <rPr>
        <b val="true"/>
        <sz val="13"/>
        <rFont val="Arial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件後餘 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件（</t>
    </r>
    <r>
      <rPr>
        <b val="true"/>
        <sz val="13"/>
        <rFont val="Arial"/>
        <family val="0"/>
        <charset val="1"/>
      </rPr>
      <t xml:space="preserve">2026-09-22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</si>
  <si>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搜尋條件：辦公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Noto Sans CJK SC"/>
        <family val="2"/>
      </rPr>
      <t xml:space="preserve">台北市 </t>
    </r>
    <r>
      <rPr>
        <i val="true"/>
        <sz val="9"/>
        <color rgb="FF666666"/>
        <rFont val="Arial"/>
        <family val="0"/>
        <charset val="1"/>
      </rPr>
      <t xml:space="preserve">/ 180~300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/ 250,000~480,000</t>
    </r>
    <r>
      <rPr>
        <i val="true"/>
        <sz val="9"/>
        <color rgb="FF666666"/>
        <rFont val="Noto Sans CJK SC"/>
        <family val="2"/>
      </rPr>
      <t xml:space="preserve">元，全 </t>
    </r>
    <r>
      <rPr>
        <i val="true"/>
        <sz val="9"/>
        <color rgb="FF666666"/>
        <rFont val="Arial"/>
        <family val="0"/>
        <charset val="1"/>
      </rPr>
      <t xml:space="preserve">225 </t>
    </r>
    <r>
      <rPr>
        <i val="true"/>
        <sz val="9"/>
        <color rgb="FF666666"/>
        <rFont val="Noto Sans CJK SC"/>
        <family val="2"/>
      </rPr>
      <t xml:space="preserve">筆逐頁掃描後依行政區篩出 </t>
    </r>
    <r>
      <rPr>
        <i val="true"/>
        <sz val="9"/>
        <color rgb="FF666666"/>
        <rFont val="Arial"/>
        <family val="0"/>
        <charset val="1"/>
      </rPr>
      <t xml:space="preserve">13 </t>
    </r>
    <r>
      <rPr>
        <i val="true"/>
        <sz val="9"/>
        <color rgb="FF666666"/>
        <rFont val="Noto Sans CJK SC"/>
        <family val="2"/>
      </rPr>
      <t xml:space="preserve">件（</t>
    </r>
    <r>
      <rPr>
        <i val="true"/>
        <sz val="9"/>
        <color rgb="FF666666"/>
        <rFont val="Arial"/>
        <family val="0"/>
        <charset val="1"/>
      </rPr>
      <t xml:space="preserve">W05/W09/W12 &lt;200</t>
    </r>
    <r>
      <rPr>
        <i val="true"/>
        <sz val="9"/>
        <color rgb="FF666666"/>
        <rFont val="Noto Sans CJK SC"/>
        <family val="2"/>
      </rPr>
      <t xml:space="preserve">坪已刪，餘</t>
    </r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Noto Sans CJK SC"/>
        <family val="2"/>
      </rPr>
      <t xml:space="preserve">件）。稅別除松高房屋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明寫「未稅」外，其餘刊登未標示，一律列入待確認。</t>
    </r>
  </si>
  <si>
    <t xml:space="preserve">刊登標題</t>
  </si>
  <si>
    <t xml:space="preserve">路段</t>
  </si>
  <si>
    <t xml:space="preserve">刊登租金</t>
  </si>
  <si>
    <t xml:space="preserve">稅別</t>
  </si>
  <si>
    <t xml:space="preserve">管理費</t>
  </si>
  <si>
    <t xml:space="preserve">車位</t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</si>
  <si>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商圈</t>
    </r>
  </si>
  <si>
    <t xml:space="preserve">電話</t>
  </si>
  <si>
    <t xml:space="preserve">照片</t>
  </si>
  <si>
    <t xml:space="preserve">連結</t>
  </si>
  <si>
    <t xml:space="preserve">超出預算</t>
  </si>
  <si>
    <t xml:space="preserve">https://www.houseweb.com.tw/house/1506073</t>
  </si>
  <si>
    <t xml:space="preserve">★ 第二優先</t>
  </si>
  <si>
    <t xml:space="preserve">https://www.houseweb.com.tw/house/2567826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</si>
  <si>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</si>
  <si>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https://www.houseweb.com.tw/house/2581969</t>
  </si>
  <si>
    <t xml:space="preserve">https://www.houseweb.com.tw/house/2650465</t>
  </si>
  <si>
    <t xml:space="preserve">https://www.houseweb.com.tw/house/2504639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</si>
  <si>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超坪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</si>
  <si>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https://www.houseweb.com.tw/house/2457012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</si>
  <si>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明寫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</si>
  <si>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https://www.houseweb.com.tw/house/2664165</t>
  </si>
  <si>
    <t xml:space="preserve">https://www.houseweb.com.tw/house/2611327</t>
  </si>
  <si>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(591</t>
    </r>
    <r>
      <rPr>
        <sz val="10"/>
        <color rgb="FF0000FF"/>
        <rFont val="Noto Sans CJK SC"/>
        <family val="2"/>
      </rPr>
      <t xml:space="preserve">同戶備註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</si>
  <si>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＝物調表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</si>
  <si>
    <t xml:space="preserve">https://www.houseweb.com.tw/house/2653888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</si>
  <si>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地段形象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</si>
  <si>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https://www.houseweb.com.tw/house/2653863</t>
  </si>
  <si>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站內以刊登租金比較：</t>
    </r>
    <r>
      <rPr>
        <i val="true"/>
        <sz val="9"/>
        <color rgb="FF666666"/>
        <rFont val="Arial"/>
        <family val="0"/>
        <charset val="1"/>
      </rPr>
      <t xml:space="preserve">W10 </t>
    </r>
    <r>
      <rPr>
        <i val="true"/>
        <sz val="9"/>
        <color rgb="FF666666"/>
        <rFont val="Noto Sans CJK SC"/>
        <family val="2"/>
      </rPr>
      <t xml:space="preserve">松山路 </t>
    </r>
    <r>
      <rPr>
        <i val="true"/>
        <sz val="9"/>
        <color rgb="FF666666"/>
        <rFont val="Arial"/>
        <family val="0"/>
        <charset val="1"/>
      </rPr>
      <t xml:space="preserve">205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30</t>
    </r>
    <r>
      <rPr>
        <i val="true"/>
        <sz val="9"/>
        <color rgb="FF666666"/>
        <rFont val="Noto Sans CJK SC"/>
        <family val="2"/>
      </rPr>
      <t xml:space="preserve">萬、</t>
    </r>
    <r>
      <rPr>
        <i val="true"/>
        <sz val="9"/>
        <color rgb="FF666666"/>
        <rFont val="Arial"/>
        <family val="0"/>
        <charset val="1"/>
      </rPr>
      <t xml:space="preserve">W02 </t>
    </r>
    <r>
      <rPr>
        <i val="true"/>
        <sz val="9"/>
        <color rgb="FF666666"/>
        <rFont val="Noto Sans CJK SC"/>
        <family val="2"/>
      </rPr>
      <t xml:space="preserve">八德路四段 </t>
    </r>
    <r>
      <rPr>
        <i val="true"/>
        <sz val="9"/>
        <color rgb="FF666666"/>
        <rFont val="Arial"/>
        <family val="0"/>
        <charset val="1"/>
      </rPr>
      <t xml:space="preserve">206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35.09</t>
    </r>
    <r>
      <rPr>
        <i val="true"/>
        <sz val="9"/>
        <color rgb="FF666666"/>
        <rFont val="Noto Sans CJK SC"/>
        <family val="2"/>
      </rPr>
      <t xml:space="preserve">萬 為坪數符合且低於預算的兩案，但稅別與管理費均未揭露，需先索取物調表；大直 </t>
    </r>
    <r>
      <rPr>
        <i val="true"/>
        <sz val="9"/>
        <color rgb="FF666666"/>
        <rFont val="Arial"/>
        <family val="0"/>
        <charset val="1"/>
      </rPr>
      <t xml:space="preserve">4 </t>
    </r>
    <r>
      <rPr>
        <i val="true"/>
        <sz val="9"/>
        <color rgb="FF666666"/>
        <rFont val="Noto Sans CJK SC"/>
        <family val="2"/>
      </rPr>
      <t xml:space="preserve">案</t>
    </r>
    <r>
      <rPr>
        <i val="true"/>
        <sz val="9"/>
        <color rgb="FF666666"/>
        <rFont val="Arial"/>
        <family val="0"/>
        <charset val="1"/>
      </rPr>
      <t xml:space="preserve">(W03~W07)</t>
    </r>
    <r>
      <rPr>
        <i val="true"/>
        <sz val="9"/>
        <color rgb="FF666666"/>
        <rFont val="Noto Sans CJK SC"/>
        <family val="2"/>
      </rPr>
      <t xml:space="preserve">地段偏離核心商圈，列備案。</t>
    </r>
  </si>
  <si>
    <r>
      <rPr>
        <b val="true"/>
        <sz val="13"/>
        <rFont val="Noto Sans CJK SC"/>
        <family val="2"/>
      </rPr>
      <t xml:space="preserve">全部 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件合併排行（以含稅租金＋已知管理費計）</t>
    </r>
  </si>
  <si>
    <r>
      <rPr>
        <i val="true"/>
        <sz val="9"/>
        <color rgb="FF666666"/>
        <rFont val="Noto Sans CJK SC"/>
        <family val="2"/>
      </rPr>
      <t xml:space="preserve">物調表 </t>
    </r>
    <r>
      <rPr>
        <i val="true"/>
        <sz val="9"/>
        <color rgb="FF666666"/>
        <rFont val="Arial"/>
        <family val="0"/>
        <charset val="1"/>
      </rPr>
      <t xml:space="preserve">9 </t>
    </r>
    <r>
      <rPr>
        <i val="true"/>
        <sz val="9"/>
        <color rgb="FF666666"/>
        <rFont val="Noto Sans CJK SC"/>
        <family val="2"/>
      </rPr>
      <t xml:space="preserve">案含管理費與車位；傑森愛華 </t>
    </r>
    <r>
      <rPr>
        <i val="true"/>
        <sz val="9"/>
        <color rgb="FF666666"/>
        <rFont val="Arial"/>
        <family val="0"/>
        <charset val="1"/>
      </rPr>
      <t xml:space="preserve">18 </t>
    </r>
    <r>
      <rPr>
        <i val="true"/>
        <sz val="9"/>
        <color rgb="FF666666"/>
        <rFont val="Noto Sans CJK SC"/>
        <family val="2"/>
      </rPr>
      <t xml:space="preserve">件僅含租金（未稅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）；</t>
    </r>
    <r>
      <rPr>
        <i val="true"/>
        <sz val="9"/>
        <color rgb="FF666666"/>
        <rFont val="Arial"/>
        <family val="0"/>
        <charset val="1"/>
      </rPr>
      <t xml:space="preserve">HouseWeb 10 </t>
    </r>
    <r>
      <rPr>
        <i val="true"/>
        <sz val="9"/>
        <color rgb="FF666666"/>
        <rFont val="Noto Sans CJK SC"/>
        <family val="2"/>
      </rPr>
      <t xml:space="preserve">件為刊登價（除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明寫未稅已換算外，稅別未標示），管理費僅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有。缺管理費者成本為低估值。</t>
    </r>
  </si>
  <si>
    <t xml:space="preserve">案名／地點</t>
  </si>
  <si>
    <t xml:space="preserve">含稅月租金</t>
  </si>
  <si>
    <t xml:space="preserve">已知月總成本</t>
  </si>
  <si>
    <r>
      <rPr>
        <b val="true"/>
        <sz val="10"/>
        <color rgb="FFFFFFFF"/>
        <rFont val="Noto Sans CJK SC"/>
        <family val="2"/>
      </rPr>
      <t xml:space="preserve">每坪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含稅租金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</si>
  <si>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</t>
    </r>
  </si>
  <si>
    <t xml:space="preserve">含管理費與車位</t>
  </si>
  <si>
    <t xml:space="preserve">刊登價未標示稅別；管理費未提供，成本為低估值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</si>
  <si>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；含管理費</t>
    </r>
  </si>
  <si>
    <t xml:space="preserve">管理費未提供，成本為低估值</t>
  </si>
  <si>
    <r>
      <rPr>
        <i val="true"/>
        <sz val="9"/>
        <color rgb="FF666666"/>
        <rFont val="Noto Sans CJK SC"/>
        <family val="2"/>
      </rPr>
      <t xml:space="preserve">排序方式：選取 </t>
    </r>
    <r>
      <rPr>
        <i val="true"/>
        <sz val="9"/>
        <color rgb="FF666666"/>
        <rFont val="Arial"/>
        <family val="0"/>
        <charset val="1"/>
      </rPr>
      <t xml:space="preserve">A4:I50 </t>
    </r>
    <r>
      <rPr>
        <i val="true"/>
        <sz val="9"/>
        <color rgb="FF666666"/>
        <rFont val="Noto Sans CJK SC"/>
        <family val="2"/>
      </rPr>
      <t xml:space="preserve">後，以「已知月總成本」由小到大排序即可。</t>
    </r>
  </si>
  <si>
    <r>
      <rPr>
        <b val="true"/>
        <sz val="13"/>
        <rFont val="Noto Sans CJK SC"/>
        <family val="2"/>
      </rPr>
      <t xml:space="preserve">可點閱介紹頁與照片連結（</t>
    </r>
    <r>
      <rPr>
        <b val="true"/>
        <sz val="13"/>
        <rFont val="Arial"/>
        <family val="0"/>
        <charset val="1"/>
      </rPr>
      <t xml:space="preserve">2026-09-22 </t>
    </r>
    <r>
      <rPr>
        <b val="true"/>
        <sz val="13"/>
        <rFont val="Noto Sans CJK SC"/>
        <family val="2"/>
      </rPr>
      <t xml:space="preserve">逐一開啟驗證）</t>
    </r>
  </si>
  <si>
    <r>
      <rPr>
        <i val="true"/>
        <sz val="9"/>
        <color rgb="FF666666"/>
        <rFont val="Noto Sans CJK SC"/>
        <family val="2"/>
      </rPr>
      <t xml:space="preserve">「出租物件頁」＝有室內照片與租金；「大樓介紹頁」＝外觀／大廳照與屋齡戶數等資料。尚揚 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案為專任案源，多數無公開出租頁，看空間請向承辦人索取照片或約帶看。</t>
    </r>
  </si>
  <si>
    <t xml:space="preserve">網站</t>
  </si>
  <si>
    <t xml:space="preserve">頁面類型</t>
  </si>
  <si>
    <t xml:space="preserve">頁面內容摘要</t>
  </si>
  <si>
    <t xml:space="preserve">安敦國際大樓 ↗</t>
  </si>
  <si>
    <t xml:space="preserve">https://business.591.com.tw/rent/22034644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</si>
  <si>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7F)</t>
    </r>
  </si>
  <si>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、含平面車位、豪華裝潢、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張照片、京安國際</t>
    </r>
  </si>
  <si>
    <t xml:space="preserve">https://www.sinyi.com.tw/rent/houseno/CZ05290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</si>
  <si>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同棟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</si>
  <si>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214.68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472,000/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30,053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張照片、屋齡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年、含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平面車位</t>
    </r>
  </si>
  <si>
    <t xml:space="preserve">https://www.sinyi.com.tw/communitylist/communityinfo/0008194</t>
  </si>
  <si>
    <t xml:space="preserve">大樓介紹頁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</si>
  <si>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戶、公設比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、玻璃帷幕、全天候警衛；頁內列本棟現有租售件</t>
    </r>
  </si>
  <si>
    <t xml:space="preserve">https://www.aire.com.tw/zlb-106-2604340</t>
  </si>
  <si>
    <t xml:space="preserve">東家國際地產</t>
  </si>
  <si>
    <r>
      <rPr>
        <sz val="10"/>
        <color rgb="FF000000"/>
        <rFont val="Arial"/>
        <family val="0"/>
        <charset val="1"/>
      </rPr>
      <t xml:space="preserve">18F/B4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1988/3/5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2.9M</t>
    </r>
    <r>
      <rPr>
        <sz val="10"/>
        <color rgb="FF000000"/>
        <rFont val="Noto Sans CJK SC"/>
        <family val="2"/>
      </rPr>
      <t xml:space="preserve">、獨立空調</t>
    </r>
  </si>
  <si>
    <t xml:space="preserve">中鼎大樓 ↗</t>
  </si>
  <si>
    <t xml:space="preserve">https://buy.housefun.com.tw/buy/building/11014</t>
  </si>
  <si>
    <t xml:space="preserve">好房網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</si>
  <si>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1984/7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22F/B2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戶、飯店式管理</t>
    </r>
  </si>
  <si>
    <t xml:space="preserve">https://www.aire.com.tw/zlb-106-2604327</t>
  </si>
  <si>
    <r>
      <rPr>
        <sz val="10"/>
        <color rgb="FF000000"/>
        <rFont val="Noto Sans CJK SC"/>
        <family val="2"/>
      </rPr>
      <t xml:space="preserve">四客一貨電梯、樓高</t>
    </r>
    <r>
      <rPr>
        <sz val="10"/>
        <color rgb="FF000000"/>
        <rFont val="Arial"/>
        <family val="0"/>
        <charset val="1"/>
      </rPr>
      <t xml:space="preserve">2.72M(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3.1M,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、中央空調、近信義安和</t>
    </r>
  </si>
  <si>
    <t xml:space="preserve">https://www.sinyi.com.tw/communitylist/communityinfo/0008189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</si>
  <si>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21~22%</t>
    </r>
    <r>
      <rPr>
        <sz val="10"/>
        <color rgb="FF000000"/>
        <rFont val="Noto Sans CJK SC"/>
        <family val="2"/>
      </rPr>
      <t xml:space="preserve">、建商葉財記</t>
    </r>
  </si>
  <si>
    <t xml:space="preserve">中鼎大樓 2F／22F 單筆報表 ↗</t>
  </si>
  <si>
    <t xml:space="preserve">https://kevinashowtimes-web.github.io/showtime-office-dashboard/JE_J12_zhongding_2F.pdf</t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</si>
  <si>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</si>
  <si>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Noto Sans CJK SC"/>
        <family val="2"/>
      </rPr>
      <t xml:space="preserve">單筆報表原始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</si>
  <si>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Arial"/>
        <family val="0"/>
        <charset val="1"/>
      </rPr>
      <t xml:space="preserve">2F 5</t>
    </r>
    <r>
      <rPr>
        <sz val="10"/>
        <color rgb="FF000000"/>
        <rFont val="Noto Sans CJK SC"/>
        <family val="2"/>
      </rPr>
      <t xml:space="preserve">張照片（</t>
    </r>
    <r>
      <rPr>
        <sz val="10"/>
        <color rgb="FF000000"/>
        <rFont val="Arial"/>
        <family val="0"/>
        <charset val="1"/>
      </rPr>
      <t xml:space="preserve">22F </t>
    </r>
    <r>
      <rPr>
        <sz val="10"/>
        <color rgb="FF000000"/>
        <rFont val="Noto Sans CJK SC"/>
        <family val="2"/>
      </rPr>
      <t xml:space="preserve">另見 </t>
    </r>
    <r>
      <rPr>
        <sz val="10"/>
        <color rgb="FF000000"/>
        <rFont val="Arial"/>
        <family val="0"/>
        <charset val="1"/>
      </rPr>
      <t xml:space="preserve">https://kevinashowtimes-web.github.io/showtime-office-dashboard/JE_J15_zhongding_22F.pdf </t>
    </r>
    <r>
      <rPr>
        <sz val="10"/>
        <color rgb="FF000000"/>
        <rFont val="Noto Sans CJK SC"/>
        <family val="2"/>
      </rPr>
      <t xml:space="preserve">），含報表第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</si>
  <si>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t xml:space="preserve">旭寶大樓 ↗</t>
  </si>
  <si>
    <t xml:space="preserve">https://buy.housefun.com.tw/buy/building/9278</t>
  </si>
  <si>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240~282</t>
    </r>
    <r>
      <rPr>
        <sz val="10"/>
        <color rgb="FF000000"/>
        <rFont val="Noto Sans CJK SC"/>
        <family val="2"/>
      </rPr>
      <t xml:space="preserve">坪</t>
    </r>
  </si>
  <si>
    <t xml:space="preserve">https://www.sinyi.com.tw/communitylist/communityinfo/0003380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</si>
  <si>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2024/12</t>
    </r>
    <r>
      <rPr>
        <sz val="10"/>
        <color rgb="FF000000"/>
        <rFont val="Noto Sans CJK SC"/>
        <family val="2"/>
      </rPr>
      <t xml:space="preserve">成交</t>
    </r>
    <r>
      <rPr>
        <sz val="10"/>
        <color rgb="FF000000"/>
        <rFont val="Arial"/>
        <family val="0"/>
        <charset val="1"/>
      </rPr>
      <t xml:space="preserve">125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</si>
  <si>
    <t xml:space="preserve">https://www.leju.com.tw/community/Lffc1292f3182</t>
  </si>
  <si>
    <t xml:space="preserve">樂居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</si>
  <si>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、基地</t>
    </r>
    <r>
      <rPr>
        <sz val="10"/>
        <color rgb="FF000000"/>
        <rFont val="Arial"/>
        <family val="0"/>
        <charset val="1"/>
      </rPr>
      <t xml:space="preserve">406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筆實登</t>
    </r>
  </si>
  <si>
    <t xml:space="preserve">敦化財經大樓 ↗</t>
  </si>
  <si>
    <t xml:space="preserve">https://business.591.com.tw/rent/21856432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</si>
  <si>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疑同戶</t>
    </r>
    <r>
      <rPr>
        <sz val="10"/>
        <color rgb="FF000000"/>
        <rFont val="Arial"/>
        <family val="0"/>
        <charset val="1"/>
      </rPr>
      <t xml:space="preserve">4F)</t>
    </r>
  </si>
  <si>
    <r>
      <rPr>
        <sz val="10"/>
        <color rgb="FF000000"/>
        <rFont val="Arial"/>
        <family val="0"/>
        <charset val="1"/>
      </rPr>
      <t xml:space="preserve">4F/11F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386,839/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、豪華裝潢、距西華飯店站</t>
    </r>
    <r>
      <rPr>
        <sz val="10"/>
        <color rgb="FF000000"/>
        <rFont val="Arial"/>
        <family val="0"/>
        <charset val="1"/>
      </rPr>
      <t xml:space="preserve">85m</t>
    </r>
    <r>
      <rPr>
        <sz val="10"/>
        <color rgb="FF000000"/>
        <rFont val="Noto Sans CJK SC"/>
        <family val="2"/>
      </rPr>
      <t xml:space="preserve">、星辰地產陳小姐</t>
    </r>
  </si>
  <si>
    <t xml:space="preserve">https://www.aire.com.tw/zlb-105-2604215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</si>
  <si>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號、</t>
    </r>
    <r>
      <rPr>
        <sz val="10"/>
        <color rgb="FF000000"/>
        <rFont val="Arial"/>
        <family val="0"/>
        <charset val="1"/>
      </rPr>
      <t xml:space="preserve">11F/B2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完工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80/7/31,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</si>
  <si>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https://buy.housefun.com.tw/buy/building/40468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</si>
  <si>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登錄名敦北財經大樓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</si>
  <si>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張外觀圖、屋齡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207~220</t>
    </r>
    <r>
      <rPr>
        <sz val="10"/>
        <color rgb="FF000000"/>
        <rFont val="Noto Sans CJK SC"/>
        <family val="2"/>
      </rPr>
      <t xml:space="preserve">坪</t>
    </r>
  </si>
  <si>
    <t xml:space="preserve">國泰世華銀行大樓 ↗</t>
  </si>
  <si>
    <t xml:space="preserve">https://www.sinyi.com.tw/communitylist/communityinfo/0008197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</si>
  <si>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戶、每戶約</t>
    </r>
    <r>
      <rPr>
        <sz val="10"/>
        <color rgb="FF000000"/>
        <rFont val="Arial"/>
        <family val="0"/>
        <charset val="1"/>
      </rPr>
      <t xml:space="preserve">295</t>
    </r>
    <r>
      <rPr>
        <sz val="10"/>
        <color rgb="FF000000"/>
        <rFont val="Noto Sans CJK SC"/>
        <family val="2"/>
      </rPr>
      <t xml:space="preserve">坪、公設比</t>
    </r>
    <r>
      <rPr>
        <sz val="10"/>
        <color rgb="FF000000"/>
        <rFont val="Arial"/>
        <family val="0"/>
        <charset val="1"/>
      </rPr>
      <t xml:space="preserve">23%</t>
    </r>
    <r>
      <rPr>
        <sz val="10"/>
        <color rgb="FF000000"/>
        <rFont val="Noto Sans CJK SC"/>
        <family val="2"/>
      </rPr>
      <t xml:space="preserve">、建商僑福</t>
    </r>
  </si>
  <si>
    <t xml:space="preserve">國泰世華銀行大樓</t>
  </si>
  <si>
    <t xml:space="preserve">（未找到公開出租頁）</t>
  </si>
  <si>
    <r>
      <rPr>
        <sz val="10"/>
        <color rgb="FF000000"/>
        <rFont val="Noto Sans CJK SC"/>
        <family val="2"/>
      </rPr>
      <t xml:space="preserve">搜尋：國泰世華銀行大樓 出租／仁愛路四段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 出租，均無本棟有效物件頁</t>
    </r>
  </si>
  <si>
    <t xml:space="preserve">友聯大樓 5F 室內照片 ↗</t>
  </si>
  <si>
    <t xml:space="preserve">https://kevinashowtimes-web.github.io/showtime-office-dashboard/?case=f</t>
  </si>
  <si>
    <r>
      <rPr>
        <sz val="10"/>
        <color rgb="FF000000"/>
        <rFont val="Noto Sans CJK SC"/>
        <family val="2"/>
      </rPr>
      <t xml:space="preserve">秀泰選址儀表板</t>
    </r>
    <r>
      <rPr>
        <sz val="10"/>
        <color rgb="FF000000"/>
        <rFont val="Arial"/>
        <family val="0"/>
        <charset val="1"/>
      </rPr>
      <t xml:space="preserve">(GitHub)</t>
    </r>
  </si>
  <si>
    <t xml:space="preserve">本戶室內照片</t>
  </si>
  <si>
    <r>
      <rPr>
        <sz val="10"/>
        <color rgb="FF000000"/>
        <rFont val="Noto Sans CJK SC"/>
        <family val="2"/>
      </rPr>
      <t xml:space="preserve">使用者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提供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張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刊登照片（有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浮水印）：接待櫃台、玻璃會議室、休憩亭、茶水間、小辦公室；為現況裝潢，交屋是否保留待確認</t>
    </r>
  </si>
  <si>
    <t xml:space="preserve">友聯大樓 ↗</t>
  </si>
  <si>
    <t xml:space="preserve">https://buy.housefun.com.tw/buy/building/12401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</si>
  <si>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登錄名友聯建設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</si>
  <si>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帷幕、梯廳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戶一層一戶；頁內無出租中物件</t>
    </r>
  </si>
  <si>
    <t xml:space="preserve">https://www.aire.com.tw/en/zlb-105-2604194</t>
  </si>
  <si>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張示意圖，租金「依需求調整」，無</t>
    </r>
    <r>
      <rPr>
        <sz val="10"/>
        <color rgb="FF000000"/>
        <rFont val="Arial"/>
        <family val="0"/>
        <charset val="1"/>
      </rPr>
      <t xml:space="preserve">5F/203</t>
    </r>
    <r>
      <rPr>
        <sz val="10"/>
        <color rgb="FF000000"/>
        <rFont val="Noto Sans CJK SC"/>
        <family val="2"/>
      </rPr>
      <t xml:space="preserve">坪具體物件</t>
    </r>
  </si>
  <si>
    <t xml:space="preserve">https://market.591.com.tw/5572/rent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</si>
  <si>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社區頁</t>
    </r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</si>
  <si>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在租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</si>
  <si>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將南京東路五段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號登錄為「宏第上海通商大樓」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，與好房網「友聯建設」名稱不同，大樓名待向尚揚確認；在租物件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</si>
  <si>
    <t xml:space="preserve">友聯大樓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</si>
  <si>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203.26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</si>
  <si>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r>
      <rPr>
        <sz val="10"/>
        <color rgb="FF000000"/>
        <rFont val="Noto Sans CJK SC"/>
        <family val="2"/>
      </rPr>
      <t xml:space="preserve">已查 </t>
    </r>
    <r>
      <rPr>
        <sz val="10"/>
        <color rgb="FF000000"/>
        <rFont val="Arial"/>
        <family val="0"/>
        <charset val="1"/>
      </rPr>
      <t xml:space="preserve">591/</t>
    </r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好房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東家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家合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太平洋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住商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台灣房屋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樂居</t>
    </r>
    <r>
      <rPr>
        <sz val="10"/>
        <color rgb="FF000000"/>
        <rFont val="Arial"/>
        <family val="0"/>
        <charset val="1"/>
      </rPr>
      <t xml:space="preserve">/HouseWeb</t>
    </r>
    <r>
      <rPr>
        <sz val="10"/>
        <color rgb="FF000000"/>
        <rFont val="Noto Sans CJK SC"/>
        <family val="2"/>
      </rPr>
      <t xml:space="preserve">；信義站內「南京東路五段」辦公僅</t>
    </r>
    <r>
      <rPr>
        <sz val="10"/>
        <color rgb="FF000000"/>
        <rFont val="Arial"/>
        <family val="0"/>
        <charset val="1"/>
      </rPr>
      <t xml:space="preserve">26~50</t>
    </r>
    <r>
      <rPr>
        <sz val="10"/>
        <color rgb="FF000000"/>
        <rFont val="Noto Sans CJK SC"/>
        <family val="2"/>
      </rPr>
      <t xml:space="preserve">坪</t>
    </r>
  </si>
  <si>
    <t xml:space="preserve">白宮企業大樓 ↗</t>
  </si>
  <si>
    <t xml:space="preserve">https://buy.housefun.com.tw/buy/building/28758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</si>
  <si>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1978/1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48.5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12F/B1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戶；頁內無出租中物件</t>
    </r>
  </si>
  <si>
    <t xml:space="preserve">白宮企業大樓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</si>
  <si>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207.04</t>
    </r>
    <r>
      <rPr>
        <sz val="10"/>
        <color rgb="FF000000"/>
        <rFont val="Noto Sans CJK SC"/>
        <family val="2"/>
      </rPr>
      <t xml:space="preserve">坪三門牌整層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</si>
  <si>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t xml:space="preserve">尚揚專任案；下列同層小戶「不是本案」，僅供看同層屋況參考</t>
  </si>
  <si>
    <t xml:space="preserve">白宮企業大樓 — 同層參考(非本案) ↗</t>
  </si>
  <si>
    <t xml:space="preserve">https://www.sinyi.com.tw/rent/houseno/C351775</t>
  </si>
  <si>
    <r>
      <rPr>
        <sz val="10"/>
        <color rgb="FF000000"/>
        <rFont val="Noto Sans CJK SC"/>
        <family val="2"/>
      </rPr>
      <t xml:space="preserve">同層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分拆戶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</si>
  <si>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5F/12F 82.84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張照片、需自行裝修、無車位</t>
    </r>
  </si>
  <si>
    <t xml:space="preserve">https://business.591.com.tw/rent/21646876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</si>
  <si>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中信房屋</t>
    </r>
  </si>
  <si>
    <r>
      <rPr>
        <sz val="10"/>
        <color rgb="FF000000"/>
        <rFont val="Arial"/>
        <family val="0"/>
        <charset val="1"/>
      </rPr>
      <t xml:space="preserve">5F/12F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張照片（與信義</t>
    </r>
    <r>
      <rPr>
        <sz val="10"/>
        <color rgb="FF000000"/>
        <rFont val="Arial"/>
        <family val="0"/>
        <charset val="1"/>
      </rPr>
      <t xml:space="preserve">C351775</t>
    </r>
    <r>
      <rPr>
        <sz val="10"/>
        <color rgb="FF000000"/>
        <rFont val="Noto Sans CJK SC"/>
        <family val="2"/>
      </rPr>
      <t xml:space="preserve">疑為同一戶）</t>
    </r>
  </si>
  <si>
    <t xml:space="preserve">https://business.591.com.tw/rent/21161432</t>
  </si>
  <si>
    <r>
      <rPr>
        <sz val="10"/>
        <color rgb="FF000000"/>
        <rFont val="Arial"/>
        <family val="0"/>
        <charset val="1"/>
      </rPr>
      <t xml:space="preserve">5F/12F 62.78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張照片、公設比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、樓高</t>
    </r>
    <r>
      <rPr>
        <sz val="10"/>
        <color rgb="FF000000"/>
        <rFont val="Arial"/>
        <family val="0"/>
        <charset val="1"/>
      </rPr>
      <t xml:space="preserve">2.8M</t>
    </r>
  </si>
  <si>
    <t xml:space="preserve">https://business.591.com.tw/rent/22030027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</si>
  <si>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</si>
  <si>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坪、含稅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、管理費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張照片、分割物件、言成不動產</t>
    </r>
  </si>
  <si>
    <r>
      <rPr>
        <sz val="10"/>
        <color rgb="FF000000"/>
        <rFont val="Arial"/>
        <family val="0"/>
        <charset val="1"/>
      </rPr>
      <t xml:space="preserve">HouseWeb </t>
    </r>
    <r>
      <rPr>
        <sz val="10"/>
        <color rgb="FF000000"/>
        <rFont val="Noto Sans CJK SC"/>
        <family val="2"/>
      </rPr>
      <t xml:space="preserve">淘屋網</t>
    </r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</si>
  <si>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本戶，另一仲介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</si>
  <si>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弗利艾樂刊登：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7F/11F(B2)</t>
    </r>
    <r>
      <rPr>
        <sz val="10"/>
        <color rgb="FF000000"/>
        <rFont val="Noto Sans CJK SC"/>
        <family val="2"/>
      </rPr>
      <t xml:space="preserve">、車位可承租、朝西、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張照片，與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同戶</t>
    </r>
  </si>
  <si>
    <t xml:space="preserve">八德路四段 9F 206坪 ↗</t>
  </si>
  <si>
    <t xml:space="preserve">出租物件頁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</si>
  <si>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</t>
    </r>
  </si>
  <si>
    <t xml:space="preserve">信義 松山路 7F 205坪 ↗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</si>
  <si>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萬、平面車位、全空、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</t>
    </r>
  </si>
  <si>
    <t xml:space="preserve">國泰建經 民生商業大樓 ↗</t>
  </si>
  <si>
    <t xml:space="preserve">https://www.cathay-rem.com.tw/property/detail/743zt8ammFQReRwF</t>
  </si>
  <si>
    <t xml:space="preserve">國泰建經</t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</si>
  <si>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(8FB</t>
    </r>
    <r>
      <rPr>
        <sz val="10"/>
        <color rgb="FF000000"/>
        <rFont val="Noto Sans CJK SC"/>
        <family val="2"/>
      </rPr>
      <t xml:space="preserve">招租中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</si>
  <si>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 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招租，未揭露坪數租金</t>
    </r>
  </si>
  <si>
    <t xml:space="preserve">https://www.sinyi.com.tw/rent/houseno/CZ05572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</si>
  <si>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</si>
  <si>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34,873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坡平車位、附隔間裝潢、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</si>
  <si>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中鼎大樓 2F ↗</t>
  </si>
  <si>
    <t xml:space="preserve">https://www.sinyi.com.tw/rent/houseno/CZ05228</t>
  </si>
  <si>
    <r>
      <rPr>
        <sz val="10"/>
        <color rgb="FF000000"/>
        <rFont val="Noto Sans CJK SC"/>
        <family val="2"/>
      </rPr>
      <t xml:space="preserve">使用者提供；敦南樹景純辦 </t>
    </r>
    <r>
      <rPr>
        <sz val="10"/>
        <color rgb="FF000000"/>
        <rFont val="Arial"/>
        <family val="0"/>
        <charset val="1"/>
      </rPr>
      <t xml:space="preserve">222.28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31,120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張照片</t>
    </r>
  </si>
  <si>
    <t xml:space="preserve">家美金融大樓 15F ↗</t>
  </si>
  <si>
    <t xml:space="preserve">https://www.sinyi.com.tw/rent/houseno/CZ05491</t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</si>
  <si>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張照片</t>
    </r>
  </si>
  <si>
    <t xml:space="preserve">https://rent.yungching.com.tw/region/house/2358272?pc=0916263633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</si>
  <si>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448,000/</t>
    </r>
    <r>
      <rPr>
        <sz val="10"/>
        <color rgb="FF000000"/>
        <rFont val="Noto Sans CJK SC"/>
        <family val="2"/>
      </rPr>
      <t xml:space="preserve">月含車位、管理費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個月、忠孝敦化</t>
    </r>
    <r>
      <rPr>
        <sz val="10"/>
        <color rgb="FF000000"/>
        <rFont val="Arial"/>
        <family val="0"/>
        <charset val="1"/>
      </rPr>
      <t xml:space="preserve">260m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</si>
  <si>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永慶 家美金融大樓 15F ↗</t>
  </si>
  <si>
    <t xml:space="preserve">https://rent.yungching.com.tw/region/house/2373308?pc=0916263633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</si>
  <si>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208.96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398,000/</t>
    </r>
    <r>
      <rPr>
        <sz val="10"/>
        <color rgb="FF000000"/>
        <rFont val="Noto Sans CJK SC"/>
        <family val="2"/>
      </rPr>
      <t xml:space="preserve">月、管理費</t>
    </r>
    <r>
      <rPr>
        <sz val="10"/>
        <color rgb="FF000000"/>
        <rFont val="Arial"/>
        <family val="0"/>
        <charset val="1"/>
      </rPr>
      <t xml:space="preserve">33,434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個月、永春站</t>
    </r>
    <r>
      <rPr>
        <sz val="10"/>
        <color rgb="FF000000"/>
        <rFont val="Arial"/>
        <family val="0"/>
        <charset val="1"/>
      </rPr>
      <t xml:space="preserve">322m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</si>
  <si>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t xml:space="preserve">https://www.sinyiglobal.com/rental/C355686</t>
  </si>
  <si>
    <t xml:space="preserve">信義房屋 國際站</t>
  </si>
  <si>
    <r>
      <rPr>
        <sz val="10"/>
        <color rgb="FF000000"/>
        <rFont val="Noto Sans CJK SC"/>
        <family val="2"/>
      </rPr>
      <t xml:space="preserve">使用者原提供連結；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出租坪、</t>
    </r>
    <r>
      <rPr>
        <sz val="10"/>
        <color rgb="FF000000"/>
        <rFont val="Arial"/>
        <family val="0"/>
        <charset val="1"/>
      </rPr>
      <t xml:space="preserve">305,340/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32,570</t>
    </r>
    <r>
      <rPr>
        <sz val="10"/>
        <color rgb="FF000000"/>
        <rFont val="Noto Sans CJK SC"/>
        <family val="2"/>
      </rPr>
      <t xml:space="preserve">、屋齡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年、一層一戶、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2026-08-27</t>
    </r>
    <r>
      <rPr>
        <sz val="10"/>
        <color rgb="FF000000"/>
        <rFont val="Noto Sans CJK SC"/>
        <family val="2"/>
      </rPr>
      <t xml:space="preserve">更新</t>
    </r>
  </si>
  <si>
    <t xml:space="preserve">https://www.sinyi.com.tw/rent/houseno/C355686</t>
  </si>
  <si>
    <t xml:space="preserve">信義房屋 主站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</si>
  <si>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備用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</si>
  <si>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同一物件 </t>
    </r>
    <r>
      <rPr>
        <sz val="10"/>
        <color rgb="FF000000"/>
        <rFont val="Arial"/>
        <family val="0"/>
        <charset val="1"/>
      </rPr>
      <t xml:space="preserve">C355686 </t>
    </r>
    <r>
      <rPr>
        <sz val="10"/>
        <color rgb="FF000000"/>
        <rFont val="Noto Sans CJK SC"/>
        <family val="2"/>
      </rPr>
      <t xml:space="preserve">主站頁面；若國際站打不開請改點此</t>
    </r>
  </si>
  <si>
    <t xml:space="preserve">https://kevinashowtimes-web.github.io/showtime-office-dashboard/JE_J07_honglin_10F-2.pdf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</si>
  <si>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張室內外照片＋報表第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</si>
  <si>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全部</t>
    </r>
  </si>
  <si>
    <t xml:space="preserve">傑森愛華清單 ↗</t>
  </si>
  <si>
    <t xml:space="preserve">https://edward0618.com/rent_multi_report</t>
  </si>
  <si>
    <t xml:space="preserve">傑森愛華官網</t>
  </si>
  <si>
    <t xml:space="preserve">清單頁</t>
  </si>
  <si>
    <r>
      <rPr>
        <sz val="10"/>
        <color rgb="FF000000"/>
        <rFont val="Noto Sans CJK SC"/>
        <family val="2"/>
      </rPr>
      <t xml:space="preserve">純文字清單，無照片；個案照片需向張先生 </t>
    </r>
    <r>
      <rPr>
        <sz val="10"/>
        <color rgb="FF000000"/>
        <rFont val="Arial"/>
        <family val="0"/>
        <charset val="1"/>
      </rPr>
      <t xml:space="preserve">0931-330823 </t>
    </r>
    <r>
      <rPr>
        <sz val="10"/>
        <color rgb="FF000000"/>
        <rFont val="Noto Sans CJK SC"/>
        <family val="2"/>
      </rPr>
      <t xml:space="preserve">索取單筆報表</t>
    </r>
  </si>
  <si>
    <t xml:space="preserve">待確認事項與資料缺漏清單</t>
  </si>
  <si>
    <t xml:space="preserve">依既定原則：缺漏一律標記，不以估算值填補</t>
  </si>
  <si>
    <t xml:space="preserve">缺漏／疑義項目</t>
  </si>
  <si>
    <t xml:space="preserve">影響</t>
  </si>
  <si>
    <t xml:space="preserve">向誰確認</t>
  </si>
  <si>
    <t xml:space="preserve">優先度</t>
  </si>
  <si>
    <t xml:space="preserve">全案</t>
  </si>
  <si>
    <r>
      <rPr>
        <sz val="10"/>
        <color rgb="FF000000"/>
        <rFont val="Noto Sans CJK SC"/>
        <family val="2"/>
      </rPr>
      <t xml:space="preserve">秀泰需求之「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坪」係指權狀坪或實際可用坪</t>
    </r>
  </si>
  <si>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C/D/F/G </t>
    </r>
    <r>
      <rPr>
        <sz val="10"/>
        <color rgb="FF000000"/>
        <rFont val="Noto Sans CJK SC"/>
        <family val="2"/>
      </rPr>
      <t xml:space="preserve">與多數</t>
    </r>
    <r>
      <rPr>
        <sz val="10"/>
        <color rgb="FF000000"/>
        <rFont val="Arial"/>
        <family val="0"/>
        <charset val="1"/>
      </rPr>
      <t xml:space="preserve">J&amp;E</t>
    </r>
    <r>
      <rPr>
        <sz val="10"/>
        <color rgb="FF000000"/>
        <rFont val="Noto Sans CJK SC"/>
        <family val="2"/>
      </rPr>
      <t xml:space="preserve">案是否合格</t>
    </r>
  </si>
  <si>
    <t xml:space="preserve">營運長</t>
  </si>
  <si>
    <t xml:space="preserve">高</t>
  </si>
  <si>
    <r>
      <rPr>
        <sz val="10"/>
        <color rgb="FF000000"/>
        <rFont val="Noto Sans CJK SC"/>
        <family val="2"/>
      </rPr>
      <t xml:space="preserve">「月租金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萬」是否含稅、是否含管理費與車位</t>
    </r>
  </si>
  <si>
    <t xml:space="preserve">決定合格名單；目前以總持有成本從嚴比較</t>
  </si>
  <si>
    <t xml:space="preserve">需求車位數、進駐人數、是否需獨立機房／大會議室</t>
  </si>
  <si>
    <t xml:space="preserve">影響格局與車位條件篩選</t>
  </si>
  <si>
    <t xml:space="preserve">中</t>
  </si>
  <si>
    <r>
      <rPr>
        <sz val="10"/>
        <color rgb="FF000000"/>
        <rFont val="Noto Sans CJK SC"/>
        <family val="2"/>
      </rPr>
      <t xml:space="preserve">尚揚</t>
    </r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含稅 </t>
    </r>
    <r>
      <rPr>
        <sz val="10"/>
        <color rgb="FF000000"/>
        <rFont val="Arial"/>
        <family val="0"/>
        <charset val="1"/>
      </rPr>
      <t xml:space="preserve">vs 591</t>
    </r>
    <r>
      <rPr>
        <sz val="10"/>
        <color rgb="FF000000"/>
        <rFont val="Noto Sans CJK SC"/>
        <family val="2"/>
      </rPr>
      <t xml:space="preserve">京安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，差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年；租期一邊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年一邊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</si>
  <si>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t xml:space="preserve">直接影響成本與租期彈性</t>
  </si>
  <si>
    <r>
      <rPr>
        <sz val="10"/>
        <color rgb="FF000000"/>
        <rFont val="Noto Sans CJK SC"/>
        <family val="2"/>
      </rPr>
      <t xml:space="preserve">尚揚劉品汯／京安</t>
    </r>
    <r>
      <rPr>
        <sz val="10"/>
        <color rgb="FF000000"/>
        <rFont val="Arial"/>
        <family val="0"/>
        <charset val="1"/>
      </rPr>
      <t xml:space="preserve">0981-109-399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</si>
  <si>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07-19</t>
    </r>
    <r>
      <rPr>
        <sz val="10"/>
        <color rgb="FF000000"/>
        <rFont val="Noto Sans CJK SC"/>
        <family val="2"/>
      </rPr>
      <t xml:space="preserve">以外加班費率「待確認」</t>
    </r>
  </si>
  <si>
    <t xml:space="preserve">影城總部常態加班，費率直接影響年成本</t>
  </si>
  <si>
    <t xml:space="preserve">尚揚 王智平</t>
  </si>
  <si>
    <t xml:space="preserve">現況裝潢隔間可否沿用、有無回復原狀義務</t>
  </si>
  <si>
    <t xml:space="preserve">裝修費可能數百萬</t>
  </si>
  <si>
    <r>
      <rPr>
        <sz val="10"/>
        <color rgb="FF000000"/>
        <rFont val="Noto Sans CJK SC"/>
        <family val="2"/>
      </rPr>
      <t xml:space="preserve">車位租金原文「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」判讀為</t>
    </r>
    <r>
      <rPr>
        <sz val="10"/>
        <color rgb="FF000000"/>
        <rFont val="Arial"/>
        <family val="0"/>
        <charset val="1"/>
      </rPr>
      <t xml:space="preserve">8,000/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</si>
  <si>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若為</t>
    </r>
    <r>
      <rPr>
        <sz val="10"/>
        <color rgb="FF000000"/>
        <rFont val="Arial"/>
        <family val="0"/>
        <charset val="1"/>
      </rPr>
      <t xml:space="preserve">80,000</t>
    </r>
    <r>
      <rPr>
        <sz val="10"/>
        <color rgb="FF000000"/>
        <rFont val="Noto Sans CJK SC"/>
        <family val="2"/>
      </rPr>
      <t xml:space="preserve">則月成本暴增</t>
    </r>
  </si>
  <si>
    <t xml:space="preserve">尚揚 張正修</t>
  </si>
  <si>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涵蓋項目</t>
    </r>
  </si>
  <si>
    <t xml:space="preserve">全案最高管理費是否合理</t>
  </si>
  <si>
    <t xml:space="preserve">都更條款內容、提前終止補償與通知期</t>
  </si>
  <si>
    <t xml:space="preserve">可能被迫再次搬遷</t>
  </si>
  <si>
    <t xml:space="preserve">尚揚 葉建成</t>
  </si>
  <si>
    <r>
      <rPr>
        <sz val="10"/>
        <color rgb="FF000000"/>
        <rFont val="Noto Sans CJK SC"/>
        <family val="2"/>
      </rPr>
      <t xml:space="preserve">加班空調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小時分攤方式與實際月費</t>
    </r>
  </si>
  <si>
    <t xml:space="preserve">年費可能逾百萬</t>
  </si>
  <si>
    <t xml:space="preserve">管理費實支實付，實際月結金額未提供</t>
  </si>
  <si>
    <t xml:space="preserve">總成本無法定案</t>
  </si>
  <si>
    <t xml:space="preserve">J11/J16</t>
  </si>
  <si>
    <t xml:space="preserve">八德路vs龍江路 2F 220坪 ／ 中影八德大樓 2F 200坪 ↗</t>
  </si>
  <si>
    <r>
      <rPr>
        <sz val="10"/>
        <color rgb="FF000000"/>
        <rFont val="Noto Sans CJK SC"/>
        <family val="2"/>
      </rPr>
      <t xml:space="preserve">是否同一案：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地圖座標顯示中影八德大樓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256~260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距八德路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龍江路口約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公尺，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清單寫「八德路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」、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單筆報表為「八德路二段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樓全層」，同仲介、同樓層；但坪數</t>
    </r>
    <r>
      <rPr>
        <sz val="10"/>
        <color rgb="FF000000"/>
        <rFont val="Arial"/>
        <family val="0"/>
        <charset val="1"/>
      </rPr>
      <t xml:space="preserve">(220 vs 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清單另寫</t>
    </r>
    <r>
      <rPr>
        <sz val="10"/>
        <color rgb="FF000000"/>
        <rFont val="Arial"/>
        <family val="0"/>
        <charset val="1"/>
      </rPr>
      <t xml:space="preserve">240)</t>
    </r>
    <r>
      <rPr>
        <sz val="10"/>
        <color rgb="FF000000"/>
        <rFont val="Noto Sans CJK SC"/>
        <family val="2"/>
      </rPr>
      <t xml:space="preserve">、未稅租金</t>
    </r>
    <r>
      <rPr>
        <sz val="10"/>
        <color rgb="FF000000"/>
        <rFont val="Arial"/>
        <family val="0"/>
        <charset val="1"/>
      </rPr>
      <t xml:space="preserve">(352,000@1,600 vs 294,000@1,470)</t>
    </r>
    <r>
      <rPr>
        <sz val="10"/>
        <color rgb="FF000000"/>
        <rFont val="Noto Sans CJK SC"/>
        <family val="2"/>
      </rPr>
      <t xml:space="preserve">、描述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Noto Sans CJK SC"/>
        <family val="2"/>
      </rPr>
      <t xml:space="preserve">級帷幕地標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純辦一層一戶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都不同，且同路口另有國民黨中央黨部大樓</t>
    </r>
    <r>
      <rPr>
        <sz val="10"/>
        <color rgb="FF000000"/>
        <rFont val="Arial"/>
        <family val="0"/>
        <charset val="1"/>
      </rPr>
      <t xml:space="preserve">(232~234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。請向傑森愛華索取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門牌</t>
    </r>
  </si>
  <si>
    <r>
      <rPr>
        <sz val="10"/>
        <color rgb="FF000000"/>
        <rFont val="Noto Sans CJK SC"/>
        <family val="2"/>
      </rPr>
      <t xml:space="preserve">若同一案，候選名單少一案，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352,000</t>
    </r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報表的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何者正確需釐清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</si>
  <si>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</si>
  <si>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管理費「實支實付」金額未提供</t>
  </si>
  <si>
    <t xml:space="preserve">總持有成本無法定案</t>
  </si>
  <si>
    <t xml:space="preserve">尚揚 劉品汯</t>
  </si>
  <si>
    <r>
      <rPr>
        <sz val="10"/>
        <color rgb="FF000000"/>
        <rFont val="Noto Sans CJK SC"/>
        <family val="2"/>
      </rPr>
      <t xml:space="preserve">室內照片為現況裝潢（接待櫃台、玻璃會議室、休憩亭、小辦公室）：交屋時裝潢／家具是保留、拆除還是需另議頂讓費；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原刊登頁網址未取得</t>
    </r>
  </si>
  <si>
    <t xml:space="preserve">影響裝修預算與進駐時程</t>
  </si>
  <si>
    <r>
      <rPr>
        <sz val="10"/>
        <color rgb="FF000000"/>
        <rFont val="Noto Sans CJK SC"/>
        <family val="2"/>
      </rPr>
      <t xml:space="preserve">大樓名稱：物調表寫「友聯大樓」，好房網登錄「友聯建設」，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社區頁登錄「宏第上海通商大樓」</t>
    </r>
    <r>
      <rPr>
        <sz val="10"/>
        <color rgb="FF000000"/>
        <rFont val="Arial"/>
        <family val="0"/>
        <charset val="1"/>
      </rPr>
      <t xml:space="preserve">(35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/21</t>
    </r>
    <r>
      <rPr>
        <sz val="10"/>
        <color rgb="FF000000"/>
        <rFont val="Noto Sans CJK SC"/>
        <family val="2"/>
      </rPr>
      <t xml:space="preserve">戶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/16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</si>
  <si>
    <t xml:space="preserve">確認是否同一棟、戶數與屋齡</t>
  </si>
  <si>
    <t xml:space="preserve">尚揚 劉品汯／調謄本</t>
  </si>
  <si>
    <r>
      <rPr>
        <sz val="10"/>
        <color rgb="FF000000"/>
        <rFont val="Noto Sans CJK SC"/>
        <family val="2"/>
      </rPr>
      <t xml:space="preserve">三門牌</t>
    </r>
    <r>
      <rPr>
        <sz val="10"/>
        <color rgb="FF000000"/>
        <rFont val="Arial"/>
        <family val="0"/>
        <charset val="1"/>
      </rPr>
      <t xml:space="preserve">(346/346-1/346-2)</t>
    </r>
    <r>
      <rPr>
        <sz val="10"/>
        <color rgb="FF000000"/>
        <rFont val="Noto Sans CJK SC"/>
        <family val="2"/>
      </rPr>
      <t xml:space="preserve">是否已打通、可否單一租約；同層目前另有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坪與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坪小戶由信義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中信刊登出租，是否即本案的一部分？若是，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坪整層是否仍可整租</t>
    </r>
  </si>
  <si>
    <t xml:space="preserve">使用效率與租約結構；整層可得性</t>
  </si>
  <si>
    <t xml:space="preserve">鄰近可否另租車位、月費</t>
  </si>
  <si>
    <t xml:space="preserve">全案無車位為硬傷</t>
  </si>
  <si>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351,560</t>
    </r>
    <r>
      <rPr>
        <sz val="10"/>
        <color rgb="FF000000"/>
        <rFont val="Noto Sans CJK SC"/>
        <family val="2"/>
      </rPr>
      <t xml:space="preserve">與備註「含稅價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」不一致（本表採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</si>
  <si>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</si>
  <si>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言成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</si>
  <si>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「分割物件，實際坪數依權狀及現場丈量」；門牌、公設比、屋齡、車位未揭露</t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</si>
  <si>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坪可能非權狀坪，無法納入正式比較</t>
    </r>
  </si>
  <si>
    <t xml:space="preserve">言成 呂小姐</t>
  </si>
  <si>
    <r>
      <rPr>
        <sz val="10"/>
        <color rgb="FF000000"/>
        <rFont val="Noto Sans CJK SC"/>
        <family val="2"/>
      </rPr>
      <t xml:space="preserve">租金</t>
    </r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</si>
  <si>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若未稅則含稅</t>
    </r>
    <r>
      <rPr>
        <sz val="10"/>
        <color rgb="FF000000"/>
        <rFont val="Arial"/>
        <family val="0"/>
        <charset val="1"/>
      </rPr>
      <t xml:space="preserve">320,607</t>
    </r>
  </si>
  <si>
    <r>
      <rPr>
        <sz val="10"/>
        <color rgb="FF000000"/>
        <rFont val="Noto Sans CJK SC"/>
        <family val="2"/>
      </rPr>
      <t xml:space="preserve">信義 施雅惠 </t>
    </r>
    <r>
      <rPr>
        <sz val="10"/>
        <color rgb="FF000000"/>
        <rFont val="Arial"/>
        <family val="0"/>
        <charset val="1"/>
      </rPr>
      <t xml:space="preserve">0955-237827</t>
    </r>
  </si>
  <si>
    <r>
      <rPr>
        <sz val="10"/>
        <color rgb="FF000000"/>
        <rFont val="Noto Sans CJK SC"/>
        <family val="2"/>
      </rPr>
      <t xml:space="preserve">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附建物僅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公設比</t>
    </r>
    <r>
      <rPr>
        <sz val="10"/>
        <color rgb="FF000000"/>
        <rFont val="Arial"/>
        <family val="0"/>
        <charset val="1"/>
      </rPr>
      <t xml:space="preserve">50.1%)</t>
    </r>
    <r>
      <rPr>
        <sz val="10"/>
        <color rgb="FF000000"/>
        <rFont val="Noto Sans CJK SC"/>
        <family val="2"/>
      </rPr>
      <t xml:space="preserve">，出租計價坪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坪」若指實用坪則本案不合格</t>
    </r>
  </si>
  <si>
    <t xml:space="preserve">決定本案是第一優先或直接排除</t>
  </si>
  <si>
    <t xml:space="preserve">營運長／信義</t>
  </si>
  <si>
    <t xml:space="preserve">門牌、大樓名稱、樓高、空調型式未揭露；坡道平面車位另租費用未提供；水泥隔間需全裝修</t>
  </si>
  <si>
    <t xml:space="preserve">總成本與裝修預算</t>
  </si>
  <si>
    <t xml:space="preserve">信義 施雅惠</t>
  </si>
  <si>
    <t xml:space="preserve">W02/W10</t>
  </si>
  <si>
    <t xml:space="preserve">HouseWeb 兩案 ↗</t>
  </si>
  <si>
    <r>
      <rPr>
        <sz val="10"/>
        <color rgb="FF000000"/>
        <rFont val="Noto Sans CJK SC"/>
        <family val="2"/>
      </rPr>
      <t xml:space="preserve">刊登租金未標示含稅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未稅；管理費未揭露；門牌未揭露</t>
    </r>
  </si>
  <si>
    <r>
      <rPr>
        <sz val="10"/>
        <color rgb="FF000000"/>
        <rFont val="Noto Sans CJK SC"/>
        <family val="2"/>
      </rPr>
      <t xml:space="preserve">優昇商用 </t>
    </r>
    <r>
      <rPr>
        <sz val="10"/>
        <color rgb="FF000000"/>
        <rFont val="Arial"/>
        <family val="0"/>
        <charset val="1"/>
      </rPr>
      <t xml:space="preserve">02-8751-6676</t>
    </r>
    <r>
      <rPr>
        <sz val="10"/>
        <color rgb="FF000000"/>
        <rFont val="Noto Sans CJK SC"/>
        <family val="2"/>
      </rPr>
      <t xml:space="preserve">／滿意房屋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</si>
  <si>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J01~J18</t>
  </si>
  <si>
    <t xml:space="preserve">傑森愛華全部(&lt;200坪已刪) ↗</t>
  </si>
  <si>
    <t xml:space="preserve">清單未提供管理費、車位費、公設比、屋齡、樓高、門牌</t>
  </si>
  <si>
    <t xml:space="preserve">無法計算總持有成本，目前僅能比租金</t>
  </si>
  <si>
    <r>
      <rPr>
        <sz val="10"/>
        <color rgb="FF000000"/>
        <rFont val="Noto Sans CJK SC"/>
        <family val="2"/>
      </rPr>
      <t xml:space="preserve">樓高：物調表</t>
    </r>
    <r>
      <rPr>
        <sz val="10"/>
        <color rgb="FF000000"/>
        <rFont val="Arial"/>
        <family val="0"/>
        <charset val="1"/>
      </rPr>
      <t xml:space="preserve">3.1M vs </t>
    </r>
    <r>
      <rPr>
        <sz val="10"/>
        <color rgb="FF000000"/>
        <rFont val="Noto Sans CJK SC"/>
        <family val="2"/>
      </rPr>
      <t xml:space="preserve">東家國際大樓頁</t>
    </r>
    <r>
      <rPr>
        <sz val="10"/>
        <color rgb="FF000000"/>
        <rFont val="Arial"/>
        <family val="0"/>
        <charset val="1"/>
      </rPr>
      <t xml:space="preserve">2.72M</t>
    </r>
  </si>
  <si>
    <t xml:space="preserve">影響天花板與管線設計</t>
  </si>
  <si>
    <t xml:space="preserve">尚揚 王智平／現場量測</t>
  </si>
  <si>
    <r>
      <rPr>
        <sz val="10"/>
        <color rgb="FF000000"/>
        <rFont val="Noto Sans CJK SC"/>
        <family val="2"/>
      </rPr>
      <t xml:space="preserve">竣工：物調表</t>
    </r>
    <r>
      <rPr>
        <sz val="10"/>
        <color rgb="FF000000"/>
        <rFont val="Arial"/>
        <family val="0"/>
        <charset val="1"/>
      </rPr>
      <t xml:space="preserve">80/7/31(1991) vs </t>
    </r>
    <r>
      <rPr>
        <sz val="10"/>
        <color rgb="FF000000"/>
        <rFont val="Noto Sans CJK SC"/>
        <family val="2"/>
      </rPr>
      <t xml:space="preserve">東家國際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、好房網屋齡</t>
    </r>
    <r>
      <rPr>
        <sz val="10"/>
        <color rgb="FF000000"/>
        <rFont val="Arial"/>
        <family val="0"/>
        <charset val="1"/>
      </rPr>
      <t xml:space="preserve">43.3</t>
    </r>
  </si>
  <si>
    <r>
      <rPr>
        <sz val="10"/>
        <color rgb="FF000000"/>
        <rFont val="Noto Sans CJK SC"/>
        <family val="2"/>
      </rPr>
      <t xml:space="preserve">屋齡差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年，影響耐震與都更風險評估</t>
    </r>
  </si>
  <si>
    <t xml:space="preserve">尚揚 張正修／調謄本</t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</si>
  <si>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星辰地產刊登</t>
    </r>
    <r>
      <rPr>
        <sz val="10"/>
        <color rgb="FF000000"/>
        <rFont val="Arial"/>
        <family val="0"/>
        <charset val="1"/>
      </rPr>
      <t xml:space="preserve">4F/11F 220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，疑與本案同戶</t>
    </r>
  </si>
  <si>
    <r>
      <rPr>
        <sz val="10"/>
        <color rgb="FF000000"/>
        <rFont val="Noto Sans CJK SC"/>
        <family val="2"/>
      </rPr>
      <t xml:space="preserve">若為未稅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含稅，比尚揚</t>
    </r>
    <r>
      <rPr>
        <sz val="10"/>
        <color rgb="FF000000"/>
        <rFont val="Arial"/>
        <family val="0"/>
        <charset val="1"/>
      </rPr>
      <t xml:space="preserve">440,140</t>
    </r>
    <r>
      <rPr>
        <sz val="10"/>
        <color rgb="FF000000"/>
        <rFont val="Noto Sans CJK SC"/>
        <family val="2"/>
      </rPr>
      <t xml:space="preserve">低約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</si>
  <si>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尚揚 張正修／星辰 陳小姐</t>
  </si>
  <si>
    <t xml:space="preserve">國泰建經 民生商業大樓</t>
  </si>
  <si>
    <r>
      <rPr>
        <sz val="10"/>
        <color rgb="FF000000"/>
        <rFont val="Noto Sans CJK SC"/>
        <family val="2"/>
      </rPr>
      <t xml:space="preserve">中山區民生東路三段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號，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，頁面僅標「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招租中」，坪數、租金、管理費皆未提供</t>
    </r>
  </si>
  <si>
    <r>
      <rPr>
        <sz val="10"/>
        <color rgb="FF000000"/>
        <rFont val="Noto Sans CJK SC"/>
        <family val="2"/>
      </rPr>
      <t xml:space="preserve">無法評估是否符合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</si>
  <si>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國泰建經 </t>
    </r>
    <r>
      <rPr>
        <sz val="10"/>
        <color rgb="FF000000"/>
        <rFont val="Arial"/>
        <family val="0"/>
        <charset val="1"/>
      </rPr>
      <t xml:space="preserve">02-2376-2288#2284</t>
    </r>
  </si>
  <si>
    <t xml:space="preserve">信義 建國北路二段10F ↗</t>
  </si>
  <si>
    <r>
      <rPr>
        <sz val="10"/>
        <color rgb="FF000000"/>
        <rFont val="Arial"/>
        <family val="0"/>
        <charset val="1"/>
      </rPr>
      <t xml:space="preserve">278</t>
    </r>
    <r>
      <rPr>
        <sz val="10"/>
        <color rgb="FF000000"/>
        <rFont val="Noto Sans CJK SC"/>
        <family val="2"/>
      </rPr>
      <t xml:space="preserve">坪可否分租約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坪；捷運步行時間；稅別</t>
    </r>
  </si>
  <si>
    <r>
      <rPr>
        <sz val="10"/>
        <color rgb="FF000000"/>
        <rFont val="Noto Sans CJK SC"/>
        <family val="2"/>
      </rPr>
      <t xml:space="preserve">信義 張聰仁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</si>
  <si>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 八德路二段7F ↗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</si>
  <si>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坪數字異常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出租</t>
    </r>
    <r>
      <rPr>
        <sz val="10"/>
        <color rgb="FF000000"/>
        <rFont val="Arial"/>
        <family val="0"/>
        <charset val="1"/>
      </rPr>
      <t xml:space="preserve">254.06)</t>
    </r>
    <r>
      <rPr>
        <sz val="10"/>
        <color rgb="FF000000"/>
        <rFont val="Noto Sans CJK SC"/>
        <family val="2"/>
      </rPr>
      <t xml:space="preserve">，請提供權狀與平面圖</t>
    </r>
  </si>
  <si>
    <t xml:space="preserve">實用坪無法計算</t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</si>
  <si>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</si>
  <si>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信義 光復南路6F ↗</t>
  </si>
  <si>
    <r>
      <rPr>
        <sz val="10"/>
        <color rgb="FF000000"/>
        <rFont val="Noto Sans CJK SC"/>
        <family val="2"/>
      </rPr>
      <t xml:space="preserve">是否與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(7F)</t>
    </r>
    <r>
      <rPr>
        <sz val="10"/>
        <color rgb="FF000000"/>
        <rFont val="Noto Sans CJK SC"/>
        <family val="2"/>
      </rPr>
      <t xml:space="preserve">同棟；屋齡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年耐震</t>
    </r>
  </si>
  <si>
    <t xml:space="preserve">交叉比價與風險</t>
  </si>
  <si>
    <r>
      <rPr>
        <sz val="10"/>
        <color rgb="FF000000"/>
        <rFont val="Noto Sans CJK SC"/>
        <family val="2"/>
      </rPr>
      <t xml:space="preserve">信義 汪智凱 </t>
    </r>
    <r>
      <rPr>
        <sz val="10"/>
        <color rgb="FF000000"/>
        <rFont val="Arial"/>
        <family val="0"/>
        <charset val="1"/>
      </rPr>
      <t xml:space="preserve">0921-427-889</t>
    </r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</si>
  <si>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未稅；含幾個車位；實用坪未揭露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</si>
  <si>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=470,400</t>
    </r>
    <r>
      <rPr>
        <sz val="10"/>
        <color rgb="FF000000"/>
        <rFont val="Noto Sans CJK SC"/>
        <family val="2"/>
      </rPr>
      <t xml:space="preserve">含稅，加管理費達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</si>
  <si>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永慶 簡伊涵 </t>
    </r>
    <r>
      <rPr>
        <sz val="10"/>
        <color rgb="FF000000"/>
        <rFont val="Arial"/>
        <family val="0"/>
        <charset val="1"/>
      </rPr>
      <t xml:space="preserve">0916-263-633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</si>
  <si>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未稅；實用坪、公設比、車位未揭露；空調型式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僅列「冷氣」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</si>
  <si>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=417,900</t>
    </r>
    <r>
      <rPr>
        <sz val="10"/>
        <color rgb="FF000000"/>
        <rFont val="Noto Sans CJK SC"/>
        <family val="2"/>
      </rPr>
      <t xml:space="preserve">含稅；總成本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</t>
    </r>
  </si>
  <si>
    <t xml:space="preserve">中影八德大樓 2F ↗</t>
  </si>
  <si>
    <t xml:space="preserve">使用分區「住四」，使照載一般事務所——需確認公司登記與影城總部用途可行、消防檢查</t>
  </si>
  <si>
    <t xml:space="preserve">用途合法性</t>
  </si>
  <si>
    <t xml:space="preserve">傑森愛華 張先生／建管處</t>
  </si>
  <si>
    <r>
      <rPr>
        <sz val="10"/>
        <color rgb="FF000000"/>
        <rFont val="Noto Sans CJK SC"/>
        <family val="2"/>
      </rPr>
      <t xml:space="preserve">現況為前酒吧裝潢（磚牆、酒櫃、吧台），拆除與重新裝修費用；清單坪數</t>
    </r>
    <r>
      <rPr>
        <sz val="10"/>
        <color rgb="FF000000"/>
        <rFont val="Arial"/>
        <family val="0"/>
        <charset val="1"/>
      </rPr>
      <t xml:space="preserve">240 vs </t>
    </r>
    <r>
      <rPr>
        <sz val="10"/>
        <color rgb="FF000000"/>
        <rFont val="Noto Sans CJK SC"/>
        <family val="2"/>
      </rPr>
      <t xml:space="preserve">報表</t>
    </r>
    <r>
      <rPr>
        <sz val="10"/>
        <color rgb="FF000000"/>
        <rFont val="Arial"/>
        <family val="0"/>
        <charset val="1"/>
      </rPr>
      <t xml:space="preserve">200</t>
    </r>
  </si>
  <si>
    <t xml:space="preserve">裝修預算；坪數以權狀為準</t>
  </si>
  <si>
    <t xml:space="preserve">傑森愛華 張先生</t>
  </si>
  <si>
    <r>
      <rPr>
        <sz val="10"/>
        <color rgb="FF000000"/>
        <rFont val="Noto Sans CJK SC"/>
        <family val="2"/>
      </rPr>
      <t xml:space="preserve">報表日期</t>
    </r>
    <r>
      <rPr>
        <sz val="10"/>
        <color rgb="FF000000"/>
        <rFont val="Arial"/>
        <family val="0"/>
        <charset val="1"/>
      </rPr>
      <t xml:space="preserve">2024/6/14</t>
    </r>
    <r>
      <rPr>
        <sz val="10"/>
        <color rgb="FF000000"/>
        <rFont val="Noto Sans CJK SC"/>
        <family val="2"/>
      </rPr>
      <t xml:space="preserve">，租金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註「實價」——是否仍為現價、可否議價</t>
    </r>
  </si>
  <si>
    <t xml:space="preserve">成本</t>
  </si>
  <si>
    <t xml:space="preserve">安和路一段 17F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</si>
  <si>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是否同棟</t>
    </r>
  </si>
  <si>
    <t xml:space="preserve">同棟不同樓層開價差異可作議價依據</t>
  </si>
  <si>
    <t xml:space="preserve">傑森愛華／尚揚</t>
  </si>
  <si>
    <t xml:space="preserve">敦化南路2段(中鼎) 22F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</si>
  <si>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案同棟；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開價</t>
    </r>
    <r>
      <rPr>
        <sz val="10"/>
        <color rgb="FF000000"/>
        <rFont val="Arial"/>
        <family val="0"/>
        <charset val="1"/>
      </rPr>
      <t xml:space="preserve">455,400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(478,170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 vs 15F 451,087</t>
    </r>
    <r>
      <rPr>
        <sz val="10"/>
        <color rgb="FF000000"/>
        <rFont val="Noto Sans CJK SC"/>
        <family val="2"/>
      </rPr>
      <t xml:space="preserve">含稅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</si>
  <si>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較便宜，可交叉議價</t>
    </r>
  </si>
  <si>
    <r>
      <rPr>
        <b val="true"/>
        <sz val="13"/>
        <rFont val="Noto Sans CJK SC"/>
        <family val="2"/>
      </rPr>
      <t xml:space="preserve">台北商辦市場行情對照（</t>
    </r>
    <r>
      <rPr>
        <b val="true"/>
        <sz val="13"/>
        <rFont val="Arial"/>
        <family val="0"/>
        <charset val="1"/>
      </rPr>
      <t xml:space="preserve">2026 Q2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</si>
  <si>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來源：工商時報 </t>
    </r>
    <r>
      <rPr>
        <i val="true"/>
        <sz val="9"/>
        <color rgb="FF666666"/>
        <rFont val="Arial"/>
        <family val="0"/>
        <charset val="1"/>
      </rPr>
      <t xml:space="preserve">2026/09/05 </t>
    </r>
    <r>
      <rPr>
        <i val="true"/>
        <sz val="9"/>
        <color rgb="FF666666"/>
        <rFont val="Noto Sans CJK SC"/>
        <family val="2"/>
      </rPr>
      <t xml:space="preserve">引述仲量聯行；</t>
    </r>
    <r>
      <rPr>
        <i val="true"/>
        <sz val="9"/>
        <color rgb="FF666666"/>
        <rFont val="Arial"/>
        <family val="0"/>
        <charset val="1"/>
      </rPr>
      <t xml:space="preserve">CTWANT </t>
    </r>
    <r>
      <rPr>
        <i val="true"/>
        <sz val="9"/>
        <color rgb="FF666666"/>
        <rFont val="Noto Sans CJK SC"/>
        <family val="2"/>
      </rPr>
      <t xml:space="preserve">引述仲量聯行長期趨勢</t>
    </r>
  </si>
  <si>
    <t xml:space="preserve">指標</t>
  </si>
  <si>
    <r>
      <rPr>
        <b val="true"/>
        <sz val="10"/>
        <color rgb="FFFFFFFF"/>
        <rFont val="Arial"/>
        <family val="0"/>
        <charset val="1"/>
      </rPr>
      <t xml:space="preserve">2026 Q2 </t>
    </r>
    <r>
      <rPr>
        <b val="true"/>
        <sz val="10"/>
        <color rgb="FFFFFFFF"/>
        <rFont val="Noto Sans CJK SC"/>
        <family val="2"/>
      </rPr>
      <t xml:space="preserve">數值</t>
    </r>
  </si>
  <si>
    <t xml:space="preserve">說明</t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</si>
  <si>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</si>
  <si>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3,118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</si>
  <si>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</si>
  <si>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</si>
  <si>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1,967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</si>
  <si>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0.7%</t>
    </r>
  </si>
  <si>
    <t xml:space="preserve">信義區 平均租金</t>
  </si>
  <si>
    <r>
      <rPr>
        <sz val="10"/>
        <color rgb="FF0000FF"/>
        <rFont val="Arial"/>
        <family val="0"/>
        <charset val="1"/>
      </rPr>
      <t xml:space="preserve">3,793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</si>
  <si>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0.18%</t>
    </r>
  </si>
  <si>
    <t xml:space="preserve">敦北次市場 平均租金</t>
  </si>
  <si>
    <r>
      <rPr>
        <sz val="10"/>
        <color rgb="FF0000FF"/>
        <rFont val="Arial"/>
        <family val="0"/>
        <charset val="1"/>
      </rPr>
      <t xml:space="preserve">2,913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</si>
  <si>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較去年同期累計成長近</t>
    </r>
    <r>
      <rPr>
        <sz val="10"/>
        <color rgb="FF000000"/>
        <rFont val="Arial"/>
        <family val="0"/>
        <charset val="1"/>
      </rPr>
      <t xml:space="preserve">8%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</si>
  <si>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辦空置率</t>
    </r>
  </si>
  <si>
    <t xml:space="preserve">6.82%</t>
  </si>
  <si>
    <t xml:space="preserve">第二季</t>
  </si>
  <si>
    <t xml:space="preserve">上半年核心商業區成交量</t>
  </si>
  <si>
    <r>
      <rPr>
        <sz val="10"/>
        <color rgb="FF0000FF"/>
        <rFont val="Arial"/>
        <family val="0"/>
        <charset val="1"/>
      </rPr>
      <t xml:space="preserve">25,737 </t>
    </r>
    <r>
      <rPr>
        <sz val="10"/>
        <color rgb="FF0000FF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</si>
  <si>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近八年同期新高，年增</t>
    </r>
    <r>
      <rPr>
        <sz val="10"/>
        <color rgb="FF000000"/>
        <rFont val="Arial"/>
        <family val="0"/>
        <charset val="1"/>
      </rPr>
      <t xml:space="preserve">37%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</si>
  <si>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科技業租戶占比</t>
    </r>
  </si>
  <si>
    <t xml:space="preserve">55%</t>
  </si>
  <si>
    <r>
      <rPr>
        <sz val="10"/>
        <color rgb="FF000000"/>
        <rFont val="Noto Sans CJK SC"/>
        <family val="2"/>
      </rPr>
      <t xml:space="preserve">較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大幅提升</t>
    </r>
  </si>
  <si>
    <r>
      <rPr>
        <sz val="10"/>
        <color rgb="FF000000"/>
        <rFont val="Noto Sans CJK SC"/>
        <family val="2"/>
      </rPr>
      <t xml:space="preserve">敦南次市場樓齡預估</t>
    </r>
    <r>
      <rPr>
        <sz val="10"/>
        <color rgb="FF000000"/>
        <rFont val="Arial"/>
        <family val="0"/>
        <charset val="1"/>
      </rPr>
      <t xml:space="preserve">(2030)</t>
    </r>
  </si>
  <si>
    <r>
      <rPr>
        <sz val="10"/>
        <color rgb="FF0000FF"/>
        <rFont val="Noto Sans CJK SC"/>
        <family val="2"/>
      </rPr>
      <t xml:space="preserve">逾</t>
    </r>
    <r>
      <rPr>
        <sz val="10"/>
        <color rgb="FF0000FF"/>
        <rFont val="Arial"/>
        <family val="0"/>
        <charset val="1"/>
      </rPr>
      <t xml:space="preserve">33</t>
    </r>
    <r>
      <rPr>
        <sz val="10"/>
        <color rgb="FF0000FF"/>
        <rFont val="Noto Sans CJK SC"/>
        <family val="2"/>
      </rPr>
      <t xml:space="preserve">年</t>
    </r>
  </si>
  <si>
    <t xml:space="preserve">仲量聯行：競爭力仰賴都更與資產活化</t>
  </si>
  <si>
    <t xml:space="preserve">市場轉折點</t>
  </si>
  <si>
    <r>
      <rPr>
        <sz val="10"/>
        <color rgb="FF0000FF"/>
        <rFont val="Arial"/>
        <family val="0"/>
        <charset val="1"/>
      </rPr>
      <t xml:space="preserve">2027</t>
    </r>
    <r>
      <rPr>
        <sz val="10"/>
        <color rgb="FF0000FF"/>
        <rFont val="Noto Sans CJK SC"/>
        <family val="2"/>
      </rPr>
      <t xml:space="preserve">年起轉向房客市場</t>
    </r>
  </si>
  <si>
    <t xml:space="preserve">新增供給集中南港、西區、松江南京</t>
  </si>
  <si>
    <t xml:space="preserve">本案定位判讀</t>
  </si>
  <si>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個候選案的含稅租金單價落在每坪</t>
    </r>
    <r>
      <rPr>
        <sz val="10"/>
        <rFont val="Arial"/>
        <family val="0"/>
        <charset val="1"/>
      </rPr>
      <t xml:space="preserve">1,470~2,400</t>
    </r>
    <r>
      <rPr>
        <sz val="10"/>
        <rFont val="Noto Sans CJK SC"/>
        <family val="2"/>
      </rPr>
      <t xml:space="preserve">元，全數位於核心商業區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辦均價</t>
    </r>
    <r>
      <rPr>
        <sz val="10"/>
        <rFont val="Arial"/>
        <family val="0"/>
        <charset val="1"/>
      </rPr>
      <t xml:space="preserve">1,967</t>
    </r>
    <r>
      <rPr>
        <sz val="10"/>
        <rFont val="Noto Sans CJK SC"/>
        <family val="2"/>
      </rPr>
      <t xml:space="preserve">元上下，遠低於敦北次市場</t>
    </r>
    <r>
      <rPr>
        <sz val="10"/>
        <rFont val="Arial"/>
        <family val="0"/>
        <charset val="1"/>
      </rPr>
      <t xml:space="preserve">2,913</t>
    </r>
    <r>
      <rPr>
        <sz val="10"/>
        <rFont val="Noto Sans CJK SC"/>
        <family val="2"/>
      </rPr>
      <t xml:space="preserve">元與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辦</t>
    </r>
    <r>
      <rPr>
        <sz val="10"/>
        <rFont val="Arial"/>
        <family val="0"/>
        <charset val="1"/>
      </rPr>
      <t xml:space="preserve">3,118</t>
    </r>
    <r>
      <rPr>
        <sz val="10"/>
        <rFont val="Noto Sans CJK SC"/>
        <family val="2"/>
      </rPr>
      <t xml:space="preserve">元。物調表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案為屋齡</t>
    </r>
    <r>
      <rPr>
        <sz val="10"/>
        <rFont val="Arial"/>
        <family val="0"/>
        <charset val="1"/>
      </rPr>
      <t xml:space="preserve">35~48</t>
    </r>
    <r>
      <rPr>
        <sz val="10"/>
        <rFont val="Noto Sans CJK SC"/>
        <family val="2"/>
      </rPr>
      <t xml:space="preserve">年的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級舊商辦；傑森愛華清單中有多案自述為「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級帷幕純辦／地標大樓」，若屬實則同價位可取得更高規格，但該清單未提供屋齡、公設比與管理費，無法驗證，須索取物調表後才能同口徑比較。以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萬預算在大安／松山租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坪，市場結構上就落在此區間；真正的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級純辦同坪數月租約需</t>
    </r>
    <r>
      <rPr>
        <sz val="10"/>
        <rFont val="Arial"/>
        <family val="0"/>
        <charset val="1"/>
      </rPr>
      <t xml:space="preserve">68</t>
    </r>
    <r>
      <rPr>
        <sz val="10"/>
        <rFont val="Noto Sans CJK SC"/>
        <family val="2"/>
      </rPr>
      <t xml:space="preserve">萬（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</t>
    </r>
    <r>
      <rPr>
        <sz val="10"/>
        <rFont val="Arial"/>
        <family val="0"/>
        <charset val="1"/>
      </rPr>
      <t xml:space="preserve">×3,118</t>
    </r>
    <r>
      <rPr>
        <sz val="10"/>
        <rFont val="Noto Sans CJK SC"/>
        <family val="2"/>
      </rPr>
      <t xml:space="preserve">元）以上。</t>
    </r>
  </si>
  <si>
    <t xml:space="preserve">資料來源</t>
  </si>
  <si>
    <t xml:space="preserve">項目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</si>
  <si>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</si>
  <si>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尚揚國際不動產 物調表《安敦國際大樓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</si>
  <si>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</si>
  <si>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</si>
  <si>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尚揚國際不動產 物調表《中鼎大樓》</t>
  </si>
  <si>
    <t xml:space="preserve">使用者提供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</si>
  <si>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</si>
  <si>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t xml:space="preserve">尚揚國際不動產 物調表《旭寶大樓》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</si>
  <si>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</si>
  <si>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尚揚國際不動產 物調表《敦化財經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樓物調》</t>
    </r>
  </si>
  <si>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</si>
  <si>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尚揚國際不動產 物調表《國泰世華銀行大樓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</si>
  <si>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</si>
  <si>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物調表《友聯大樓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</si>
  <si>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</si>
  <si>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物調表《白宮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樓物調表》</t>
    </r>
  </si>
  <si>
    <r>
      <rPr>
        <sz val="10"/>
        <color rgb="FF000000"/>
        <rFont val="Arial"/>
        <family val="0"/>
        <charset val="1"/>
      </rPr>
      <t xml:space="preserve">H 591 </t>
    </r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</si>
  <si>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擷取，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</si>
  <si>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對照價</t>
    </r>
  </si>
  <si>
    <r>
      <rPr>
        <sz val="10"/>
        <color rgb="FF000000"/>
        <rFont val="Arial"/>
        <family val="0"/>
        <charset val="1"/>
      </rPr>
      <t xml:space="preserve">J01~J18 (201~276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</si>
  <si>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</si>
  <si>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使用者提供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</si>
  <si>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J19~J22 (</t>
    </r>
    <r>
      <rPr>
        <sz val="10"/>
        <color rgb="FF000000"/>
        <rFont val="Noto Sans CJK SC"/>
        <family val="2"/>
      </rPr>
      <t xml:space="preserve">建國北路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</si>
  <si>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</si>
  <si>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J23~J24 (</t>
    </r>
    <r>
      <rPr>
        <sz val="10"/>
        <color rgb="FF000000"/>
        <rFont val="Noto Sans CJK SC"/>
        <family val="2"/>
      </rPr>
      <t xml:space="preserve">延平北路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</si>
  <si>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</si>
  <si>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傑森愛華聯絡方式</t>
  </si>
  <si>
    <r>
      <rPr>
        <sz val="10"/>
        <color rgb="FF000000"/>
        <rFont val="Noto Sans CJK SC"/>
        <family val="2"/>
      </rPr>
      <t xml:space="preserve">張先生 </t>
    </r>
    <r>
      <rPr>
        <sz val="10"/>
        <color rgb="FF000000"/>
        <rFont val="Arial"/>
        <family val="0"/>
        <charset val="1"/>
      </rPr>
      <t xml:space="preserve">02-27511682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</si>
  <si>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清單頁尾</t>
  </si>
  <si>
    <r>
      <rPr>
        <sz val="10"/>
        <color rgb="FF000000"/>
        <rFont val="Arial"/>
        <family val="0"/>
        <charset val="1"/>
      </rPr>
      <t xml:space="preserve">W01~W13 HouseWeb 13</t>
    </r>
    <r>
      <rPr>
        <sz val="10"/>
        <color rgb="FF000000"/>
        <rFont val="Noto Sans CJK SC"/>
        <family val="2"/>
      </rPr>
      <t xml:space="preserve">件（</t>
    </r>
    <r>
      <rPr>
        <sz val="10"/>
        <color rgb="FF000000"/>
        <rFont val="Arial"/>
        <family val="0"/>
        <charset val="1"/>
      </rPr>
      <t xml:space="preserve">W05/W09/W12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件）</t>
    </r>
  </si>
  <si>
    <t xml:space="preserve">https://www.houseweb.com.tw/rent?POT=10&amp;SI=01&amp;cmin=250000&amp;cmax=480000&amp;pmin=180&amp;pmax=300</t>
  </si>
  <si>
    <r>
      <rPr>
        <sz val="10"/>
        <color rgb="FF000000"/>
        <rFont val="Arial"/>
        <family val="0"/>
        <charset val="1"/>
      </rPr>
      <t xml:space="preserve">2026-09-22 </t>
    </r>
    <r>
      <rPr>
        <sz val="10"/>
        <color rgb="FF000000"/>
        <rFont val="Noto Sans CJK SC"/>
        <family val="2"/>
      </rPr>
      <t xml:space="preserve">全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筆逐頁掃描後篩選</t>
    </r>
  </si>
  <si>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信義 光復北路新大樓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</si>
  <si>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sinyiglobal </t>
    </r>
    <r>
      <rPr>
        <sz val="10"/>
        <color rgb="FF000000"/>
        <rFont val="Noto Sans CJK SC"/>
        <family val="2"/>
      </rPr>
      <t xml:space="preserve">連結之主站同物件</t>
    </r>
  </si>
  <si>
    <r>
      <rPr>
        <sz val="10"/>
        <color rgb="FF000000"/>
        <rFont val="Arial"/>
        <family val="0"/>
        <charset val="1"/>
      </rPr>
      <t xml:space="preserve">Y1/Y2 </t>
    </r>
    <r>
      <rPr>
        <sz val="10"/>
        <color rgb="FF000000"/>
        <rFont val="Noto Sans CJK SC"/>
        <family val="2"/>
      </rPr>
      <t xml:space="preserve">永慶</t>
    </r>
  </si>
  <si>
    <r>
      <rPr>
        <sz val="10"/>
        <color rgb="FF000000"/>
        <rFont val="Arial"/>
        <family val="0"/>
        <charset val="1"/>
      </rPr>
      <t xml:space="preserve">rent.yungching.com.tw/region/house/2358272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2373308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</si>
  <si>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2026-09-23</t>
    </r>
    <r>
      <rPr>
        <sz val="10"/>
        <color rgb="FF000000"/>
        <rFont val="Noto Sans CJK SC"/>
        <family val="2"/>
      </rPr>
      <t xml:space="preserve">擷取</t>
    </r>
  </si>
  <si>
    <r>
      <rPr>
        <sz val="10"/>
        <color rgb="FF000000"/>
        <rFont val="Arial"/>
        <family val="0"/>
        <charset val="1"/>
      </rPr>
      <t xml:space="preserve">S01~S15 </t>
    </r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S01/S02/S09/S10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件）</t>
    </r>
  </si>
  <si>
    <t xml:space="preserve">https://www.sinyi.com.tw/rent/list/Taipei-city/104-105-106-110-zip/office-use/150-up-area/</t>
  </si>
  <si>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四區辦公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坪以上共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筆全掃；</t>
    </r>
    <r>
      <rPr>
        <sz val="10"/>
        <color rgb="FF000000"/>
        <rFont val="Arial"/>
        <family val="0"/>
        <charset val="1"/>
      </rPr>
      <t xml:space="preserve">CZ05228/C348029</t>
    </r>
    <r>
      <rPr>
        <sz val="10"/>
        <color rgb="FF000000"/>
        <rFont val="Noto Sans CJK SC"/>
        <family val="2"/>
      </rPr>
      <t xml:space="preserve">為使用者提供</t>
    </r>
  </si>
  <si>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單筆報表</t>
    </r>
  </si>
  <si>
    <r>
      <rPr>
        <sz val="10"/>
        <color rgb="FF000000"/>
        <rFont val="Noto Sans CJK SC"/>
        <family val="2"/>
      </rPr>
      <t xml:space="preserve">傑森愛華《八德路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樓全層中影八德大樓》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</si>
  <si>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使用者提供，含照片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張、使照存根、分區圖</t>
    </r>
  </si>
  <si>
    <r>
      <rPr>
        <sz val="10"/>
        <color rgb="FF000000"/>
        <rFont val="Noto Sans CJK SC"/>
        <family val="2"/>
      </rPr>
      <t xml:space="preserve">物調表使照日期；信義社區頁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旭寶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國泰世華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鴻霖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敦化財經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(W01/W08)</t>
    </r>
    <r>
      <rPr>
        <sz val="10"/>
        <color rgb="FF000000"/>
        <rFont val="Noto Sans CJK SC"/>
        <family val="2"/>
      </rPr>
      <t xml:space="preserve">；東家國際</t>
    </r>
  </si>
  <si>
    <r>
      <rPr>
        <sz val="10"/>
        <color rgb="FF000000"/>
        <rFont val="Noto Sans CJK SC"/>
        <family val="2"/>
      </rPr>
      <t xml:space="preserve">傑森愛華清單無屋齡，僅可交叉比對之</t>
    </r>
    <r>
      <rPr>
        <sz val="10"/>
        <color rgb="FF000000"/>
        <rFont val="Arial"/>
        <family val="0"/>
        <charset val="1"/>
      </rPr>
      <t xml:space="preserve">J03/J07/J10/J12/J15</t>
    </r>
    <r>
      <rPr>
        <sz val="10"/>
        <color rgb="FF000000"/>
        <rFont val="Noto Sans CJK SC"/>
        <family val="2"/>
      </rPr>
      <t xml:space="preserve">補得</t>
    </r>
  </si>
  <si>
    <t xml:space="preserve">市場行情</t>
  </si>
  <si>
    <r>
      <rPr>
        <sz val="10"/>
        <color rgb="FF000000"/>
        <rFont val="Noto Sans CJK SC"/>
        <family val="2"/>
      </rPr>
      <t xml:space="preserve">工商時報 </t>
    </r>
    <r>
      <rPr>
        <sz val="10"/>
        <color rgb="FF000000"/>
        <rFont val="Arial"/>
        <family val="0"/>
        <charset val="1"/>
      </rPr>
      <t xml:space="preserve">2026/09/05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CTWANT </t>
    </r>
    <r>
      <rPr>
        <sz val="10"/>
        <color rgb="FF000000"/>
        <rFont val="Noto Sans CJK SC"/>
        <family val="2"/>
      </rPr>
      <t xml:space="preserve">引述仲量聯行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</si>
  <si>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統計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</si>
</sst>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%"/>
    <numFmt numFmtId="167" formatCode="\$#,##0"/>
    <numFmt numFmtId="168" formatCode="0"/>
    <numFmt numFmtId="169" formatCode="\$#,##0;&quot;($&quot;#,##0\);\-"/>
    <numFmt numFmtId="170" formatCode="0%"/>
    <numFmt numFmtId="171" formatCode="0.0"/>
    <numFmt numFmtId="172" formatCode="\+0;\-0;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u val="single"/>
      <sz val="10"/>
      <color rgb="FF0563C1"/>
      <name val="Noto Sans CJK SC"/>
      <family val="2"/>
    </font>
    <font>
      <sz val="10"/>
      <color rgb="FF0000FF"/>
      <name val="Noto Sans CJK SC"/>
      <family val="2"/>
    </font>
    <font>
      <u val="single"/>
      <sz val="10"/>
      <color rgb="FF0563C1"/>
      <name val="Arial"/>
      <family val="0"/>
      <charset val="1"/>
    </font>
    <font>
      <u val="single"/>
      <sz val="10"/>
      <color rgb="FF0563C1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color rgb="FFC00000"/>
      <name val="Noto Sans CJK SC"/>
      <family val="2"/>
    </font>
    <font>
      <b val="true"/>
      <u val="single"/>
      <sz val="10"/>
      <color rgb="FF0563C1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business.591.com.tw/rent/22034644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www.sinyi.com.tw/rent/houseno/CZ05572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y.housefun.com.tw/buy/building/9278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kevinashowtimes-web.github.io/showtime-office-dashboard/?case=f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buy.housefun.com.tw/buy/building/2875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www.sinyiglobal.com/rental/C355686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58272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rent.yungching.com.tw/region/house/2373308?pc=0916263633" TargetMode="External"/><Relationship Id="rId24" Type="http://schemas.openxmlformats.org/officeDocument/2006/relationships/hyperlink" Target="https://www.sinyi.com.tw/rent/houseno/CZ05326" TargetMode="External"/><Relationship Id="rId25" Type="http://schemas.openxmlformats.org/officeDocument/2006/relationships/hyperlink" Target="https://www.sinyi.com.tw/rent/houseno/CZ05326" TargetMode="External"/><Relationship Id="rId26" Type="http://schemas.openxmlformats.org/officeDocument/2006/relationships/hyperlink" Target="https://www.sinyi.com.tw/rent/houseno/C328671" TargetMode="External"/><Relationship Id="rId27" Type="http://schemas.openxmlformats.org/officeDocument/2006/relationships/hyperlink" Target="https://www.sinyi.com.tw/rent/houseno/C328671" TargetMode="External"/><Relationship Id="rId28" Type="http://schemas.openxmlformats.org/officeDocument/2006/relationships/hyperlink" Target="https://www.sinyi.com.tw/rent/houseno/C905199" TargetMode="External"/><Relationship Id="rId29" Type="http://schemas.openxmlformats.org/officeDocument/2006/relationships/hyperlink" Target="https://www.sinyi.com.tw/rent/houseno/C905199" TargetMode="External"/><Relationship Id="rId30" Type="http://schemas.openxmlformats.org/officeDocument/2006/relationships/hyperlink" Target="https://www.sinyi.com.tw/rent/houseno/CZ05587" TargetMode="External"/><Relationship Id="rId31" Type="http://schemas.openxmlformats.org/officeDocument/2006/relationships/hyperlink" Target="https://www.sinyi.com.tw/rent/houseno/CZ05587" TargetMode="External"/><Relationship Id="rId32" Type="http://schemas.openxmlformats.org/officeDocument/2006/relationships/hyperlink" Target="https://www.sinyi.com.tw/rent/houseno/CZ03701" TargetMode="External"/><Relationship Id="rId33" Type="http://schemas.openxmlformats.org/officeDocument/2006/relationships/hyperlink" Target="https://www.sinyi.com.tw/rent/houseno/CZ03701" TargetMode="External"/><Relationship Id="rId34" Type="http://schemas.openxmlformats.org/officeDocument/2006/relationships/hyperlink" Target="https://www.sinyi.com.tw/rent/houseno/C346398" TargetMode="External"/><Relationship Id="rId35" Type="http://schemas.openxmlformats.org/officeDocument/2006/relationships/hyperlink" Target="https://www.sinyi.com.tw/rent/houseno/C346398" TargetMode="External"/><Relationship Id="rId36" Type="http://schemas.openxmlformats.org/officeDocument/2006/relationships/hyperlink" Target="https://www.sinyi.com.tw/rent/houseno/CZ05585" TargetMode="External"/><Relationship Id="rId37" Type="http://schemas.openxmlformats.org/officeDocument/2006/relationships/hyperlink" Target="https://www.sinyi.com.tw/rent/houseno/CZ05585" TargetMode="External"/><Relationship Id="rId38" Type="http://schemas.openxmlformats.org/officeDocument/2006/relationships/hyperlink" Target="https://www.sinyi.com.tw/rent/houseno/C904707" TargetMode="External"/><Relationship Id="rId39" Type="http://schemas.openxmlformats.org/officeDocument/2006/relationships/hyperlink" Target="https://www.sinyi.com.tw/rent/houseno/C904707" TargetMode="External"/><Relationship Id="rId40" Type="http://schemas.openxmlformats.org/officeDocument/2006/relationships/hyperlink" Target="https://www.sinyi.com.tw/rent/houseno/C360646" TargetMode="External"/><Relationship Id="rId41" Type="http://schemas.openxmlformats.org/officeDocument/2006/relationships/hyperlink" Target="https://www.sinyi.com.tw/rent/houseno/C360646" TargetMode="External"/><Relationship Id="rId42" Type="http://schemas.openxmlformats.org/officeDocument/2006/relationships/hyperlink" Target="https://www.sinyi.com.tw/rent/houseno/C348029" TargetMode="External"/><Relationship Id="rId43" Type="http://schemas.openxmlformats.org/officeDocument/2006/relationships/hyperlink" Target="https://www.sinyi.com.tw/rent/houseno/C348029" TargetMode="External"/><Relationship Id="rId44" Type="http://schemas.openxmlformats.org/officeDocument/2006/relationships/hyperlink" Target="https://www.sinyi.com.tw/rent/houseno/C360351" TargetMode="External"/><Relationship Id="rId45" Type="http://schemas.openxmlformats.org/officeDocument/2006/relationships/hyperlink" Target="https://www.sinyi.com.tw/rent/houseno/C360351" TargetMode="External"/><Relationship Id="rId46" Type="http://schemas.openxmlformats.org/officeDocument/2006/relationships/hyperlink" Target="https://business.591.com.tw/rent/22034644" TargetMode="External"/><Relationship Id="rId47" Type="http://schemas.openxmlformats.org/officeDocument/2006/relationships/hyperlink" Target="https://business.591.com.tw/rent/22034644" TargetMode="External"/><Relationship Id="rId48" Type="http://schemas.openxmlformats.org/officeDocument/2006/relationships/hyperlink" Target="https://www.sinyi.com.tw/rent/houseno/CZ05572" TargetMode="External"/><Relationship Id="rId49" Type="http://schemas.openxmlformats.org/officeDocument/2006/relationships/hyperlink" Target="https://www.sinyi.com.tw/rent/houseno/CZ05572" TargetMode="External"/><Relationship Id="rId50" Type="http://schemas.openxmlformats.org/officeDocument/2006/relationships/hyperlink" Target="https://buy.housefun.com.tw/buy/building/9278" TargetMode="External"/><Relationship Id="rId51" Type="http://schemas.openxmlformats.org/officeDocument/2006/relationships/hyperlink" Target="https://buy.housefun.com.tw/buy/building/9278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business.591.com.tw/rent/21856432" TargetMode="External"/><Relationship Id="rId54" Type="http://schemas.openxmlformats.org/officeDocument/2006/relationships/hyperlink" Target="https://www.sinyi.com.tw/communitylist/communityinfo/0008197" TargetMode="External"/><Relationship Id="rId55" Type="http://schemas.openxmlformats.org/officeDocument/2006/relationships/hyperlink" Target="https://www.sinyi.com.tw/communitylist/communityinfo/0008197" TargetMode="External"/><Relationship Id="rId56" Type="http://schemas.openxmlformats.org/officeDocument/2006/relationships/hyperlink" Target="https://kevinashowtimes-web.github.io/showtime-office-dashboard/?case=f" TargetMode="External"/><Relationship Id="rId57" Type="http://schemas.openxmlformats.org/officeDocument/2006/relationships/hyperlink" Target="https://kevinashowtimes-web.github.io/showtime-office-dashboard/?case=f" TargetMode="External"/><Relationship Id="rId58" Type="http://schemas.openxmlformats.org/officeDocument/2006/relationships/hyperlink" Target="https://buy.housefun.com.tw/buy/building/28758" TargetMode="External"/><Relationship Id="rId59" Type="http://schemas.openxmlformats.org/officeDocument/2006/relationships/hyperlink" Target="https://buy.housefun.com.tw/buy/building/28758" TargetMode="External"/><Relationship Id="rId60" Type="http://schemas.openxmlformats.org/officeDocument/2006/relationships/hyperlink" Target="https://www.houseweb.com.tw/house/2653888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sinyiglobal.com/rental/C355686" TargetMode="External"/><Relationship Id="rId63" Type="http://schemas.openxmlformats.org/officeDocument/2006/relationships/hyperlink" Target="https://www.sinyiglobal.com/rental/C355686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58272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rent.yungching.com.tw/region/house/2373308?pc=0916263633" TargetMode="External"/><Relationship Id="rId68" Type="http://schemas.openxmlformats.org/officeDocument/2006/relationships/hyperlink" Target="https://www.sinyi.com.tw/rent/houseno/CZ05326" TargetMode="External"/><Relationship Id="rId69" Type="http://schemas.openxmlformats.org/officeDocument/2006/relationships/hyperlink" Target="https://www.sinyi.com.tw/rent/houseno/CZ05326" TargetMode="External"/><Relationship Id="rId70" Type="http://schemas.openxmlformats.org/officeDocument/2006/relationships/hyperlink" Target="https://www.sinyi.com.tw/rent/houseno/C328671" TargetMode="External"/><Relationship Id="rId71" Type="http://schemas.openxmlformats.org/officeDocument/2006/relationships/hyperlink" Target="https://www.sinyi.com.tw/rent/houseno/C328671" TargetMode="External"/><Relationship Id="rId72" Type="http://schemas.openxmlformats.org/officeDocument/2006/relationships/hyperlink" Target="https://www.sinyi.com.tw/rent/houseno/C905199" TargetMode="External"/><Relationship Id="rId73" Type="http://schemas.openxmlformats.org/officeDocument/2006/relationships/hyperlink" Target="https://www.sinyi.com.tw/rent/houseno/C905199" TargetMode="External"/><Relationship Id="rId74" Type="http://schemas.openxmlformats.org/officeDocument/2006/relationships/hyperlink" Target="https://www.sinyi.com.tw/rent/houseno/CZ05587" TargetMode="External"/><Relationship Id="rId75" Type="http://schemas.openxmlformats.org/officeDocument/2006/relationships/hyperlink" Target="https://www.sinyi.com.tw/rent/houseno/CZ05587" TargetMode="External"/><Relationship Id="rId76" Type="http://schemas.openxmlformats.org/officeDocument/2006/relationships/hyperlink" Target="https://www.sinyi.com.tw/rent/houseno/CZ03701" TargetMode="External"/><Relationship Id="rId77" Type="http://schemas.openxmlformats.org/officeDocument/2006/relationships/hyperlink" Target="https://www.sinyi.com.tw/rent/houseno/CZ03701" TargetMode="External"/><Relationship Id="rId78" Type="http://schemas.openxmlformats.org/officeDocument/2006/relationships/hyperlink" Target="https://www.sinyi.com.tw/rent/houseno/C346398" TargetMode="External"/><Relationship Id="rId79" Type="http://schemas.openxmlformats.org/officeDocument/2006/relationships/hyperlink" Target="https://www.sinyi.com.tw/rent/houseno/C346398" TargetMode="External"/><Relationship Id="rId80" Type="http://schemas.openxmlformats.org/officeDocument/2006/relationships/hyperlink" Target="https://www.sinyi.com.tw/rent/houseno/CZ05585" TargetMode="External"/><Relationship Id="rId81" Type="http://schemas.openxmlformats.org/officeDocument/2006/relationships/hyperlink" Target="https://www.sinyi.com.tw/rent/houseno/CZ05585" TargetMode="External"/><Relationship Id="rId82" Type="http://schemas.openxmlformats.org/officeDocument/2006/relationships/hyperlink" Target="https://www.sinyi.com.tw/rent/houseno/C904707" TargetMode="External"/><Relationship Id="rId83" Type="http://schemas.openxmlformats.org/officeDocument/2006/relationships/hyperlink" Target="https://www.sinyi.com.tw/rent/houseno/C904707" TargetMode="External"/><Relationship Id="rId84" Type="http://schemas.openxmlformats.org/officeDocument/2006/relationships/hyperlink" Target="https://www.sinyi.com.tw/rent/houseno/C360646" TargetMode="External"/><Relationship Id="rId85" Type="http://schemas.openxmlformats.org/officeDocument/2006/relationships/hyperlink" Target="https://www.sinyi.com.tw/rent/houseno/C360646" TargetMode="External"/><Relationship Id="rId86" Type="http://schemas.openxmlformats.org/officeDocument/2006/relationships/hyperlink" Target="https://www.sinyi.com.tw/rent/houseno/C348029" TargetMode="External"/><Relationship Id="rId87" Type="http://schemas.openxmlformats.org/officeDocument/2006/relationships/hyperlink" Target="https://www.sinyi.com.tw/rent/houseno/C348029" TargetMode="External"/><Relationship Id="rId88" Type="http://schemas.openxmlformats.org/officeDocument/2006/relationships/hyperlink" Target="https://www.sinyi.com.tw/rent/houseno/C360351" TargetMode="External"/><Relationship Id="rId89" Type="http://schemas.openxmlformats.org/officeDocument/2006/relationships/hyperlink" Target="https://www.sinyi.com.tw/rent/houseno/C360351" TargetMode="External"/><Relationship Id="rId90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inyi.com.tw/rent/houseno/CZ05585" TargetMode="External"/><Relationship Id="rId2" Type="http://schemas.openxmlformats.org/officeDocument/2006/relationships/hyperlink" Target="https://www.sinyi.com.tw/rent/houseno/CZ05585" TargetMode="External"/><Relationship Id="rId3" Type="http://schemas.openxmlformats.org/officeDocument/2006/relationships/hyperlink" Target="https://www.sinyi.com.tw/rent/houseno/C905199" TargetMode="External"/><Relationship Id="rId4" Type="http://schemas.openxmlformats.org/officeDocument/2006/relationships/hyperlink" Target="https://www.sinyi.com.tw/rent/houseno/C905199" TargetMode="External"/><Relationship Id="rId5" Type="http://schemas.openxmlformats.org/officeDocument/2006/relationships/hyperlink" Target="https://www.houseweb.com.tw/house/2457012" TargetMode="External"/><Relationship Id="rId6" Type="http://schemas.openxmlformats.org/officeDocument/2006/relationships/hyperlink" Target="https://www.houseweb.com.tw/house/2457012" TargetMode="External"/><Relationship Id="rId7" Type="http://schemas.openxmlformats.org/officeDocument/2006/relationships/hyperlink" Target="https://www.sinyi.com.tw/rent/houseno/CZ05587" TargetMode="External"/><Relationship Id="rId8" Type="http://schemas.openxmlformats.org/officeDocument/2006/relationships/hyperlink" Target="https://www.sinyi.com.tw/rent/houseno/CZ05587" TargetMode="External"/><Relationship Id="rId9" Type="http://schemas.openxmlformats.org/officeDocument/2006/relationships/hyperlink" Target="https://www.sinyi.com.tw/rent/houseno/CZ03701" TargetMode="External"/><Relationship Id="rId10" Type="http://schemas.openxmlformats.org/officeDocument/2006/relationships/hyperlink" Target="https://www.sinyi.com.tw/rent/houseno/CZ03701" TargetMode="External"/><Relationship Id="rId11" Type="http://schemas.openxmlformats.org/officeDocument/2006/relationships/hyperlink" Target="https://www.houseweb.com.tw/house/2504639" TargetMode="External"/><Relationship Id="rId12" Type="http://schemas.openxmlformats.org/officeDocument/2006/relationships/hyperlink" Target="https://www.houseweb.com.tw/house/2504639" TargetMode="External"/><Relationship Id="rId13" Type="http://schemas.openxmlformats.org/officeDocument/2006/relationships/hyperlink" Target="https://kevinashowtimes-web.github.io/showtime-office-dashboard/JE_list_J01-J18.pdf" TargetMode="External"/><Relationship Id="rId14" Type="http://schemas.openxmlformats.org/officeDocument/2006/relationships/hyperlink" Target="https://kevinashowtimes-web.github.io/showtime-office-dashboard/JE_list_J01-J18.pdf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rent.yungching.com.tw/region/house/2358272?pc=0916263633" TargetMode="External"/><Relationship Id="rId18" Type="http://schemas.openxmlformats.org/officeDocument/2006/relationships/hyperlink" Target="https://rent.yungching.com.tw/region/house/2358272?pc=0916263633" TargetMode="External"/><Relationship Id="rId19" Type="http://schemas.openxmlformats.org/officeDocument/2006/relationships/hyperlink" Target="https://kevinashowtimes-web.github.io/showtime-office-dashboard/JE_J12_zhongding_2F.pdf" TargetMode="External"/><Relationship Id="rId20" Type="http://schemas.openxmlformats.org/officeDocument/2006/relationships/hyperlink" Target="https://kevinashowtimes-web.github.io/showtime-office-dashboard/JE_J12_zhongding_2F.pdf" TargetMode="External"/><Relationship Id="rId21" Type="http://schemas.openxmlformats.org/officeDocument/2006/relationships/hyperlink" Target="https://business.591.com.tw/rent/22034644" TargetMode="External"/><Relationship Id="rId22" Type="http://schemas.openxmlformats.org/officeDocument/2006/relationships/hyperlink" Target="https://business.591.com.tw/rent/22034644" TargetMode="External"/><Relationship Id="rId23" Type="http://schemas.openxmlformats.org/officeDocument/2006/relationships/hyperlink" Target="https://www.sinyi.com.tw/rent/houseno/C328671" TargetMode="External"/><Relationship Id="rId24" Type="http://schemas.openxmlformats.org/officeDocument/2006/relationships/hyperlink" Target="https://www.sinyi.com.tw/rent/houseno/C328671" TargetMode="External"/><Relationship Id="rId25" Type="http://schemas.openxmlformats.org/officeDocument/2006/relationships/hyperlink" Target="https://www.houseweb.com.tw/house/2653888" TargetMode="External"/><Relationship Id="rId26" Type="http://schemas.openxmlformats.org/officeDocument/2006/relationships/hyperlink" Target="https://www.houseweb.com.tw/house/2653888" TargetMode="External"/><Relationship Id="rId27" Type="http://schemas.openxmlformats.org/officeDocument/2006/relationships/hyperlink" Target="https://kevinashowtimes-web.github.io/showtime-office-dashboard/JE_list_J01-J18.pdf" TargetMode="External"/><Relationship Id="rId28" Type="http://schemas.openxmlformats.org/officeDocument/2006/relationships/hyperlink" Target="https://kevinashowtimes-web.github.io/showtime-office-dashboard/JE_list_J01-J18.pdf" TargetMode="External"/><Relationship Id="rId29" Type="http://schemas.openxmlformats.org/officeDocument/2006/relationships/hyperlink" Target="https://kevinashowtimes-web.github.io/showtime-office-dashboard/JE_J07_honglin_10F-2.pdf" TargetMode="External"/><Relationship Id="rId30" Type="http://schemas.openxmlformats.org/officeDocument/2006/relationships/hyperlink" Target="https://kevinashowtimes-web.github.io/showtime-office-dashboard/JE_J07_honglin_10F-2.pdf" TargetMode="External"/><Relationship Id="rId31" Type="http://schemas.openxmlformats.org/officeDocument/2006/relationships/hyperlink" Target="https://kevinashowtimes-web.github.io/showtime-office-dashboard/JE_list_J01-J18.pdf" TargetMode="External"/><Relationship Id="rId32" Type="http://schemas.openxmlformats.org/officeDocument/2006/relationships/hyperlink" Target="https://kevinashowtimes-web.github.io/showtime-office-dashboard/JE_list_J01-J18.pdf" TargetMode="External"/><Relationship Id="rId33" Type="http://schemas.openxmlformats.org/officeDocument/2006/relationships/hyperlink" Target="https://rent.yungching.com.tw/region/house/2373308?pc=0916263633" TargetMode="External"/><Relationship Id="rId34" Type="http://schemas.openxmlformats.org/officeDocument/2006/relationships/hyperlink" Target="https://rent.yungching.com.tw/region/house/2373308?pc=0916263633" TargetMode="External"/><Relationship Id="rId35" Type="http://schemas.openxmlformats.org/officeDocument/2006/relationships/hyperlink" Target="https://buy.housefun.com.tw/buy/building/28758" TargetMode="External"/><Relationship Id="rId36" Type="http://schemas.openxmlformats.org/officeDocument/2006/relationships/hyperlink" Target="https://buy.housefun.com.tw/buy/building/28758" TargetMode="External"/><Relationship Id="rId37" Type="http://schemas.openxmlformats.org/officeDocument/2006/relationships/hyperlink" Target="https://www.houseweb.com.tw/house/2567826" TargetMode="External"/><Relationship Id="rId38" Type="http://schemas.openxmlformats.org/officeDocument/2006/relationships/hyperlink" Target="https://www.houseweb.com.tw/house/2567826" TargetMode="External"/><Relationship Id="rId39" Type="http://schemas.openxmlformats.org/officeDocument/2006/relationships/hyperlink" Target="https://www.houseweb.com.tw/house/2611327" TargetMode="External"/><Relationship Id="rId40" Type="http://schemas.openxmlformats.org/officeDocument/2006/relationships/hyperlink" Target="https://www.houseweb.com.tw/house/2611327" TargetMode="External"/><Relationship Id="rId41" Type="http://schemas.openxmlformats.org/officeDocument/2006/relationships/hyperlink" Target="https://kevinashowtimes-web.github.io/showtime-office-dashboard/JE_list_J01-J18.pdf" TargetMode="External"/><Relationship Id="rId42" Type="http://schemas.openxmlformats.org/officeDocument/2006/relationships/hyperlink" Target="https://kevinashowtimes-web.github.io/showtime-office-dashboard/JE_list_J01-J18.pdf" TargetMode="External"/><Relationship Id="rId43" Type="http://schemas.openxmlformats.org/officeDocument/2006/relationships/hyperlink" Target="https://www.houseweb.com.tw/house/1506073" TargetMode="External"/><Relationship Id="rId44" Type="http://schemas.openxmlformats.org/officeDocument/2006/relationships/hyperlink" Target="https://www.houseweb.com.tw/house/1506073" TargetMode="External"/><Relationship Id="rId45" Type="http://schemas.openxmlformats.org/officeDocument/2006/relationships/hyperlink" Target="https://www.sinyiglobal.com/rental/C355686" TargetMode="External"/><Relationship Id="rId46" Type="http://schemas.openxmlformats.org/officeDocument/2006/relationships/hyperlink" Target="https://www.sinyiglobal.com/rental/C355686" TargetMode="External"/><Relationship Id="rId47" Type="http://schemas.openxmlformats.org/officeDocument/2006/relationships/hyperlink" Target="https://kevinashowtimes-web.github.io/showtime-office-dashboard/?case=f" TargetMode="External"/><Relationship Id="rId48" Type="http://schemas.openxmlformats.org/officeDocument/2006/relationships/hyperlink" Target="https://kevinashowtimes-web.github.io/showtime-office-dashboard/?case=f" TargetMode="External"/><Relationship Id="rId49" Type="http://schemas.openxmlformats.org/officeDocument/2006/relationships/hyperlink" Target="https://www.houseweb.com.tw/house/2650465" TargetMode="External"/><Relationship Id="rId50" Type="http://schemas.openxmlformats.org/officeDocument/2006/relationships/hyperlink" Target="https://www.houseweb.com.tw/house/2650465" TargetMode="External"/><Relationship Id="rId51" Type="http://schemas.openxmlformats.org/officeDocument/2006/relationships/hyperlink" Target="https://kevinashowtimes-web.github.io/showtime-office-dashboard/JE_list_J01-J18.pdf" TargetMode="External"/><Relationship Id="rId52" Type="http://schemas.openxmlformats.org/officeDocument/2006/relationships/hyperlink" Target="https://kevinashowtimes-web.github.io/showtime-office-dashboard/JE_list_J01-J18.pdf" TargetMode="External"/><Relationship Id="rId53" Type="http://schemas.openxmlformats.org/officeDocument/2006/relationships/hyperlink" Target="https://www.houseweb.com.tw/house/2653863" TargetMode="External"/><Relationship Id="rId54" Type="http://schemas.openxmlformats.org/officeDocument/2006/relationships/hyperlink" Target="https://www.houseweb.com.tw/house/2653863" TargetMode="External"/><Relationship Id="rId55" Type="http://schemas.openxmlformats.org/officeDocument/2006/relationships/hyperlink" Target="https://kevinashowtimes-web.github.io/showtime-office-dashboard/JE_J16_zhongying_bade_2F.pdf" TargetMode="External"/><Relationship Id="rId56" Type="http://schemas.openxmlformats.org/officeDocument/2006/relationships/hyperlink" Target="https://kevinashowtimes-web.github.io/showtime-office-dashboard/JE_J16_zhongying_bade_2F.pdf" TargetMode="External"/><Relationship Id="rId57" Type="http://schemas.openxmlformats.org/officeDocument/2006/relationships/hyperlink" Target="https://buy.housefun.com.tw/buy/building/9278" TargetMode="External"/><Relationship Id="rId58" Type="http://schemas.openxmlformats.org/officeDocument/2006/relationships/hyperlink" Target="https://buy.housefun.com.tw/buy/building/9278" TargetMode="External"/><Relationship Id="rId59" Type="http://schemas.openxmlformats.org/officeDocument/2006/relationships/hyperlink" Target="https://www.sinyi.com.tw/rent/houseno/C348029" TargetMode="External"/><Relationship Id="rId60" Type="http://schemas.openxmlformats.org/officeDocument/2006/relationships/hyperlink" Target="https://www.sinyi.com.tw/rent/houseno/C348029" TargetMode="External"/><Relationship Id="rId61" Type="http://schemas.openxmlformats.org/officeDocument/2006/relationships/hyperlink" Target="https://kevinashowtimes-web.github.io/showtime-office-dashboard/JE_list_J01-J18.pdf" TargetMode="External"/><Relationship Id="rId62" Type="http://schemas.openxmlformats.org/officeDocument/2006/relationships/hyperlink" Target="https://kevinashowtimes-web.github.io/showtime-office-dashboard/JE_list_J01-J18.pdf" TargetMode="External"/><Relationship Id="rId63" Type="http://schemas.openxmlformats.org/officeDocument/2006/relationships/hyperlink" Target="https://www.sinyi.com.tw/rent/houseno/C360646" TargetMode="External"/><Relationship Id="rId64" Type="http://schemas.openxmlformats.org/officeDocument/2006/relationships/hyperlink" Target="https://www.sinyi.com.tw/rent/houseno/C360646" TargetMode="External"/><Relationship Id="rId65" Type="http://schemas.openxmlformats.org/officeDocument/2006/relationships/hyperlink" Target="https://www.sinyi.com.tw/rent/houseno/C904707" TargetMode="External"/><Relationship Id="rId66" Type="http://schemas.openxmlformats.org/officeDocument/2006/relationships/hyperlink" Target="https://www.sinyi.com.tw/rent/houseno/C904707" TargetMode="External"/><Relationship Id="rId67" Type="http://schemas.openxmlformats.org/officeDocument/2006/relationships/hyperlink" Target="https://www.sinyi.com.tw/communitylist/communityinfo/0008197" TargetMode="External"/><Relationship Id="rId68" Type="http://schemas.openxmlformats.org/officeDocument/2006/relationships/hyperlink" Target="https://www.sinyi.com.tw/communitylist/communityinfo/0008197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www.houseweb.com.tw/house/2581969" TargetMode="External"/><Relationship Id="rId72" Type="http://schemas.openxmlformats.org/officeDocument/2006/relationships/hyperlink" Target="https://www.houseweb.com.tw/house/2581969" TargetMode="External"/><Relationship Id="rId73" Type="http://schemas.openxmlformats.org/officeDocument/2006/relationships/hyperlink" Target="https://www.sinyi.com.tw/rent/houseno/CZ05572" TargetMode="External"/><Relationship Id="rId74" Type="http://schemas.openxmlformats.org/officeDocument/2006/relationships/hyperlink" Target="https://www.sinyi.com.tw/rent/houseno/CZ05572" TargetMode="External"/><Relationship Id="rId75" Type="http://schemas.openxmlformats.org/officeDocument/2006/relationships/hyperlink" Target="https://kevinashowtimes-web.github.io/showtime-office-dashboard/JE_J15_zhongding_22F.pdf" TargetMode="External"/><Relationship Id="rId76" Type="http://schemas.openxmlformats.org/officeDocument/2006/relationships/hyperlink" Target="https://kevinashowtimes-web.github.io/showtime-office-dashboard/JE_J15_zhongding_22F.pdf" TargetMode="External"/><Relationship Id="rId77" Type="http://schemas.openxmlformats.org/officeDocument/2006/relationships/hyperlink" Target="https://kevinashowtimes-web.github.io/showtime-office-dashboard/JE_list_J01-J18.pdf" TargetMode="External"/><Relationship Id="rId78" Type="http://schemas.openxmlformats.org/officeDocument/2006/relationships/hyperlink" Target="https://kevinashowtimes-web.github.io/showtime-office-dashboard/JE_list_J01-J18.pdf" TargetMode="External"/><Relationship Id="rId79" Type="http://schemas.openxmlformats.org/officeDocument/2006/relationships/hyperlink" Target="https://www.sinyi.com.tw/rent/houseno/CZ05326" TargetMode="External"/><Relationship Id="rId80" Type="http://schemas.openxmlformats.org/officeDocument/2006/relationships/hyperlink" Target="https://www.sinyi.com.tw/rent/houseno/CZ05326" TargetMode="External"/><Relationship Id="rId81" Type="http://schemas.openxmlformats.org/officeDocument/2006/relationships/hyperlink" Target="https://business.591.com.tw/rent/21856432" TargetMode="External"/><Relationship Id="rId82" Type="http://schemas.openxmlformats.org/officeDocument/2006/relationships/hyperlink" Target="https://business.591.com.tw/rent/21856432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www.sinyi.com.tw/rent/houseno/C360351" TargetMode="External"/><Relationship Id="rId86" Type="http://schemas.openxmlformats.org/officeDocument/2006/relationships/hyperlink" Target="https://www.sinyi.com.tw/rent/houseno/C360351" TargetMode="External"/><Relationship Id="rId87" Type="http://schemas.openxmlformats.org/officeDocument/2006/relationships/hyperlink" Target="https://www.sinyi.com.tw/rent/houseno/C346398" TargetMode="External"/><Relationship Id="rId88" Type="http://schemas.openxmlformats.org/officeDocument/2006/relationships/hyperlink" Target="https://www.sinyi.com.tw/rent/houseno/C346398" TargetMode="External"/><Relationship Id="rId89" Type="http://schemas.openxmlformats.org/officeDocument/2006/relationships/hyperlink" Target="https://www.houseweb.com.tw/house/2653888" TargetMode="External"/><Relationship Id="rId90" Type="http://schemas.openxmlformats.org/officeDocument/2006/relationships/hyperlink" Target="https://www.houseweb.com.tw/house/2653888" TargetMode="External"/><Relationship Id="rId91" Type="http://schemas.openxmlformats.org/officeDocument/2006/relationships/hyperlink" Target="https://kevinashowtimes-web.github.io/showtime-office-dashboard/JE_list_J01-J18.pdf" TargetMode="External"/><Relationship Id="rId92" Type="http://schemas.openxmlformats.org/officeDocument/2006/relationships/hyperlink" Target="https://kevinashowtimes-web.github.io/showtime-office-dashboard/JE_list_J01-J18.pdf" TargetMode="External"/><Relationship Id="rId93" Type="http://schemas.openxmlformats.org/officeDocument/2006/relationships/hyperlink" Target="https://kevinashowtimes-web.github.io/showtime-office-dashboard/JE_list_J01-J18.pdf" TargetMode="External"/><Relationship Id="rId94" Type="http://schemas.openxmlformats.org/officeDocument/2006/relationships/hyperlink" Target="https://kevinashowtimes-web.github.io/showtime-office-dashboard/JE_list_J01-J18.pdf" TargetMode="External"/><Relationship Id="rId95" Type="http://schemas.openxmlformats.org/officeDocument/2006/relationships/hyperlink" Target="https://kevinashowtimes-web.github.io/showtime-office-dashboard/JE_list_J01-J18.pdf" TargetMode="External"/><Relationship Id="rId96" Type="http://schemas.openxmlformats.org/officeDocument/2006/relationships/hyperlink" Target="https://kevinashowtimes-web.github.io/showtime-office-dashboard/JE_list_J01-J18.pdf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www.houseweb.com.tw/house/2664165" TargetMode="External"/><Relationship Id="rId100" Type="http://schemas.openxmlformats.org/officeDocument/2006/relationships/hyperlink" Target="https://www.houseweb.com.tw/house/2664165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kevinashowtimes-web.github.io/showtime-office-dashboard/?case=f" TargetMode="External"/><Relationship Id="rId4" Type="http://schemas.openxmlformats.org/officeDocument/2006/relationships/hyperlink" Target="https://kevinashowtimes-web.github.io/showtime-office-dashboard/?case=f" TargetMode="External"/><Relationship Id="rId5" Type="http://schemas.openxmlformats.org/officeDocument/2006/relationships/hyperlink" Target="https://rent.yungching.com.tw/region/house/2358272?pc=0916263633" TargetMode="External"/><Relationship Id="rId6" Type="http://schemas.openxmlformats.org/officeDocument/2006/relationships/hyperlink" Target="https://rent.yungching.com.tw/region/house/2358272?pc=0916263633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www.sinyiglobal.com/rental/C355686" TargetMode="External"/><Relationship Id="rId10" Type="http://schemas.openxmlformats.org/officeDocument/2006/relationships/hyperlink" Target="https://www.sinyiglobal.com/rental/C355686" TargetMode="External"/><Relationship Id="rId11" Type="http://schemas.openxmlformats.org/officeDocument/2006/relationships/hyperlink" Target="https://www.sinyi.com.tw/rent/houseno/CZ05587" TargetMode="External"/><Relationship Id="rId12" Type="http://schemas.openxmlformats.org/officeDocument/2006/relationships/hyperlink" Target="https://www.sinyi.com.tw/rent/houseno/CZ05587" TargetMode="External"/><Relationship Id="rId13" Type="http://schemas.openxmlformats.org/officeDocument/2006/relationships/hyperlink" Target="https://kevinashowtimes-web.github.io/showtime-office-dashboard/JE_list_J01-J18.pdf" TargetMode="External"/><Relationship Id="rId14" Type="http://schemas.openxmlformats.org/officeDocument/2006/relationships/hyperlink" Target="https://kevinashowtimes-web.github.io/showtime-office-dashboard/JE_list_J01-J18.pdf" TargetMode="External"/><Relationship Id="rId15" Type="http://schemas.openxmlformats.org/officeDocument/2006/relationships/hyperlink" Target="https://rent.yungching.com.tw/region/house/2373308?pc=0916263633" TargetMode="External"/><Relationship Id="rId16" Type="http://schemas.openxmlformats.org/officeDocument/2006/relationships/hyperlink" Target="https://rent.yungching.com.tw/region/house/2373308?pc=0916263633" TargetMode="External"/><Relationship Id="rId17" Type="http://schemas.openxmlformats.org/officeDocument/2006/relationships/hyperlink" Target="https://kevinashowtimes-web.github.io/showtime-office-dashboard/JE_J16_zhongying_bade_2F.pdf" TargetMode="External"/><Relationship Id="rId18" Type="http://schemas.openxmlformats.org/officeDocument/2006/relationships/hyperlink" Target="https://kevinashowtimes-web.github.io/showtime-office-dashboard/JE_J16_zhongying_bade_2F.pdf" TargetMode="External"/><Relationship Id="rId19" Type="http://schemas.openxmlformats.org/officeDocument/2006/relationships/hyperlink" Target="https://www.houseweb.com.tw/house/2567826" TargetMode="External"/><Relationship Id="rId20" Type="http://schemas.openxmlformats.org/officeDocument/2006/relationships/hyperlink" Target="https://www.houseweb.com.tw/house/2567826" TargetMode="External"/><Relationship Id="rId21" Type="http://schemas.openxmlformats.org/officeDocument/2006/relationships/hyperlink" Target="https://buy.housefun.com.tw/buy/building/28758" TargetMode="External"/><Relationship Id="rId22" Type="http://schemas.openxmlformats.org/officeDocument/2006/relationships/hyperlink" Target="https://buy.housefun.com.tw/buy/building/28758" TargetMode="External"/><Relationship Id="rId23" Type="http://schemas.openxmlformats.org/officeDocument/2006/relationships/hyperlink" Target="https://kevinashowtimes-web.github.io/showtime-office-dashboard/JE_list_J01-J18.pdf" TargetMode="External"/><Relationship Id="rId24" Type="http://schemas.openxmlformats.org/officeDocument/2006/relationships/hyperlink" Target="https://kevinashowtimes-web.github.io/showtime-office-dashboard/JE_list_J01-J18.pdf" TargetMode="External"/><Relationship Id="rId25" Type="http://schemas.openxmlformats.org/officeDocument/2006/relationships/hyperlink" Target="https://www.houseweb.com.tw/house/2653888" TargetMode="External"/><Relationship Id="rId26" Type="http://schemas.openxmlformats.org/officeDocument/2006/relationships/hyperlink" Target="https://www.houseweb.com.tw/house/2653888" TargetMode="External"/><Relationship Id="rId27" Type="http://schemas.openxmlformats.org/officeDocument/2006/relationships/hyperlink" Target="https://www.houseweb.com.tw/house/2653888" TargetMode="External"/><Relationship Id="rId28" Type="http://schemas.openxmlformats.org/officeDocument/2006/relationships/hyperlink" Target="https://www.houseweb.com.tw/house/2653888" TargetMode="External"/><Relationship Id="rId29" Type="http://schemas.openxmlformats.org/officeDocument/2006/relationships/hyperlink" Target="https://www.sinyi.com.tw/rent/houseno/CZ05326" TargetMode="External"/><Relationship Id="rId30" Type="http://schemas.openxmlformats.org/officeDocument/2006/relationships/hyperlink" Target="https://www.sinyi.com.tw/rent/houseno/CZ05326" TargetMode="External"/><Relationship Id="rId31" Type="http://schemas.openxmlformats.org/officeDocument/2006/relationships/hyperlink" Target="https://www.sinyi.com.tw/rent/houseno/C905199" TargetMode="External"/><Relationship Id="rId32" Type="http://schemas.openxmlformats.org/officeDocument/2006/relationships/hyperlink" Target="https://www.sinyi.com.tw/rent/houseno/C905199" TargetMode="External"/><Relationship Id="rId33" Type="http://schemas.openxmlformats.org/officeDocument/2006/relationships/hyperlink" Target="https://kevinashowtimes-web.github.io/showtime-office-dashboard/JE_list_J01-J18.pdf" TargetMode="External"/><Relationship Id="rId34" Type="http://schemas.openxmlformats.org/officeDocument/2006/relationships/hyperlink" Target="https://kevinashowtimes-web.github.io/showtime-office-dashboard/JE_list_J01-J18.pdf" TargetMode="External"/><Relationship Id="rId35" Type="http://schemas.openxmlformats.org/officeDocument/2006/relationships/hyperlink" Target="https://www.sinyi.com.tw/rent/houseno/C360351" TargetMode="External"/><Relationship Id="rId36" Type="http://schemas.openxmlformats.org/officeDocument/2006/relationships/hyperlink" Target="https://www.sinyi.com.tw/rent/houseno/C360351" TargetMode="External"/><Relationship Id="rId37" Type="http://schemas.openxmlformats.org/officeDocument/2006/relationships/hyperlink" Target="https://www.houseweb.com.tw/house/2611327" TargetMode="External"/><Relationship Id="rId38" Type="http://schemas.openxmlformats.org/officeDocument/2006/relationships/hyperlink" Target="https://www.houseweb.com.tw/house/2611327" TargetMode="External"/><Relationship Id="rId39" Type="http://schemas.openxmlformats.org/officeDocument/2006/relationships/hyperlink" Target="https://www.houseweb.com.tw/house/2653863" TargetMode="External"/><Relationship Id="rId40" Type="http://schemas.openxmlformats.org/officeDocument/2006/relationships/hyperlink" Target="https://www.houseweb.com.tw/house/2653863" TargetMode="External"/><Relationship Id="rId41" Type="http://schemas.openxmlformats.org/officeDocument/2006/relationships/hyperlink" Target="https://www.sinyi.com.tw/rent/houseno/C328671" TargetMode="External"/><Relationship Id="rId42" Type="http://schemas.openxmlformats.org/officeDocument/2006/relationships/hyperlink" Target="https://www.sinyi.com.tw/rent/houseno/C328671" TargetMode="External"/><Relationship Id="rId43" Type="http://schemas.openxmlformats.org/officeDocument/2006/relationships/hyperlink" Target="https://www.sinyi.com.tw/rent/houseno/CZ05572" TargetMode="External"/><Relationship Id="rId44" Type="http://schemas.openxmlformats.org/officeDocument/2006/relationships/hyperlink" Target="https://www.sinyi.com.tw/rent/houseno/CZ05572" TargetMode="External"/><Relationship Id="rId45" Type="http://schemas.openxmlformats.org/officeDocument/2006/relationships/hyperlink" Target="https://www.sinyi.com.tw/rent/houseno/CZ03701" TargetMode="External"/><Relationship Id="rId46" Type="http://schemas.openxmlformats.org/officeDocument/2006/relationships/hyperlink" Target="https://www.sinyi.com.tw/rent/houseno/CZ03701" TargetMode="External"/><Relationship Id="rId47" Type="http://schemas.openxmlformats.org/officeDocument/2006/relationships/hyperlink" Target="https://www.sinyi.com.tw/rent/houseno/CZ05585" TargetMode="External"/><Relationship Id="rId48" Type="http://schemas.openxmlformats.org/officeDocument/2006/relationships/hyperlink" Target="https://www.sinyi.com.tw/rent/houseno/CZ05585" TargetMode="External"/><Relationship Id="rId49" Type="http://schemas.openxmlformats.org/officeDocument/2006/relationships/hyperlink" Target="https://kevinashowtimes-web.github.io/showtime-office-dashboard/JE_J12_zhongding_2F.pdf" TargetMode="External"/><Relationship Id="rId50" Type="http://schemas.openxmlformats.org/officeDocument/2006/relationships/hyperlink" Target="https://kevinashowtimes-web.github.io/showtime-office-dashboard/JE_J12_zhongding_2F.pdf" TargetMode="External"/><Relationship Id="rId51" Type="http://schemas.openxmlformats.org/officeDocument/2006/relationships/hyperlink" Target="https://business.591.com.tw/rent/21856432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kevinashowtimes-web.github.io/showtime-office-dashboard/JE_list_J01-J18.pdf" TargetMode="External"/><Relationship Id="rId54" Type="http://schemas.openxmlformats.org/officeDocument/2006/relationships/hyperlink" Target="https://kevinashowtimes-web.github.io/showtime-office-dashboard/JE_list_J01-J18.pdf" TargetMode="External"/><Relationship Id="rId55" Type="http://schemas.openxmlformats.org/officeDocument/2006/relationships/hyperlink" Target="https://kevinashowtimes-web.github.io/showtime-office-dashboard/JE_list_J01-J18.pdf" TargetMode="External"/><Relationship Id="rId56" Type="http://schemas.openxmlformats.org/officeDocument/2006/relationships/hyperlink" Target="https://kevinashowtimes-web.github.io/showtime-office-dashboard/JE_list_J01-J18.pdf" TargetMode="External"/><Relationship Id="rId57" Type="http://schemas.openxmlformats.org/officeDocument/2006/relationships/hyperlink" Target="https://kevinashowtimes-web.github.io/showtime-office-dashboard/JE_J07_honglin_10F-2.pdf" TargetMode="External"/><Relationship Id="rId58" Type="http://schemas.openxmlformats.org/officeDocument/2006/relationships/hyperlink" Target="https://kevinashowtimes-web.github.io/showtime-office-dashboard/JE_J07_honglin_10F-2.pdf" TargetMode="External"/><Relationship Id="rId59" Type="http://schemas.openxmlformats.org/officeDocument/2006/relationships/hyperlink" Target="https://www.houseweb.com.tw/house/1506073" TargetMode="External"/><Relationship Id="rId60" Type="http://schemas.openxmlformats.org/officeDocument/2006/relationships/hyperlink" Target="https://www.houseweb.com.tw/house/1506073" TargetMode="External"/><Relationship Id="rId61" Type="http://schemas.openxmlformats.org/officeDocument/2006/relationships/hyperlink" Target="https://www.houseweb.com.tw/house/2581969" TargetMode="External"/><Relationship Id="rId62" Type="http://schemas.openxmlformats.org/officeDocument/2006/relationships/hyperlink" Target="https://www.houseweb.com.tw/house/2581969" TargetMode="External"/><Relationship Id="rId63" Type="http://schemas.openxmlformats.org/officeDocument/2006/relationships/hyperlink" Target="https://www.houseweb.com.tw/house/2504639" TargetMode="External"/><Relationship Id="rId64" Type="http://schemas.openxmlformats.org/officeDocument/2006/relationships/hyperlink" Target="https://www.houseweb.com.tw/house/2504639" TargetMode="External"/><Relationship Id="rId65" Type="http://schemas.openxmlformats.org/officeDocument/2006/relationships/hyperlink" Target="https://kevinashowtimes-web.github.io/showtime-office-dashboard/JE_J15_zhongding_22F.pdf" TargetMode="External"/><Relationship Id="rId66" Type="http://schemas.openxmlformats.org/officeDocument/2006/relationships/hyperlink" Target="https://kevinashowtimes-web.github.io/showtime-office-dashboard/JE_J15_zhongding_22F.pdf" TargetMode="External"/><Relationship Id="rId67" Type="http://schemas.openxmlformats.org/officeDocument/2006/relationships/hyperlink" Target="https://kevinashowtimes-web.github.io/showtime-office-dashboard/JE_list_J01-J18.pdf" TargetMode="External"/><Relationship Id="rId68" Type="http://schemas.openxmlformats.org/officeDocument/2006/relationships/hyperlink" Target="https://kevinashowtimes-web.github.io/showtime-office-dashboard/JE_list_J01-J18.pdf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www.houseweb.com.tw/house/2664165" TargetMode="External"/><Relationship Id="rId72" Type="http://schemas.openxmlformats.org/officeDocument/2006/relationships/hyperlink" Target="https://www.houseweb.com.tw/house/2664165" TargetMode="External"/><Relationship Id="rId73" Type="http://schemas.openxmlformats.org/officeDocument/2006/relationships/hyperlink" Target="https://buy.housefun.com.tw/buy/building/9278" TargetMode="External"/><Relationship Id="rId74" Type="http://schemas.openxmlformats.org/officeDocument/2006/relationships/hyperlink" Target="https://buy.housefun.com.tw/buy/building/9278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kevinashowtimes-web.github.io/showtime-office-dashboard/JE_list_J01-J18.pdf" TargetMode="External"/><Relationship Id="rId78" Type="http://schemas.openxmlformats.org/officeDocument/2006/relationships/hyperlink" Target="https://kevinashowtimes-web.github.io/showtime-office-dashboard/JE_list_J01-J18.pdf" TargetMode="External"/><Relationship Id="rId79" Type="http://schemas.openxmlformats.org/officeDocument/2006/relationships/hyperlink" Target="https://www.sinyi.com.tw/communitylist/communityinfo/0008197" TargetMode="External"/><Relationship Id="rId80" Type="http://schemas.openxmlformats.org/officeDocument/2006/relationships/hyperlink" Target="https://www.sinyi.com.tw/communitylist/communityinfo/0008197" TargetMode="External"/><Relationship Id="rId81" Type="http://schemas.openxmlformats.org/officeDocument/2006/relationships/hyperlink" Target="https://www.sinyi.com.tw/rent/houseno/C904707" TargetMode="External"/><Relationship Id="rId82" Type="http://schemas.openxmlformats.org/officeDocument/2006/relationships/hyperlink" Target="https://www.sinyi.com.tw/rent/houseno/C904707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list_J01-J18.pdf" TargetMode="External"/><Relationship Id="rId88" Type="http://schemas.openxmlformats.org/officeDocument/2006/relationships/hyperlink" Target="https://kevinashowtimes-web.github.io/showtime-office-dashboard/JE_list_J01-J18.pdf" TargetMode="External"/><Relationship Id="rId89" Type="http://schemas.openxmlformats.org/officeDocument/2006/relationships/hyperlink" Target="https://www.houseweb.com.tw/house/2457012" TargetMode="External"/><Relationship Id="rId90" Type="http://schemas.openxmlformats.org/officeDocument/2006/relationships/hyperlink" Target="https://www.houseweb.com.tw/house/2457012" TargetMode="External"/><Relationship Id="rId91" Type="http://schemas.openxmlformats.org/officeDocument/2006/relationships/hyperlink" Target="https://www.sinyi.com.tw/rent/houseno/C360646" TargetMode="External"/><Relationship Id="rId92" Type="http://schemas.openxmlformats.org/officeDocument/2006/relationships/hyperlink" Target="https://www.sinyi.com.tw/rent/houseno/C360646" TargetMode="External"/><Relationship Id="rId93" Type="http://schemas.openxmlformats.org/officeDocument/2006/relationships/hyperlink" Target="https://www.sinyi.com.tw/rent/houseno/C346398" TargetMode="External"/><Relationship Id="rId94" Type="http://schemas.openxmlformats.org/officeDocument/2006/relationships/hyperlink" Target="https://www.sinyi.com.tw/rent/houseno/C346398" TargetMode="External"/><Relationship Id="rId95" Type="http://schemas.openxmlformats.org/officeDocument/2006/relationships/hyperlink" Target="https://kevinashowtimes-web.github.io/showtime-office-dashboard/JE_list_J01-J18.pdf" TargetMode="External"/><Relationship Id="rId96" Type="http://schemas.openxmlformats.org/officeDocument/2006/relationships/hyperlink" Target="https://kevinashowtimes-web.github.io/showtime-office-dashboard/JE_list_J01-J18.pdf" TargetMode="External"/><Relationship Id="rId97" Type="http://schemas.openxmlformats.org/officeDocument/2006/relationships/hyperlink" Target="https://www.sinyi.com.tw/rent/houseno/C348029" TargetMode="External"/><Relationship Id="rId98" Type="http://schemas.openxmlformats.org/officeDocument/2006/relationships/hyperlink" Target="https://www.sinyi.com.tw/rent/houseno/C348029" TargetMode="External"/><Relationship Id="rId99" Type="http://schemas.openxmlformats.org/officeDocument/2006/relationships/hyperlink" Target="https://www.houseweb.com.tw/house/2650465" TargetMode="External"/><Relationship Id="rId100" Type="http://schemas.openxmlformats.org/officeDocument/2006/relationships/hyperlink" Target="https://www.houseweb.com.tw/house/2650465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355686" TargetMode="External"/><Relationship Id="rId2" Type="http://schemas.openxmlformats.org/officeDocument/2006/relationships/hyperlink" Target="https://www.sinyiglobal.com/rental/C355686" TargetMode="External"/><Relationship Id="rId3" Type="http://schemas.openxmlformats.org/officeDocument/2006/relationships/hyperlink" Target="https://www.sinyi.com.tw/rent/houseno/CZ05572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www.sinyi.com.tw/communitylist/communityinfo/0008197" TargetMode="External"/><Relationship Id="rId6" Type="http://schemas.openxmlformats.org/officeDocument/2006/relationships/hyperlink" Target="https://www.sinyi.com.tw/communitylist/communityinfo/0008197" TargetMode="External"/><Relationship Id="rId7" Type="http://schemas.openxmlformats.org/officeDocument/2006/relationships/hyperlink" Target="https://business.591.com.tw/rent/22034644" TargetMode="External"/><Relationship Id="rId8" Type="http://schemas.openxmlformats.org/officeDocument/2006/relationships/hyperlink" Target="https://business.591.com.tw/rent/22034644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www.houseweb.com.tw/house/2567826" TargetMode="External"/><Relationship Id="rId12" Type="http://schemas.openxmlformats.org/officeDocument/2006/relationships/hyperlink" Target="https://www.houseweb.com.tw/house/2567826" TargetMode="External"/><Relationship Id="rId13" Type="http://schemas.openxmlformats.org/officeDocument/2006/relationships/hyperlink" Target="https://www.houseweb.com.tw/house/2611327" TargetMode="External"/><Relationship Id="rId14" Type="http://schemas.openxmlformats.org/officeDocument/2006/relationships/hyperlink" Target="https://www.houseweb.com.tw/house/2611327" TargetMode="External"/><Relationship Id="rId15" Type="http://schemas.openxmlformats.org/officeDocument/2006/relationships/hyperlink" Target="https://business.591.com.tw/rent/21856432" TargetMode="External"/><Relationship Id="rId16" Type="http://schemas.openxmlformats.org/officeDocument/2006/relationships/hyperlink" Target="https://business.591.com.tw/rent/21856432" TargetMode="External"/><Relationship Id="rId17" Type="http://schemas.openxmlformats.org/officeDocument/2006/relationships/hyperlink" Target="https://kevinashowtimes-web.github.io/showtime-office-dashboard/JE_J07_honglin_10F-2.pdf" TargetMode="External"/><Relationship Id="rId18" Type="http://schemas.openxmlformats.org/officeDocument/2006/relationships/hyperlink" Target="https://kevinashowtimes-web.github.io/showtime-office-dashboard/JE_J07_honglin_10F-2.pdf" TargetMode="External"/><Relationship Id="rId19" Type="http://schemas.openxmlformats.org/officeDocument/2006/relationships/hyperlink" Target="https://www.houseweb.com.tw/house/2581969" TargetMode="External"/><Relationship Id="rId20" Type="http://schemas.openxmlformats.org/officeDocument/2006/relationships/hyperlink" Target="https://www.houseweb.com.tw/house/2581969" TargetMode="External"/><Relationship Id="rId21" Type="http://schemas.openxmlformats.org/officeDocument/2006/relationships/hyperlink" Target="https://buy.housefun.com.tw/buy/building/28758" TargetMode="External"/><Relationship Id="rId22" Type="http://schemas.openxmlformats.org/officeDocument/2006/relationships/hyperlink" Target="https://buy.housefun.com.tw/buy/building/28758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_list_J01-J18.pdf" TargetMode="External"/><Relationship Id="rId2" Type="http://schemas.openxmlformats.org/officeDocument/2006/relationships/hyperlink" Target="https://kevinashowtimes-web.github.io/showtime-office-dashboard/JE_list_J01-J18.pdf" TargetMode="External"/><Relationship Id="rId3" Type="http://schemas.openxmlformats.org/officeDocument/2006/relationships/hyperlink" Target="https://kevinashowtimes-web.github.io/showtime-office-dashboard/JE_list_J01-J18.pdf" TargetMode="External"/><Relationship Id="rId4" Type="http://schemas.openxmlformats.org/officeDocument/2006/relationships/hyperlink" Target="https://kevinashowtimes-web.github.io/showtime-office-dashboard/JE_list_J01-J18.pdf" TargetMode="External"/><Relationship Id="rId5" Type="http://schemas.openxmlformats.org/officeDocument/2006/relationships/hyperlink" Target="https://kevinashowtimes-web.github.io/showtime-office-dashboard/JE_list_J01-J18.pdf" TargetMode="External"/><Relationship Id="rId6" Type="http://schemas.openxmlformats.org/officeDocument/2006/relationships/hyperlink" Target="https://kevinashowtimes-web.github.io/showtime-office-dashboard/JE_list_J01-J18.pdf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kevinashowtimes-web.github.io/showtime-office-dashboard/JE_list_J01-J18.pdf" TargetMode="External"/><Relationship Id="rId12" Type="http://schemas.openxmlformats.org/officeDocument/2006/relationships/hyperlink" Target="https://kevinashowtimes-web.github.io/showtime-office-dashboard/JE_list_J01-J18.pdf" TargetMode="External"/><Relationship Id="rId13" Type="http://schemas.openxmlformats.org/officeDocument/2006/relationships/hyperlink" Target="https://kevinashowtimes-web.github.io/showtime-office-dashboard/JE_J07_honglin_10F-2.pdf" TargetMode="External"/><Relationship Id="rId14" Type="http://schemas.openxmlformats.org/officeDocument/2006/relationships/hyperlink" Target="https://kevinashowtimes-web.github.io/showtime-office-dashboard/JE_J07_honglin_10F-2.pdf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JE_list_J01-J18.pdf" TargetMode="External"/><Relationship Id="rId20" Type="http://schemas.openxmlformats.org/officeDocument/2006/relationships/hyperlink" Target="https://kevinashowtimes-web.github.io/showtime-office-dashboard/JE_list_J01-J18.pdf" TargetMode="External"/><Relationship Id="rId21" Type="http://schemas.openxmlformats.org/officeDocument/2006/relationships/hyperlink" Target="https://kevinashowtimes-web.github.io/showtime-office-dashboard/JE_list_J01-J18.pdf" TargetMode="External"/><Relationship Id="rId22" Type="http://schemas.openxmlformats.org/officeDocument/2006/relationships/hyperlink" Target="https://kevinashowtimes-web.github.io/showtime-office-dashboard/JE_list_J01-J18.pdf" TargetMode="External"/><Relationship Id="rId23" Type="http://schemas.openxmlformats.org/officeDocument/2006/relationships/hyperlink" Target="https://kevinashowtimes-web.github.io/showtime-office-dashboard/JE_J12_zhongding_2F.pdf" TargetMode="External"/><Relationship Id="rId24" Type="http://schemas.openxmlformats.org/officeDocument/2006/relationships/hyperlink" Target="https://kevinashowtimes-web.github.io/showtime-office-dashboard/JE_J12_zhongding_2F.pdf" TargetMode="External"/><Relationship Id="rId25" Type="http://schemas.openxmlformats.org/officeDocument/2006/relationships/hyperlink" Target="https://kevinashowtimes-web.github.io/showtime-office-dashboard/JE_list_J01-J18.pdf" TargetMode="External"/><Relationship Id="rId26" Type="http://schemas.openxmlformats.org/officeDocument/2006/relationships/hyperlink" Target="https://kevinashowtimes-web.github.io/showtime-office-dashboard/JE_list_J01-J18.pdf" TargetMode="External"/><Relationship Id="rId27" Type="http://schemas.openxmlformats.org/officeDocument/2006/relationships/hyperlink" Target="https://kevinashowtimes-web.github.io/showtime-office-dashboard/JE_list_J01-J18.pdf" TargetMode="External"/><Relationship Id="rId28" Type="http://schemas.openxmlformats.org/officeDocument/2006/relationships/hyperlink" Target="https://kevinashowtimes-web.github.io/showtime-office-dashboard/JE_list_J01-J18.pdf" TargetMode="External"/><Relationship Id="rId29" Type="http://schemas.openxmlformats.org/officeDocument/2006/relationships/hyperlink" Target="https://kevinashowtimes-web.github.io/showtime-office-dashboard/JE_J15_zhongding_22F.pdf" TargetMode="External"/><Relationship Id="rId30" Type="http://schemas.openxmlformats.org/officeDocument/2006/relationships/hyperlink" Target="https://kevinashowtimes-web.github.io/showtime-office-dashboard/JE_J15_zhongding_22F.pdf" TargetMode="External"/><Relationship Id="rId31" Type="http://schemas.openxmlformats.org/officeDocument/2006/relationships/hyperlink" Target="https://kevinashowtimes-web.github.io/showtime-office-dashboard/JE_J16_zhongying_bade_2F.pdf" TargetMode="External"/><Relationship Id="rId32" Type="http://schemas.openxmlformats.org/officeDocument/2006/relationships/hyperlink" Target="https://kevinashowtimes-web.github.io/showtime-office-dashboard/JE_J16_zhongying_bade_2F.pdf" TargetMode="External"/><Relationship Id="rId33" Type="http://schemas.openxmlformats.org/officeDocument/2006/relationships/hyperlink" Target="https://kevinashowtimes-web.github.io/showtime-office-dashboard/JE_list_J01-J18.pdf" TargetMode="External"/><Relationship Id="rId34" Type="http://schemas.openxmlformats.org/officeDocument/2006/relationships/hyperlink" Target="https://kevinashowtimes-web.github.io/showtime-office-dashboard/JE_list_J01-J18.pdf" TargetMode="External"/><Relationship Id="rId35" Type="http://schemas.openxmlformats.org/officeDocument/2006/relationships/hyperlink" Target="https://kevinashowtimes-web.github.io/showtime-office-dashboard/JE_list_J01-J18.pdf" TargetMode="External"/><Relationship Id="rId36" Type="http://schemas.openxmlformats.org/officeDocument/2006/relationships/hyperlink" Target="https://kevinashowtimes-web.github.io/showtime-office-dashboard/JE_list_J01-J18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houseweb.com.tw/house/1506073" TargetMode="External"/><Relationship Id="rId2" Type="http://schemas.openxmlformats.org/officeDocument/2006/relationships/hyperlink" Target="https://www.houseweb.com.tw/house/1506073" TargetMode="External"/><Relationship Id="rId3" Type="http://schemas.openxmlformats.org/officeDocument/2006/relationships/hyperlink" Target="https://www.houseweb.com.tw/house/2567826" TargetMode="External"/><Relationship Id="rId4" Type="http://schemas.openxmlformats.org/officeDocument/2006/relationships/hyperlink" Target="https://www.houseweb.com.tw/house/2567826" TargetMode="External"/><Relationship Id="rId5" Type="http://schemas.openxmlformats.org/officeDocument/2006/relationships/hyperlink" Target="https://www.houseweb.com.tw/house/2581969" TargetMode="External"/><Relationship Id="rId6" Type="http://schemas.openxmlformats.org/officeDocument/2006/relationships/hyperlink" Target="https://www.houseweb.com.tw/house/2581969" TargetMode="External"/><Relationship Id="rId7" Type="http://schemas.openxmlformats.org/officeDocument/2006/relationships/hyperlink" Target="https://www.houseweb.com.tw/house/2650465" TargetMode="External"/><Relationship Id="rId8" Type="http://schemas.openxmlformats.org/officeDocument/2006/relationships/hyperlink" Target="https://www.houseweb.com.tw/house/2650465" TargetMode="External"/><Relationship Id="rId9" Type="http://schemas.openxmlformats.org/officeDocument/2006/relationships/hyperlink" Target="https://www.houseweb.com.tw/house/2504639" TargetMode="External"/><Relationship Id="rId10" Type="http://schemas.openxmlformats.org/officeDocument/2006/relationships/hyperlink" Target="https://www.houseweb.com.tw/house/2504639" TargetMode="External"/><Relationship Id="rId11" Type="http://schemas.openxmlformats.org/officeDocument/2006/relationships/hyperlink" Target="https://www.houseweb.com.tw/house/2457012" TargetMode="External"/><Relationship Id="rId12" Type="http://schemas.openxmlformats.org/officeDocument/2006/relationships/hyperlink" Target="https://www.houseweb.com.tw/house/2457012" TargetMode="External"/><Relationship Id="rId13" Type="http://schemas.openxmlformats.org/officeDocument/2006/relationships/hyperlink" Target="https://www.houseweb.com.tw/house/2664165" TargetMode="External"/><Relationship Id="rId14" Type="http://schemas.openxmlformats.org/officeDocument/2006/relationships/hyperlink" Target="https://www.houseweb.com.tw/house/2664165" TargetMode="External"/><Relationship Id="rId15" Type="http://schemas.openxmlformats.org/officeDocument/2006/relationships/hyperlink" Target="https://www.houseweb.com.tw/house/2611327" TargetMode="External"/><Relationship Id="rId16" Type="http://schemas.openxmlformats.org/officeDocument/2006/relationships/hyperlink" Target="https://www.houseweb.com.tw/house/2611327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houseweb.com.tw/house/2653888" TargetMode="External"/><Relationship Id="rId19" Type="http://schemas.openxmlformats.org/officeDocument/2006/relationships/hyperlink" Target="https://www.houseweb.com.tw/house/2653863" TargetMode="External"/><Relationship Id="rId20" Type="http://schemas.openxmlformats.org/officeDocument/2006/relationships/hyperlink" Target="https://www.houseweb.com.tw/house/2653863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.com.tw/rent/houseno/CZ05572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buy.housefun.com.tw/buy/building/9278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www.sinyi.com.tw/communitylist/communityinfo/0008197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kevinashowtimes-web.github.io/showtime-office-dashboard/?case=f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buy.housefun.com.tw/buy/building/28758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www.houseweb.com.tw/house/265388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sinyiglobal.com/rental/C355686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rent.yungching.com.tw/region/house/2358272?pc=0916263633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73308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www.sinyi.com.tw/rent/houseno/CZ05326" TargetMode="External"/><Relationship Id="rId24" Type="http://schemas.openxmlformats.org/officeDocument/2006/relationships/hyperlink" Target="https://www.sinyi.com.tw/rent/houseno/CZ05326" TargetMode="External"/><Relationship Id="rId25" Type="http://schemas.openxmlformats.org/officeDocument/2006/relationships/hyperlink" Target="https://www.sinyi.com.tw/rent/houseno/C328671" TargetMode="External"/><Relationship Id="rId26" Type="http://schemas.openxmlformats.org/officeDocument/2006/relationships/hyperlink" Target="https://www.sinyi.com.tw/rent/houseno/C328671" TargetMode="External"/><Relationship Id="rId27" Type="http://schemas.openxmlformats.org/officeDocument/2006/relationships/hyperlink" Target="https://www.sinyi.com.tw/rent/houseno/C905199" TargetMode="External"/><Relationship Id="rId28" Type="http://schemas.openxmlformats.org/officeDocument/2006/relationships/hyperlink" Target="https://www.sinyi.com.tw/rent/houseno/C905199" TargetMode="External"/><Relationship Id="rId29" Type="http://schemas.openxmlformats.org/officeDocument/2006/relationships/hyperlink" Target="https://www.sinyi.com.tw/rent/houseno/CZ05587" TargetMode="External"/><Relationship Id="rId30" Type="http://schemas.openxmlformats.org/officeDocument/2006/relationships/hyperlink" Target="https://www.sinyi.com.tw/rent/houseno/CZ05587" TargetMode="External"/><Relationship Id="rId31" Type="http://schemas.openxmlformats.org/officeDocument/2006/relationships/hyperlink" Target="https://www.sinyi.com.tw/rent/houseno/CZ03701" TargetMode="External"/><Relationship Id="rId32" Type="http://schemas.openxmlformats.org/officeDocument/2006/relationships/hyperlink" Target="https://www.sinyi.com.tw/rent/houseno/CZ03701" TargetMode="External"/><Relationship Id="rId33" Type="http://schemas.openxmlformats.org/officeDocument/2006/relationships/hyperlink" Target="https://www.sinyi.com.tw/rent/houseno/C346398" TargetMode="External"/><Relationship Id="rId34" Type="http://schemas.openxmlformats.org/officeDocument/2006/relationships/hyperlink" Target="https://www.sinyi.com.tw/rent/houseno/C346398" TargetMode="External"/><Relationship Id="rId35" Type="http://schemas.openxmlformats.org/officeDocument/2006/relationships/hyperlink" Target="https://www.sinyi.com.tw/rent/houseno/CZ05585" TargetMode="External"/><Relationship Id="rId36" Type="http://schemas.openxmlformats.org/officeDocument/2006/relationships/hyperlink" Target="https://www.sinyi.com.tw/rent/houseno/CZ05585" TargetMode="External"/><Relationship Id="rId37" Type="http://schemas.openxmlformats.org/officeDocument/2006/relationships/hyperlink" Target="https://www.sinyi.com.tw/rent/houseno/C904707" TargetMode="External"/><Relationship Id="rId38" Type="http://schemas.openxmlformats.org/officeDocument/2006/relationships/hyperlink" Target="https://www.sinyi.com.tw/rent/houseno/C904707" TargetMode="External"/><Relationship Id="rId39" Type="http://schemas.openxmlformats.org/officeDocument/2006/relationships/hyperlink" Target="https://www.sinyi.com.tw/rent/houseno/C360646" TargetMode="External"/><Relationship Id="rId40" Type="http://schemas.openxmlformats.org/officeDocument/2006/relationships/hyperlink" Target="https://www.sinyi.com.tw/rent/houseno/C360646" TargetMode="External"/><Relationship Id="rId41" Type="http://schemas.openxmlformats.org/officeDocument/2006/relationships/hyperlink" Target="https://www.sinyi.com.tw/rent/houseno/C348029" TargetMode="External"/><Relationship Id="rId42" Type="http://schemas.openxmlformats.org/officeDocument/2006/relationships/hyperlink" Target="https://www.sinyi.com.tw/rent/houseno/C348029" TargetMode="External"/><Relationship Id="rId43" Type="http://schemas.openxmlformats.org/officeDocument/2006/relationships/hyperlink" Target="https://www.sinyi.com.tw/rent/houseno/C360351" TargetMode="External"/><Relationship Id="rId44" Type="http://schemas.openxmlformats.org/officeDocument/2006/relationships/hyperlink" Target="https://www.sinyi.com.tw/rent/houseno/C360351" TargetMode="External"/><Relationship Id="rId45" Type="http://schemas.openxmlformats.org/officeDocument/2006/relationships/hyperlink" Target="https://www.houseweb.com.tw/house/1506073" TargetMode="External"/><Relationship Id="rId46" Type="http://schemas.openxmlformats.org/officeDocument/2006/relationships/hyperlink" Target="https://www.houseweb.com.tw/house/1506073" TargetMode="External"/><Relationship Id="rId47" Type="http://schemas.openxmlformats.org/officeDocument/2006/relationships/hyperlink" Target="https://www.houseweb.com.tw/house/2567826" TargetMode="External"/><Relationship Id="rId48" Type="http://schemas.openxmlformats.org/officeDocument/2006/relationships/hyperlink" Target="https://www.houseweb.com.tw/house/2567826" TargetMode="External"/><Relationship Id="rId49" Type="http://schemas.openxmlformats.org/officeDocument/2006/relationships/hyperlink" Target="https://www.houseweb.com.tw/house/2581969" TargetMode="External"/><Relationship Id="rId50" Type="http://schemas.openxmlformats.org/officeDocument/2006/relationships/hyperlink" Target="https://www.houseweb.com.tw/house/2581969" TargetMode="External"/><Relationship Id="rId51" Type="http://schemas.openxmlformats.org/officeDocument/2006/relationships/hyperlink" Target="https://www.houseweb.com.tw/house/2650465" TargetMode="External"/><Relationship Id="rId52" Type="http://schemas.openxmlformats.org/officeDocument/2006/relationships/hyperlink" Target="https://www.houseweb.com.tw/house/2650465" TargetMode="External"/><Relationship Id="rId53" Type="http://schemas.openxmlformats.org/officeDocument/2006/relationships/hyperlink" Target="https://www.houseweb.com.tw/house/2504639" TargetMode="External"/><Relationship Id="rId54" Type="http://schemas.openxmlformats.org/officeDocument/2006/relationships/hyperlink" Target="https://www.houseweb.com.tw/house/2504639" TargetMode="External"/><Relationship Id="rId55" Type="http://schemas.openxmlformats.org/officeDocument/2006/relationships/hyperlink" Target="https://www.houseweb.com.tw/house/2457012" TargetMode="External"/><Relationship Id="rId56" Type="http://schemas.openxmlformats.org/officeDocument/2006/relationships/hyperlink" Target="https://www.houseweb.com.tw/house/2457012" TargetMode="External"/><Relationship Id="rId57" Type="http://schemas.openxmlformats.org/officeDocument/2006/relationships/hyperlink" Target="https://www.houseweb.com.tw/house/2664165" TargetMode="External"/><Relationship Id="rId58" Type="http://schemas.openxmlformats.org/officeDocument/2006/relationships/hyperlink" Target="https://www.houseweb.com.tw/house/2664165" TargetMode="External"/><Relationship Id="rId59" Type="http://schemas.openxmlformats.org/officeDocument/2006/relationships/hyperlink" Target="https://www.houseweb.com.tw/house/2611327" TargetMode="External"/><Relationship Id="rId60" Type="http://schemas.openxmlformats.org/officeDocument/2006/relationships/hyperlink" Target="https://www.houseweb.com.tw/house/2611327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houseweb.com.tw/house/2653888" TargetMode="External"/><Relationship Id="rId63" Type="http://schemas.openxmlformats.org/officeDocument/2006/relationships/hyperlink" Target="https://www.houseweb.com.tw/house/2653863" TargetMode="External"/><Relationship Id="rId64" Type="http://schemas.openxmlformats.org/officeDocument/2006/relationships/hyperlink" Target="https://www.houseweb.com.tw/house/2653863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list_J01-J18.pdf" TargetMode="External"/><Relationship Id="rId68" Type="http://schemas.openxmlformats.org/officeDocument/2006/relationships/hyperlink" Target="https://kevinashowtimes-web.github.io/showtime-office-dashboard/JE_list_J01-J18.pdf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kevinashowtimes-web.github.io/showtime-office-dashboard/JE_list_J01-J18.pdf" TargetMode="External"/><Relationship Id="rId72" Type="http://schemas.openxmlformats.org/officeDocument/2006/relationships/hyperlink" Target="https://kevinashowtimes-web.github.io/showtime-office-dashboard/JE_list_J01-J18.pdf" TargetMode="External"/><Relationship Id="rId73" Type="http://schemas.openxmlformats.org/officeDocument/2006/relationships/hyperlink" Target="https://kevinashowtimes-web.github.io/showtime-office-dashboard/JE_list_J01-J18.pdf" TargetMode="External"/><Relationship Id="rId74" Type="http://schemas.openxmlformats.org/officeDocument/2006/relationships/hyperlink" Target="https://kevinashowtimes-web.github.io/showtime-office-dashboard/JE_list_J01-J18.pdf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kevinashowtimes-web.github.io/showtime-office-dashboard/JE_J07_honglin_10F-2.pdf" TargetMode="External"/><Relationship Id="rId78" Type="http://schemas.openxmlformats.org/officeDocument/2006/relationships/hyperlink" Target="https://kevinashowtimes-web.github.io/showtime-office-dashboard/JE_J07_honglin_10F-2.pdf" TargetMode="External"/><Relationship Id="rId79" Type="http://schemas.openxmlformats.org/officeDocument/2006/relationships/hyperlink" Target="https://kevinashowtimes-web.github.io/showtime-office-dashboard/JE_list_J01-J18.pdf" TargetMode="External"/><Relationship Id="rId80" Type="http://schemas.openxmlformats.org/officeDocument/2006/relationships/hyperlink" Target="https://kevinashowtimes-web.github.io/showtime-office-dashboard/JE_list_J01-J18.pdf" TargetMode="External"/><Relationship Id="rId81" Type="http://schemas.openxmlformats.org/officeDocument/2006/relationships/hyperlink" Target="https://kevinashowtimes-web.github.io/showtime-office-dashboard/JE_list_J01-J18.pdf" TargetMode="External"/><Relationship Id="rId82" Type="http://schemas.openxmlformats.org/officeDocument/2006/relationships/hyperlink" Target="https://kevinashowtimes-web.github.io/showtime-office-dashboard/JE_list_J01-J18.pdf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J12_zhongding_2F.pdf" TargetMode="External"/><Relationship Id="rId88" Type="http://schemas.openxmlformats.org/officeDocument/2006/relationships/hyperlink" Target="https://kevinashowtimes-web.github.io/showtime-office-dashboard/JE_J12_zhongding_2F.pdf" TargetMode="External"/><Relationship Id="rId89" Type="http://schemas.openxmlformats.org/officeDocument/2006/relationships/hyperlink" Target="https://kevinashowtimes-web.github.io/showtime-office-dashboard/JE_list_J01-J18.pdf" TargetMode="External"/><Relationship Id="rId90" Type="http://schemas.openxmlformats.org/officeDocument/2006/relationships/hyperlink" Target="https://kevinashowtimes-web.github.io/showtime-office-dashboard/JE_list_J01-J18.pdf" TargetMode="External"/><Relationship Id="rId91" Type="http://schemas.openxmlformats.org/officeDocument/2006/relationships/hyperlink" Target="https://kevinashowtimes-web.github.io/showtime-office-dashboard/JE_list_J01-J18.pdf" TargetMode="External"/><Relationship Id="rId92" Type="http://schemas.openxmlformats.org/officeDocument/2006/relationships/hyperlink" Target="https://kevinashowtimes-web.github.io/showtime-office-dashboard/JE_list_J01-J18.pdf" TargetMode="External"/><Relationship Id="rId93" Type="http://schemas.openxmlformats.org/officeDocument/2006/relationships/hyperlink" Target="https://kevinashowtimes-web.github.io/showtime-office-dashboard/JE_J15_zhongding_22F.pdf" TargetMode="External"/><Relationship Id="rId94" Type="http://schemas.openxmlformats.org/officeDocument/2006/relationships/hyperlink" Target="https://kevinashowtimes-web.github.io/showtime-office-dashboard/JE_J15_zhongding_22F.pdf" TargetMode="External"/><Relationship Id="rId95" Type="http://schemas.openxmlformats.org/officeDocument/2006/relationships/hyperlink" Target="https://kevinashowtimes-web.github.io/showtime-office-dashboard/JE_J16_zhongying_bade_2F.pdf" TargetMode="External"/><Relationship Id="rId96" Type="http://schemas.openxmlformats.org/officeDocument/2006/relationships/hyperlink" Target="https://kevinashowtimes-web.github.io/showtime-office-dashboard/JE_J16_zhongying_bade_2F.pdf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kevinashowtimes-web.github.io/showtime-office-dashboard/JE_list_J01-J18.pdf" TargetMode="External"/><Relationship Id="rId100" Type="http://schemas.openxmlformats.org/officeDocument/2006/relationships/hyperlink" Target="https://kevinashowtimes-web.github.io/showtime-office-dashboard/JE_list_J01-J18.pdf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.com.tw/rent/houseno/CZ05290" TargetMode="External"/><Relationship Id="rId4" Type="http://schemas.openxmlformats.org/officeDocument/2006/relationships/hyperlink" Target="https://www.sinyi.com.tw/rent/houseno/CZ05290" TargetMode="External"/><Relationship Id="rId5" Type="http://schemas.openxmlformats.org/officeDocument/2006/relationships/hyperlink" Target="https://www.sinyi.com.tw/communitylist/communityinfo/0008194" TargetMode="External"/><Relationship Id="rId6" Type="http://schemas.openxmlformats.org/officeDocument/2006/relationships/hyperlink" Target="https://www.sinyi.com.tw/communitylist/communityinfo/0008194" TargetMode="External"/><Relationship Id="rId7" Type="http://schemas.openxmlformats.org/officeDocument/2006/relationships/hyperlink" Target="https://www.aire.com.tw/zlb-106-2604340" TargetMode="External"/><Relationship Id="rId8" Type="http://schemas.openxmlformats.org/officeDocument/2006/relationships/hyperlink" Target="https://www.aire.com.tw/zlb-106-2604340" TargetMode="External"/><Relationship Id="rId9" Type="http://schemas.openxmlformats.org/officeDocument/2006/relationships/hyperlink" Target="https://buy.housefun.com.tw/buy/building/11014" TargetMode="External"/><Relationship Id="rId10" Type="http://schemas.openxmlformats.org/officeDocument/2006/relationships/hyperlink" Target="https://buy.housefun.com.tw/buy/building/11014" TargetMode="External"/><Relationship Id="rId11" Type="http://schemas.openxmlformats.org/officeDocument/2006/relationships/hyperlink" Target="https://www.aire.com.tw/zlb-106-2604327" TargetMode="External"/><Relationship Id="rId12" Type="http://schemas.openxmlformats.org/officeDocument/2006/relationships/hyperlink" Target="https://www.aire.com.tw/zlb-106-2604327" TargetMode="External"/><Relationship Id="rId13" Type="http://schemas.openxmlformats.org/officeDocument/2006/relationships/hyperlink" Target="https://www.sinyi.com.tw/communitylist/communityinfo/0008189" TargetMode="External"/><Relationship Id="rId14" Type="http://schemas.openxmlformats.org/officeDocument/2006/relationships/hyperlink" Target="https://www.sinyi.com.tw/communitylist/communityinfo/0008189" TargetMode="External"/><Relationship Id="rId15" Type="http://schemas.openxmlformats.org/officeDocument/2006/relationships/hyperlink" Target="https://kevinashowtimes-web.github.io/showtime-office-dashboard/JE_J12_zhongding_2F.pdf" TargetMode="External"/><Relationship Id="rId16" Type="http://schemas.openxmlformats.org/officeDocument/2006/relationships/hyperlink" Target="https://kevinashowtimes-web.github.io/showtime-office-dashboard/JE_J12_zhongding_2F.pdf" TargetMode="External"/><Relationship Id="rId17" Type="http://schemas.openxmlformats.org/officeDocument/2006/relationships/hyperlink" Target="https://buy.housefun.com.tw/buy/building/9278" TargetMode="External"/><Relationship Id="rId18" Type="http://schemas.openxmlformats.org/officeDocument/2006/relationships/hyperlink" Target="https://buy.housefun.com.tw/buy/building/9278" TargetMode="External"/><Relationship Id="rId19" Type="http://schemas.openxmlformats.org/officeDocument/2006/relationships/hyperlink" Target="https://www.sinyi.com.tw/communitylist/communityinfo/0003380" TargetMode="External"/><Relationship Id="rId20" Type="http://schemas.openxmlformats.org/officeDocument/2006/relationships/hyperlink" Target="https://www.sinyi.com.tw/communitylist/communityinfo/0003380" TargetMode="External"/><Relationship Id="rId21" Type="http://schemas.openxmlformats.org/officeDocument/2006/relationships/hyperlink" Target="https://www.leju.com.tw/community/Lffc1292f3182" TargetMode="External"/><Relationship Id="rId22" Type="http://schemas.openxmlformats.org/officeDocument/2006/relationships/hyperlink" Target="https://www.leju.com.tw/community/Lffc1292f3182" TargetMode="External"/><Relationship Id="rId23" Type="http://schemas.openxmlformats.org/officeDocument/2006/relationships/hyperlink" Target="https://business.591.com.tw/rent/21856432" TargetMode="External"/><Relationship Id="rId24" Type="http://schemas.openxmlformats.org/officeDocument/2006/relationships/hyperlink" Target="https://business.591.com.tw/rent/21856432" TargetMode="External"/><Relationship Id="rId25" Type="http://schemas.openxmlformats.org/officeDocument/2006/relationships/hyperlink" Target="https://www.aire.com.tw/zlb-105-2604215" TargetMode="External"/><Relationship Id="rId26" Type="http://schemas.openxmlformats.org/officeDocument/2006/relationships/hyperlink" Target="https://www.aire.com.tw/zlb-105-2604215" TargetMode="External"/><Relationship Id="rId27" Type="http://schemas.openxmlformats.org/officeDocument/2006/relationships/hyperlink" Target="https://buy.housefun.com.tw/buy/building/40468" TargetMode="External"/><Relationship Id="rId28" Type="http://schemas.openxmlformats.org/officeDocument/2006/relationships/hyperlink" Target="https://buy.housefun.com.tw/buy/building/40468" TargetMode="External"/><Relationship Id="rId29" Type="http://schemas.openxmlformats.org/officeDocument/2006/relationships/hyperlink" Target="https://www.sinyi.com.tw/communitylist/communityinfo/0008197" TargetMode="External"/><Relationship Id="rId30" Type="http://schemas.openxmlformats.org/officeDocument/2006/relationships/hyperlink" Target="https://www.sinyi.com.tw/communitylist/communityinfo/0008197" TargetMode="External"/><Relationship Id="rId31" Type="http://schemas.openxmlformats.org/officeDocument/2006/relationships/hyperlink" Target="https://kevinashowtimes-web.github.io/showtime-office-dashboard/?case=f" TargetMode="External"/><Relationship Id="rId32" Type="http://schemas.openxmlformats.org/officeDocument/2006/relationships/hyperlink" Target="https://kevinashowtimes-web.github.io/showtime-office-dashboard/?case=f" TargetMode="External"/><Relationship Id="rId33" Type="http://schemas.openxmlformats.org/officeDocument/2006/relationships/hyperlink" Target="https://buy.housefun.com.tw/buy/building/12401" TargetMode="External"/><Relationship Id="rId34" Type="http://schemas.openxmlformats.org/officeDocument/2006/relationships/hyperlink" Target="https://buy.housefun.com.tw/buy/building/12401" TargetMode="External"/><Relationship Id="rId35" Type="http://schemas.openxmlformats.org/officeDocument/2006/relationships/hyperlink" Target="https://www.aire.com.tw/en/zlb-105-2604194" TargetMode="External"/><Relationship Id="rId36" Type="http://schemas.openxmlformats.org/officeDocument/2006/relationships/hyperlink" Target="https://www.aire.com.tw/en/zlb-105-2604194" TargetMode="External"/><Relationship Id="rId37" Type="http://schemas.openxmlformats.org/officeDocument/2006/relationships/hyperlink" Target="https://market.591.com.tw/5572/rent" TargetMode="External"/><Relationship Id="rId38" Type="http://schemas.openxmlformats.org/officeDocument/2006/relationships/hyperlink" Target="https://market.591.com.tw/5572/rent" TargetMode="External"/><Relationship Id="rId39" Type="http://schemas.openxmlformats.org/officeDocument/2006/relationships/hyperlink" Target="https://buy.housefun.com.tw/buy/building/28758" TargetMode="External"/><Relationship Id="rId40" Type="http://schemas.openxmlformats.org/officeDocument/2006/relationships/hyperlink" Target="https://buy.housefun.com.tw/buy/building/28758" TargetMode="External"/><Relationship Id="rId41" Type="http://schemas.openxmlformats.org/officeDocument/2006/relationships/hyperlink" Target="https://www.sinyi.com.tw/rent/houseno/C351775" TargetMode="External"/><Relationship Id="rId42" Type="http://schemas.openxmlformats.org/officeDocument/2006/relationships/hyperlink" Target="https://www.sinyi.com.tw/rent/houseno/C351775" TargetMode="External"/><Relationship Id="rId43" Type="http://schemas.openxmlformats.org/officeDocument/2006/relationships/hyperlink" Target="https://business.591.com.tw/rent/21646876" TargetMode="External"/><Relationship Id="rId44" Type="http://schemas.openxmlformats.org/officeDocument/2006/relationships/hyperlink" Target="https://business.591.com.tw/rent/21646876" TargetMode="External"/><Relationship Id="rId45" Type="http://schemas.openxmlformats.org/officeDocument/2006/relationships/hyperlink" Target="https://business.591.com.tw/rent/21161432" TargetMode="External"/><Relationship Id="rId46" Type="http://schemas.openxmlformats.org/officeDocument/2006/relationships/hyperlink" Target="https://business.591.com.tw/rent/21161432" TargetMode="External"/><Relationship Id="rId47" Type="http://schemas.openxmlformats.org/officeDocument/2006/relationships/hyperlink" Target="https://business.591.com.tw/rent/22030027" TargetMode="External"/><Relationship Id="rId48" Type="http://schemas.openxmlformats.org/officeDocument/2006/relationships/hyperlink" Target="https://business.591.com.tw/rent/22030027" TargetMode="External"/><Relationship Id="rId49" Type="http://schemas.openxmlformats.org/officeDocument/2006/relationships/hyperlink" Target="https://www.houseweb.com.tw/house/2653888" TargetMode="External"/><Relationship Id="rId50" Type="http://schemas.openxmlformats.org/officeDocument/2006/relationships/hyperlink" Target="https://www.houseweb.com.tw/house/2653888" TargetMode="External"/><Relationship Id="rId51" Type="http://schemas.openxmlformats.org/officeDocument/2006/relationships/hyperlink" Target="https://www.houseweb.com.tw/house/2567826" TargetMode="External"/><Relationship Id="rId52" Type="http://schemas.openxmlformats.org/officeDocument/2006/relationships/hyperlink" Target="https://www.houseweb.com.tw/house/2567826" TargetMode="External"/><Relationship Id="rId53" Type="http://schemas.openxmlformats.org/officeDocument/2006/relationships/hyperlink" Target="https://www.houseweb.com.tw/house/2611327" TargetMode="External"/><Relationship Id="rId54" Type="http://schemas.openxmlformats.org/officeDocument/2006/relationships/hyperlink" Target="https://www.houseweb.com.tw/house/2611327" TargetMode="External"/><Relationship Id="rId55" Type="http://schemas.openxmlformats.org/officeDocument/2006/relationships/hyperlink" Target="https://www.cathay-rem.com.tw/property/detail/743zt8ammFQReRwF" TargetMode="External"/><Relationship Id="rId56" Type="http://schemas.openxmlformats.org/officeDocument/2006/relationships/hyperlink" Target="https://www.cathay-rem.com.tw/property/detail/743zt8ammFQReRwF" TargetMode="External"/><Relationship Id="rId57" Type="http://schemas.openxmlformats.org/officeDocument/2006/relationships/hyperlink" Target="https://www.sinyi.com.tw/rent/houseno/CZ05572" TargetMode="External"/><Relationship Id="rId58" Type="http://schemas.openxmlformats.org/officeDocument/2006/relationships/hyperlink" Target="https://www.sinyi.com.tw/rent/houseno/CZ05572" TargetMode="External"/><Relationship Id="rId59" Type="http://schemas.openxmlformats.org/officeDocument/2006/relationships/hyperlink" Target="https://www.sinyi.com.tw/rent/houseno/CZ05228" TargetMode="External"/><Relationship Id="rId60" Type="http://schemas.openxmlformats.org/officeDocument/2006/relationships/hyperlink" Target="https://www.sinyi.com.tw/rent/houseno/CZ05228" TargetMode="External"/><Relationship Id="rId61" Type="http://schemas.openxmlformats.org/officeDocument/2006/relationships/hyperlink" Target="https://www.sinyi.com.tw/rent/houseno/CZ05491" TargetMode="External"/><Relationship Id="rId62" Type="http://schemas.openxmlformats.org/officeDocument/2006/relationships/hyperlink" Target="https://www.sinyi.com.tw/rent/houseno/CZ05491" TargetMode="External"/><Relationship Id="rId63" Type="http://schemas.openxmlformats.org/officeDocument/2006/relationships/hyperlink" Target="https://rent.yungching.com.tw/region/house/2358272?pc=0916263633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73308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www.sinyiglobal.com/rental/C355686" TargetMode="External"/><Relationship Id="rId68" Type="http://schemas.openxmlformats.org/officeDocument/2006/relationships/hyperlink" Target="https://www.sinyiglobal.com/rental/C355686" TargetMode="External"/><Relationship Id="rId69" Type="http://schemas.openxmlformats.org/officeDocument/2006/relationships/hyperlink" Target="https://www.sinyi.com.tw/rent/houseno/C355686" TargetMode="External"/><Relationship Id="rId70" Type="http://schemas.openxmlformats.org/officeDocument/2006/relationships/hyperlink" Target="https://www.sinyi.com.tw/rent/houseno/C355686" TargetMode="External"/><Relationship Id="rId71" Type="http://schemas.openxmlformats.org/officeDocument/2006/relationships/hyperlink" Target="https://kevinashowtimes-web.github.io/showtime-office-dashboard/JE_J07_honglin_10F-2.pdf" TargetMode="External"/><Relationship Id="rId72" Type="http://schemas.openxmlformats.org/officeDocument/2006/relationships/hyperlink" Target="https://kevinashowtimes-web.github.io/showtime-office-dashboard/JE_J07_honglin_10F-2.pdf" TargetMode="External"/><Relationship Id="rId73" Type="http://schemas.openxmlformats.org/officeDocument/2006/relationships/hyperlink" Target="https://edward0618.com/rent_multi_report" TargetMode="External"/><Relationship Id="rId74" Type="http://schemas.openxmlformats.org/officeDocument/2006/relationships/hyperlink" Target="https://edward0618.com/rent_multi_report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.com.tw/rent/houseno/CZ05572" TargetMode="External"/><Relationship Id="rId4" Type="http://schemas.openxmlformats.org/officeDocument/2006/relationships/hyperlink" Target="https://www.sinyi.com.tw/rent/houseno/CZ05572" TargetMode="External"/><Relationship Id="rId5" Type="http://schemas.openxmlformats.org/officeDocument/2006/relationships/hyperlink" Target="https://www.sinyi.com.tw/rent/houseno/CZ05572" TargetMode="External"/><Relationship Id="rId6" Type="http://schemas.openxmlformats.org/officeDocument/2006/relationships/hyperlink" Target="https://www.sinyi.com.tw/rent/houseno/CZ05572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business.591.com.tw/rent/21856432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www.sinyi.com.tw/communitylist/communityinfo/0008197" TargetMode="External"/><Relationship Id="rId13" Type="http://schemas.openxmlformats.org/officeDocument/2006/relationships/hyperlink" Target="https://www.sinyi.com.tw/communitylist/communityinfo/0008197" TargetMode="External"/><Relationship Id="rId14" Type="http://schemas.openxmlformats.org/officeDocument/2006/relationships/hyperlink" Target="https://www.sinyi.com.tw/communitylist/communityinfo/0008197" TargetMode="External"/><Relationship Id="rId15" Type="http://schemas.openxmlformats.org/officeDocument/2006/relationships/hyperlink" Target="https://www.sinyi.com.tw/communitylist/communityinfo/0008197" TargetMode="External"/><Relationship Id="rId16" Type="http://schemas.openxmlformats.org/officeDocument/2006/relationships/hyperlink" Target="https://www.sinyi.com.tw/communitylist/communityinfo/0008197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?case=f" TargetMode="External"/><Relationship Id="rId20" Type="http://schemas.openxmlformats.org/officeDocument/2006/relationships/hyperlink" Target="https://kevinashowtimes-web.github.io/showtime-office-dashboard/?case=f" TargetMode="External"/><Relationship Id="rId21" Type="http://schemas.openxmlformats.org/officeDocument/2006/relationships/hyperlink" Target="https://kevinashowtimes-web.github.io/showtime-office-dashboard/?case=f" TargetMode="External"/><Relationship Id="rId22" Type="http://schemas.openxmlformats.org/officeDocument/2006/relationships/hyperlink" Target="https://kevinashowtimes-web.github.io/showtime-office-dashboard/?case=f" TargetMode="External"/><Relationship Id="rId23" Type="http://schemas.openxmlformats.org/officeDocument/2006/relationships/hyperlink" Target="https://kevinashowtimes-web.github.io/showtime-office-dashboard/?case=f" TargetMode="External"/><Relationship Id="rId24" Type="http://schemas.openxmlformats.org/officeDocument/2006/relationships/hyperlink" Target="https://kevinashowtimes-web.github.io/showtime-office-dashboard/?case=f" TargetMode="External"/><Relationship Id="rId25" Type="http://schemas.openxmlformats.org/officeDocument/2006/relationships/hyperlink" Target="https://buy.housefun.com.tw/buy/building/28758" TargetMode="External"/><Relationship Id="rId26" Type="http://schemas.openxmlformats.org/officeDocument/2006/relationships/hyperlink" Target="https://buy.housefun.com.tw/buy/building/28758" TargetMode="External"/><Relationship Id="rId27" Type="http://schemas.openxmlformats.org/officeDocument/2006/relationships/hyperlink" Target="https://buy.housefun.com.tw/buy/building/28758" TargetMode="External"/><Relationship Id="rId28" Type="http://schemas.openxmlformats.org/officeDocument/2006/relationships/hyperlink" Target="https://buy.housefun.com.tw/buy/building/28758" TargetMode="External"/><Relationship Id="rId29" Type="http://schemas.openxmlformats.org/officeDocument/2006/relationships/hyperlink" Target="https://www.houseweb.com.tw/house/2653888" TargetMode="External"/><Relationship Id="rId30" Type="http://schemas.openxmlformats.org/officeDocument/2006/relationships/hyperlink" Target="https://www.houseweb.com.tw/house/2653888" TargetMode="External"/><Relationship Id="rId31" Type="http://schemas.openxmlformats.org/officeDocument/2006/relationships/hyperlink" Target="https://www.houseweb.com.tw/house/2653888" TargetMode="External"/><Relationship Id="rId32" Type="http://schemas.openxmlformats.org/officeDocument/2006/relationships/hyperlink" Target="https://www.houseweb.com.tw/house/2653888" TargetMode="External"/><Relationship Id="rId33" Type="http://schemas.openxmlformats.org/officeDocument/2006/relationships/hyperlink" Target="https://www.sinyiglobal.com/rental/C355686" TargetMode="External"/><Relationship Id="rId34" Type="http://schemas.openxmlformats.org/officeDocument/2006/relationships/hyperlink" Target="https://www.sinyiglobal.com/rental/C355686" TargetMode="External"/><Relationship Id="rId35" Type="http://schemas.openxmlformats.org/officeDocument/2006/relationships/hyperlink" Target="https://www.sinyiglobal.com/rental/C355686" TargetMode="External"/><Relationship Id="rId36" Type="http://schemas.openxmlformats.org/officeDocument/2006/relationships/hyperlink" Target="https://www.sinyiglobal.com/rental/C355686" TargetMode="External"/><Relationship Id="rId37" Type="http://schemas.openxmlformats.org/officeDocument/2006/relationships/hyperlink" Target="https://www.sinyiglobal.com/rental/C355686" TargetMode="External"/><Relationship Id="rId38" Type="http://schemas.openxmlformats.org/officeDocument/2006/relationships/hyperlink" Target="https://www.sinyiglobal.com/rental/C355686" TargetMode="External"/><Relationship Id="rId39" Type="http://schemas.openxmlformats.org/officeDocument/2006/relationships/hyperlink" Target="https://www.houseweb.com.tw/house/2567826" TargetMode="External"/><Relationship Id="rId40" Type="http://schemas.openxmlformats.org/officeDocument/2006/relationships/hyperlink" Target="https://www.houseweb.com.tw/house/2567826" TargetMode="External"/><Relationship Id="rId41" Type="http://schemas.openxmlformats.org/officeDocument/2006/relationships/hyperlink" Target="https://kevinashowtimes-web.github.io/showtime-office-dashboard/JE_list_J01-J18.pdf" TargetMode="External"/><Relationship Id="rId42" Type="http://schemas.openxmlformats.org/officeDocument/2006/relationships/hyperlink" Target="https://kevinashowtimes-web.github.io/showtime-office-dashboard/JE_list_J01-J18.pdf" TargetMode="External"/><Relationship Id="rId43" Type="http://schemas.openxmlformats.org/officeDocument/2006/relationships/hyperlink" Target="https://www.sinyi.com.tw/rent/houseno/CZ05572" TargetMode="External"/><Relationship Id="rId44" Type="http://schemas.openxmlformats.org/officeDocument/2006/relationships/hyperlink" Target="https://www.sinyi.com.tw/rent/houseno/CZ05572" TargetMode="External"/><Relationship Id="rId45" Type="http://schemas.openxmlformats.org/officeDocument/2006/relationships/hyperlink" Target="https://business.591.com.tw/rent/21856432" TargetMode="External"/><Relationship Id="rId46" Type="http://schemas.openxmlformats.org/officeDocument/2006/relationships/hyperlink" Target="https://business.591.com.tw/rent/21856432" TargetMode="External"/><Relationship Id="rId47" Type="http://schemas.openxmlformats.org/officeDocument/2006/relationships/hyperlink" Target="https://business.591.com.tw/rent/21856432" TargetMode="External"/><Relationship Id="rId48" Type="http://schemas.openxmlformats.org/officeDocument/2006/relationships/hyperlink" Target="https://business.591.com.tw/rent/21856432" TargetMode="External"/><Relationship Id="rId49" Type="http://schemas.openxmlformats.org/officeDocument/2006/relationships/hyperlink" Target="https://www.sinyi.com.tw/rent/houseno/C905199" TargetMode="External"/><Relationship Id="rId50" Type="http://schemas.openxmlformats.org/officeDocument/2006/relationships/hyperlink" Target="https://www.sinyi.com.tw/rent/houseno/C905199" TargetMode="External"/><Relationship Id="rId51" Type="http://schemas.openxmlformats.org/officeDocument/2006/relationships/hyperlink" Target="https://www.sinyi.com.tw/rent/houseno/CZ05587" TargetMode="External"/><Relationship Id="rId52" Type="http://schemas.openxmlformats.org/officeDocument/2006/relationships/hyperlink" Target="https://www.sinyi.com.tw/rent/houseno/CZ05587" TargetMode="External"/><Relationship Id="rId53" Type="http://schemas.openxmlformats.org/officeDocument/2006/relationships/hyperlink" Target="https://www.sinyi.com.tw/rent/houseno/C328671" TargetMode="External"/><Relationship Id="rId54" Type="http://schemas.openxmlformats.org/officeDocument/2006/relationships/hyperlink" Target="https://www.sinyi.com.tw/rent/houseno/C328671" TargetMode="External"/><Relationship Id="rId55" Type="http://schemas.openxmlformats.org/officeDocument/2006/relationships/hyperlink" Target="https://rent.yungching.com.tw/region/house/2358272?pc=0916263633" TargetMode="External"/><Relationship Id="rId56" Type="http://schemas.openxmlformats.org/officeDocument/2006/relationships/hyperlink" Target="https://rent.yungching.com.tw/region/house/2358272?pc=0916263633" TargetMode="External"/><Relationship Id="rId57" Type="http://schemas.openxmlformats.org/officeDocument/2006/relationships/hyperlink" Target="https://rent.yungching.com.tw/region/house/2373308?pc=0916263633" TargetMode="External"/><Relationship Id="rId58" Type="http://schemas.openxmlformats.org/officeDocument/2006/relationships/hyperlink" Target="https://rent.yungching.com.tw/region/house/2373308?pc=0916263633" TargetMode="External"/><Relationship Id="rId59" Type="http://schemas.openxmlformats.org/officeDocument/2006/relationships/hyperlink" Target="https://kevinashowtimes-web.github.io/showtime-office-dashboard/JE_J16_zhongying_bade_2F.pdf" TargetMode="External"/><Relationship Id="rId60" Type="http://schemas.openxmlformats.org/officeDocument/2006/relationships/hyperlink" Target="https://kevinashowtimes-web.github.io/showtime-office-dashboard/JE_J16_zhongying_bade_2F.pdf" TargetMode="External"/><Relationship Id="rId61" Type="http://schemas.openxmlformats.org/officeDocument/2006/relationships/hyperlink" Target="https://kevinashowtimes-web.github.io/showtime-office-dashboard/JE_J16_zhongying_bade_2F.pdf" TargetMode="External"/><Relationship Id="rId62" Type="http://schemas.openxmlformats.org/officeDocument/2006/relationships/hyperlink" Target="https://kevinashowtimes-web.github.io/showtime-office-dashboard/JE_J16_zhongying_bade_2F.pdf" TargetMode="External"/><Relationship Id="rId63" Type="http://schemas.openxmlformats.org/officeDocument/2006/relationships/hyperlink" Target="https://kevinashowtimes-web.github.io/showtime-office-dashboard/JE_J16_zhongying_bade_2F.pdf" TargetMode="External"/><Relationship Id="rId64" Type="http://schemas.openxmlformats.org/officeDocument/2006/relationships/hyperlink" Target="https://kevinashowtimes-web.github.io/showtime-office-dashboard/JE_J16_zhongying_bade_2F.pdf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J15_zhongding_22F.pdf" TargetMode="External"/><Relationship Id="rId68" Type="http://schemas.openxmlformats.org/officeDocument/2006/relationships/hyperlink" Target="https://kevinashowtimes-web.github.io/showtime-office-dashboard/JE_J15_zhongding_22F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7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8" min="16" style="0" width="7"/>
    <col collapsed="false" customWidth="true" hidden="false" outlineLevel="0" max="19" min="19" style="0" width="24"/>
    <col collapsed="false" customWidth="true" hidden="false" outlineLevel="0" max="20" min="20" style="0" width="12"/>
    <col collapsed="false" customWidth="true" hidden="false" outlineLevel="0" max="21" min="21" style="0" width="22"/>
    <col collapsed="false" customWidth="true" hidden="false" outlineLevel="0" max="22" min="22" style="0" width="40"/>
    <col collapsed="false" customWidth="true" hidden="false" outlineLevel="0" max="23" min="23" style="0" width="34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customFormat="false" ht="43.5" hidden="false" customHeight="true" outlineLevel="0" collapsed="false">
      <c r="A5" s="4" t="s">
        <v>25</v>
      </c>
      <c r="B5" s="5" t="s">
        <v>26</v>
      </c>
      <c r="C5" s="6" t="s">
        <v>27</v>
      </c>
      <c r="D5" s="7" t="s">
        <v>28</v>
      </c>
      <c r="E5" s="4" t="s">
        <v>29</v>
      </c>
      <c r="F5" s="8" t="n">
        <v>220.81</v>
      </c>
      <c r="G5" s="8" t="n">
        <v>189.32</v>
      </c>
      <c r="H5" s="9" t="n">
        <v>0.1429</v>
      </c>
      <c r="I5" s="10" t="n">
        <v>420000</v>
      </c>
      <c r="J5" s="10" t="n">
        <v>30913</v>
      </c>
      <c r="K5" s="10" t="n">
        <v>0</v>
      </c>
      <c r="L5" s="7" t="s">
        <v>30</v>
      </c>
      <c r="M5" s="11" t="n">
        <v>3</v>
      </c>
      <c r="N5" s="12" t="s">
        <v>31</v>
      </c>
      <c r="O5" s="6" t="s">
        <v>32</v>
      </c>
      <c r="P5" s="11" t="n">
        <v>4</v>
      </c>
      <c r="Q5" s="8" t="n">
        <v>2.89</v>
      </c>
      <c r="R5" s="11" t="n">
        <v>1988</v>
      </c>
      <c r="S5" s="7" t="s">
        <v>33</v>
      </c>
      <c r="T5" s="6" t="s">
        <v>34</v>
      </c>
      <c r="U5" s="6" t="s">
        <v>35</v>
      </c>
      <c r="V5" s="7" t="s">
        <v>36</v>
      </c>
      <c r="W5" s="13" t="s">
        <v>37</v>
      </c>
    </row>
    <row r="6" customFormat="false" ht="43.5" hidden="false" customHeight="true" outlineLevel="0" collapsed="false">
      <c r="A6" s="4" t="s">
        <v>38</v>
      </c>
      <c r="B6" s="5" t="s">
        <v>39</v>
      </c>
      <c r="C6" s="6" t="s">
        <v>27</v>
      </c>
      <c r="D6" s="7" t="s">
        <v>40</v>
      </c>
      <c r="E6" s="4" t="s">
        <v>41</v>
      </c>
      <c r="F6" s="8" t="n">
        <v>232.22</v>
      </c>
      <c r="G6" s="8" t="n">
        <v>183.22</v>
      </c>
      <c r="H6" s="9" t="n">
        <v>0.211</v>
      </c>
      <c r="I6" s="10" t="n">
        <v>451087</v>
      </c>
      <c r="J6" s="10" t="n">
        <v>32511</v>
      </c>
      <c r="K6" s="10" t="n">
        <v>10500</v>
      </c>
      <c r="L6" s="7" t="s">
        <v>42</v>
      </c>
      <c r="M6" s="11" t="n">
        <v>3</v>
      </c>
      <c r="N6" s="12" t="s">
        <v>43</v>
      </c>
      <c r="O6" s="6" t="s">
        <v>44</v>
      </c>
      <c r="P6" s="11" t="n">
        <v>8</v>
      </c>
      <c r="Q6" s="8" t="n">
        <v>3.1</v>
      </c>
      <c r="R6" s="11" t="n">
        <v>1984</v>
      </c>
      <c r="S6" s="7" t="s">
        <v>45</v>
      </c>
      <c r="T6" s="6" t="s">
        <v>34</v>
      </c>
      <c r="U6" s="6" t="s">
        <v>46</v>
      </c>
      <c r="V6" s="7" t="s">
        <v>47</v>
      </c>
      <c r="W6" s="14" t="s">
        <v>48</v>
      </c>
    </row>
    <row r="7" customFormat="false" ht="43.5" hidden="false" customHeight="true" outlineLevel="0" collapsed="false">
      <c r="A7" s="4" t="s">
        <v>49</v>
      </c>
      <c r="B7" s="5" t="s">
        <v>50</v>
      </c>
      <c r="C7" s="6" t="s">
        <v>51</v>
      </c>
      <c r="D7" s="7" t="s">
        <v>52</v>
      </c>
      <c r="E7" s="4" t="s">
        <v>53</v>
      </c>
      <c r="F7" s="8" t="n">
        <v>282.06</v>
      </c>
      <c r="G7" s="8" t="n">
        <v>255.38</v>
      </c>
      <c r="H7" s="9" t="n">
        <v>0.0946</v>
      </c>
      <c r="I7" s="10" t="n">
        <v>472500</v>
      </c>
      <c r="J7" s="10" t="n">
        <v>33847</v>
      </c>
      <c r="K7" s="10" t="n">
        <v>0</v>
      </c>
      <c r="L7" s="7" t="s">
        <v>54</v>
      </c>
      <c r="M7" s="11" t="n">
        <v>2</v>
      </c>
      <c r="N7" s="12" t="s">
        <v>43</v>
      </c>
      <c r="O7" s="6" t="s">
        <v>55</v>
      </c>
      <c r="P7" s="11" t="n">
        <v>10</v>
      </c>
      <c r="Q7" s="8" t="n">
        <v>2.85</v>
      </c>
      <c r="R7" s="11" t="n">
        <v>1983</v>
      </c>
      <c r="S7" s="7" t="s">
        <v>33</v>
      </c>
      <c r="T7" s="6" t="s">
        <v>34</v>
      </c>
      <c r="U7" s="6" t="s">
        <v>46</v>
      </c>
      <c r="V7" s="7" t="s">
        <v>56</v>
      </c>
      <c r="W7" s="14" t="s">
        <v>57</v>
      </c>
    </row>
    <row r="8" customFormat="false" ht="43.5" hidden="false" customHeight="true" outlineLevel="0" collapsed="false">
      <c r="A8" s="4" t="s">
        <v>58</v>
      </c>
      <c r="B8" s="5" t="s">
        <v>59</v>
      </c>
      <c r="C8" s="6" t="s">
        <v>51</v>
      </c>
      <c r="D8" s="7" t="s">
        <v>60</v>
      </c>
      <c r="E8" s="4" t="s">
        <v>61</v>
      </c>
      <c r="F8" s="8" t="n">
        <v>220.07</v>
      </c>
      <c r="G8" s="8" t="n">
        <v>207.21</v>
      </c>
      <c r="H8" s="9" t="n">
        <v>0.0584</v>
      </c>
      <c r="I8" s="10" t="n">
        <v>440140</v>
      </c>
      <c r="J8" s="10" t="n">
        <v>48415</v>
      </c>
      <c r="K8" s="10" t="n">
        <v>8000</v>
      </c>
      <c r="L8" s="7" t="s">
        <v>62</v>
      </c>
      <c r="M8" s="11" t="n">
        <v>3</v>
      </c>
      <c r="N8" s="12" t="s">
        <v>63</v>
      </c>
      <c r="O8" s="6" t="s">
        <v>64</v>
      </c>
      <c r="P8" s="11" t="n">
        <v>10</v>
      </c>
      <c r="Q8" s="8" t="n">
        <v>3.05</v>
      </c>
      <c r="R8" s="11" t="n">
        <v>1991</v>
      </c>
      <c r="S8" s="7" t="s">
        <v>65</v>
      </c>
      <c r="T8" s="6" t="s">
        <v>34</v>
      </c>
      <c r="U8" s="6" t="s">
        <v>66</v>
      </c>
      <c r="V8" s="7" t="s">
        <v>67</v>
      </c>
      <c r="W8" s="13" t="s">
        <v>68</v>
      </c>
    </row>
    <row r="9" customFormat="false" ht="43.5" hidden="false" customHeight="true" outlineLevel="0" collapsed="false">
      <c r="A9" s="4" t="s">
        <v>69</v>
      </c>
      <c r="B9" s="5" t="s">
        <v>70</v>
      </c>
      <c r="C9" s="6" t="s">
        <v>27</v>
      </c>
      <c r="D9" s="7" t="s">
        <v>71</v>
      </c>
      <c r="E9" s="4" t="s">
        <v>72</v>
      </c>
      <c r="F9" s="8" t="n">
        <v>265.72</v>
      </c>
      <c r="G9" s="8" t="n">
        <v>203.79</v>
      </c>
      <c r="H9" s="9" t="n">
        <v>0.2331</v>
      </c>
      <c r="I9" s="10" t="n">
        <v>502211</v>
      </c>
      <c r="J9" s="15" t="n">
        <f aca="false">F9*150</f>
        <v>39858</v>
      </c>
      <c r="K9" s="10" t="n">
        <v>0</v>
      </c>
      <c r="L9" s="7" t="s">
        <v>73</v>
      </c>
      <c r="M9" s="11" t="n">
        <v>3</v>
      </c>
      <c r="N9" s="7" t="s">
        <v>74</v>
      </c>
      <c r="O9" s="6" t="s">
        <v>32</v>
      </c>
      <c r="P9" s="11" t="n">
        <v>4</v>
      </c>
      <c r="Q9" s="8" t="n">
        <v>3.06</v>
      </c>
      <c r="R9" s="11" t="n">
        <v>1983</v>
      </c>
      <c r="S9" s="7" t="s">
        <v>75</v>
      </c>
      <c r="T9" s="6" t="s">
        <v>34</v>
      </c>
      <c r="U9" s="6" t="s">
        <v>76</v>
      </c>
      <c r="V9" s="7" t="s">
        <v>77</v>
      </c>
      <c r="W9" s="14" t="s">
        <v>78</v>
      </c>
    </row>
    <row r="10" customFormat="false" ht="43.5" hidden="false" customHeight="true" outlineLevel="0" collapsed="false">
      <c r="A10" s="4" t="s">
        <v>79</v>
      </c>
      <c r="B10" s="5" t="s">
        <v>80</v>
      </c>
      <c r="C10" s="6" t="s">
        <v>51</v>
      </c>
      <c r="D10" s="7" t="s">
        <v>81</v>
      </c>
      <c r="E10" s="4" t="s">
        <v>82</v>
      </c>
      <c r="F10" s="8" t="n">
        <v>203.26</v>
      </c>
      <c r="G10" s="8" t="n">
        <v>189.91</v>
      </c>
      <c r="H10" s="9" t="n">
        <v>0.0657</v>
      </c>
      <c r="I10" s="10" t="n">
        <v>405504</v>
      </c>
      <c r="J10" s="16" t="s">
        <v>83</v>
      </c>
      <c r="K10" s="10" t="n">
        <v>7500</v>
      </c>
      <c r="L10" s="7" t="s">
        <v>84</v>
      </c>
      <c r="M10" s="11" t="n">
        <v>3</v>
      </c>
      <c r="N10" s="12" t="s">
        <v>43</v>
      </c>
      <c r="O10" s="6" t="s">
        <v>85</v>
      </c>
      <c r="P10" s="11" t="n">
        <v>4</v>
      </c>
      <c r="Q10" s="8" t="n">
        <v>3.05</v>
      </c>
      <c r="R10" s="11" t="n">
        <v>1990</v>
      </c>
      <c r="S10" s="7" t="s">
        <v>33</v>
      </c>
      <c r="T10" s="6" t="s">
        <v>34</v>
      </c>
      <c r="U10" s="6" t="s">
        <v>35</v>
      </c>
      <c r="V10" s="7" t="s">
        <v>86</v>
      </c>
      <c r="W10" s="14" t="s">
        <v>87</v>
      </c>
    </row>
    <row r="11" customFormat="false" ht="43.5" hidden="false" customHeight="true" outlineLevel="0" collapsed="false">
      <c r="A11" s="4" t="s">
        <v>88</v>
      </c>
      <c r="B11" s="5" t="s">
        <v>89</v>
      </c>
      <c r="C11" s="6" t="s">
        <v>51</v>
      </c>
      <c r="D11" s="7" t="s">
        <v>90</v>
      </c>
      <c r="E11" s="4" t="s">
        <v>91</v>
      </c>
      <c r="F11" s="8" t="n">
        <v>207.04</v>
      </c>
      <c r="G11" s="8" t="n">
        <v>156.93</v>
      </c>
      <c r="H11" s="9" t="n">
        <v>0.242</v>
      </c>
      <c r="I11" s="10" t="n">
        <v>360150</v>
      </c>
      <c r="J11" s="10" t="n">
        <v>28984</v>
      </c>
      <c r="K11" s="10" t="n">
        <v>0</v>
      </c>
      <c r="L11" s="7" t="s">
        <v>92</v>
      </c>
      <c r="M11" s="11" t="n">
        <v>2</v>
      </c>
      <c r="N11" s="12" t="s">
        <v>43</v>
      </c>
      <c r="O11" s="6" t="s">
        <v>55</v>
      </c>
      <c r="P11" s="11" t="n">
        <v>3</v>
      </c>
      <c r="Q11" s="8" t="n">
        <v>2.8</v>
      </c>
      <c r="R11" s="11" t="n">
        <v>1978</v>
      </c>
      <c r="S11" s="7" t="s">
        <v>93</v>
      </c>
      <c r="T11" s="6" t="s">
        <v>34</v>
      </c>
      <c r="U11" s="6" t="s">
        <v>66</v>
      </c>
      <c r="V11" s="7" t="s">
        <v>94</v>
      </c>
      <c r="W11" s="14" t="s">
        <v>95</v>
      </c>
    </row>
    <row r="12" customFormat="false" ht="43.5" hidden="false" customHeight="true" outlineLevel="0" collapsed="false">
      <c r="A12" s="4" t="s">
        <v>96</v>
      </c>
      <c r="B12" s="17" t="s">
        <v>97</v>
      </c>
      <c r="C12" s="6" t="s">
        <v>51</v>
      </c>
      <c r="D12" s="7" t="s">
        <v>98</v>
      </c>
      <c r="E12" s="4" t="s">
        <v>99</v>
      </c>
      <c r="F12" s="8" t="n">
        <v>211</v>
      </c>
      <c r="G12" s="18" t="s">
        <v>83</v>
      </c>
      <c r="H12" s="19" t="s">
        <v>83</v>
      </c>
      <c r="I12" s="10" t="n">
        <v>400000</v>
      </c>
      <c r="J12" s="10" t="n">
        <v>17935</v>
      </c>
      <c r="K12" s="16" t="s">
        <v>83</v>
      </c>
      <c r="L12" s="7" t="s">
        <v>100</v>
      </c>
      <c r="M12" s="11" t="n">
        <v>2</v>
      </c>
      <c r="N12" s="12" t="s">
        <v>63</v>
      </c>
      <c r="O12" s="6" t="s">
        <v>85</v>
      </c>
      <c r="P12" s="20" t="s">
        <v>83</v>
      </c>
      <c r="Q12" s="18" t="s">
        <v>83</v>
      </c>
      <c r="R12" s="20" t="s">
        <v>83</v>
      </c>
      <c r="S12" s="7" t="s">
        <v>33</v>
      </c>
      <c r="T12" s="6" t="s">
        <v>101</v>
      </c>
      <c r="U12" s="6" t="s">
        <v>102</v>
      </c>
      <c r="V12" s="7" t="s">
        <v>103</v>
      </c>
      <c r="W12" s="13" t="s">
        <v>104</v>
      </c>
    </row>
    <row r="13" customFormat="false" ht="43.5" hidden="false" customHeight="true" outlineLevel="0" collapsed="false">
      <c r="A13" s="4" t="s">
        <v>105</v>
      </c>
      <c r="B13" s="5" t="s">
        <v>106</v>
      </c>
      <c r="C13" s="6" t="s">
        <v>51</v>
      </c>
      <c r="D13" s="7" t="s">
        <v>107</v>
      </c>
      <c r="E13" s="4" t="s">
        <v>108</v>
      </c>
      <c r="F13" s="8" t="n">
        <v>203.56</v>
      </c>
      <c r="G13" s="8" t="n">
        <v>119.66</v>
      </c>
      <c r="H13" s="9" t="n">
        <v>0.5008</v>
      </c>
      <c r="I13" s="10" t="n">
        <v>305340</v>
      </c>
      <c r="J13" s="10" t="n">
        <v>32570</v>
      </c>
      <c r="K13" s="16" t="s">
        <v>83</v>
      </c>
      <c r="L13" s="7" t="s">
        <v>109</v>
      </c>
      <c r="M13" s="11" t="n">
        <v>2</v>
      </c>
      <c r="N13" s="12" t="s">
        <v>63</v>
      </c>
      <c r="O13" s="6" t="s">
        <v>110</v>
      </c>
      <c r="P13" s="20" t="s">
        <v>83</v>
      </c>
      <c r="Q13" s="18" t="s">
        <v>83</v>
      </c>
      <c r="R13" s="11" t="n">
        <v>2025</v>
      </c>
      <c r="S13" s="7" t="s">
        <v>100</v>
      </c>
      <c r="T13" s="6" t="s">
        <v>111</v>
      </c>
      <c r="U13" s="6" t="s">
        <v>112</v>
      </c>
      <c r="V13" s="7" t="s">
        <v>113</v>
      </c>
      <c r="W13" s="14" t="s">
        <v>114</v>
      </c>
    </row>
    <row r="14" customFormat="false" ht="43.5" hidden="false" customHeight="true" outlineLevel="0" collapsed="false">
      <c r="A14" s="4" t="s">
        <v>115</v>
      </c>
      <c r="B14" s="5" t="s">
        <v>116</v>
      </c>
      <c r="C14" s="6" t="s">
        <v>27</v>
      </c>
      <c r="D14" s="7" t="s">
        <v>117</v>
      </c>
      <c r="E14" s="4" t="s">
        <v>118</v>
      </c>
      <c r="F14" s="8" t="n">
        <v>224.18</v>
      </c>
      <c r="G14" s="18" t="s">
        <v>83</v>
      </c>
      <c r="H14" s="19" t="s">
        <v>83</v>
      </c>
      <c r="I14" s="10" t="n">
        <v>448000</v>
      </c>
      <c r="J14" s="10" t="n">
        <v>32000</v>
      </c>
      <c r="K14" s="10" t="n">
        <v>0</v>
      </c>
      <c r="L14" s="7" t="s">
        <v>119</v>
      </c>
      <c r="M14" s="11" t="n">
        <v>2</v>
      </c>
      <c r="N14" s="12" t="s">
        <v>120</v>
      </c>
      <c r="O14" s="6" t="s">
        <v>32</v>
      </c>
      <c r="P14" s="11" t="n">
        <v>3</v>
      </c>
      <c r="Q14" s="18" t="s">
        <v>83</v>
      </c>
      <c r="R14" s="11" t="n">
        <v>1989</v>
      </c>
      <c r="S14" s="7" t="s">
        <v>100</v>
      </c>
      <c r="T14" s="6" t="s">
        <v>121</v>
      </c>
      <c r="U14" s="6" t="s">
        <v>122</v>
      </c>
      <c r="V14" s="7" t="s">
        <v>123</v>
      </c>
      <c r="W14" s="14" t="s">
        <v>124</v>
      </c>
    </row>
    <row r="15" customFormat="false" ht="43.5" hidden="false" customHeight="true" outlineLevel="0" collapsed="false">
      <c r="A15" s="4" t="s">
        <v>125</v>
      </c>
      <c r="B15" s="5" t="s">
        <v>126</v>
      </c>
      <c r="C15" s="6" t="s">
        <v>127</v>
      </c>
      <c r="D15" s="7" t="s">
        <v>128</v>
      </c>
      <c r="E15" s="4" t="s">
        <v>129</v>
      </c>
      <c r="F15" s="8" t="n">
        <v>208.96</v>
      </c>
      <c r="G15" s="8" t="n">
        <v>164.05</v>
      </c>
      <c r="H15" s="9" t="n">
        <v>0.2149</v>
      </c>
      <c r="I15" s="10" t="n">
        <v>398000</v>
      </c>
      <c r="J15" s="10" t="n">
        <v>36435</v>
      </c>
      <c r="K15" s="10" t="n">
        <v>0</v>
      </c>
      <c r="L15" s="12" t="s">
        <v>130</v>
      </c>
      <c r="M15" s="11" t="n">
        <v>2</v>
      </c>
      <c r="N15" s="12" t="s">
        <v>63</v>
      </c>
      <c r="O15" s="6" t="s">
        <v>131</v>
      </c>
      <c r="P15" s="11" t="n">
        <v>4</v>
      </c>
      <c r="Q15" s="18" t="s">
        <v>83</v>
      </c>
      <c r="R15" s="11" t="n">
        <v>1993</v>
      </c>
      <c r="S15" s="7" t="s">
        <v>132</v>
      </c>
      <c r="T15" s="6" t="s">
        <v>133</v>
      </c>
      <c r="U15" s="6" t="s">
        <v>134</v>
      </c>
      <c r="V15" s="7" t="s">
        <v>135</v>
      </c>
      <c r="W15" s="14" t="s">
        <v>136</v>
      </c>
    </row>
    <row r="16" customFormat="false" ht="43.5" hidden="false" customHeight="true" outlineLevel="0" collapsed="false">
      <c r="A16" s="4" t="s">
        <v>137</v>
      </c>
      <c r="B16" s="5" t="s">
        <v>138</v>
      </c>
      <c r="C16" s="6" t="s">
        <v>51</v>
      </c>
      <c r="D16" s="7" t="s">
        <v>139</v>
      </c>
      <c r="E16" s="4" t="s">
        <v>140</v>
      </c>
      <c r="F16" s="8" t="n">
        <v>225.83</v>
      </c>
      <c r="G16" s="8" t="n">
        <v>201.29</v>
      </c>
      <c r="H16" s="9" t="n">
        <v>0.1087</v>
      </c>
      <c r="I16" s="10" t="n">
        <v>474500</v>
      </c>
      <c r="J16" s="10" t="n">
        <v>27100</v>
      </c>
      <c r="K16" s="10" t="n">
        <v>0</v>
      </c>
      <c r="L16" s="7" t="s">
        <v>141</v>
      </c>
      <c r="M16" s="11" t="n">
        <v>3</v>
      </c>
      <c r="N16" s="12" t="s">
        <v>63</v>
      </c>
      <c r="O16" s="6" t="s">
        <v>142</v>
      </c>
      <c r="P16" s="20" t="s">
        <v>83</v>
      </c>
      <c r="Q16" s="18" t="s">
        <v>83</v>
      </c>
      <c r="R16" s="11" t="n">
        <v>1992</v>
      </c>
      <c r="S16" s="7" t="s">
        <v>100</v>
      </c>
      <c r="T16" s="6" t="s">
        <v>143</v>
      </c>
      <c r="U16" s="6" t="s">
        <v>144</v>
      </c>
      <c r="V16" s="7" t="s">
        <v>145</v>
      </c>
      <c r="W16" s="14" t="s">
        <v>146</v>
      </c>
    </row>
    <row r="17" customFormat="false" ht="43.5" hidden="false" customHeight="true" outlineLevel="0" collapsed="false">
      <c r="A17" s="4" t="s">
        <v>147</v>
      </c>
      <c r="B17" s="5" t="s">
        <v>148</v>
      </c>
      <c r="C17" s="6" t="s">
        <v>51</v>
      </c>
      <c r="D17" s="7" t="s">
        <v>149</v>
      </c>
      <c r="E17" s="4" t="s">
        <v>150</v>
      </c>
      <c r="F17" s="8" t="n">
        <v>211.38</v>
      </c>
      <c r="G17" s="18" t="s">
        <v>83</v>
      </c>
      <c r="H17" s="19" t="s">
        <v>83</v>
      </c>
      <c r="I17" s="10" t="n">
        <v>388500</v>
      </c>
      <c r="J17" s="10" t="n">
        <v>15000</v>
      </c>
      <c r="K17" s="10" t="n">
        <v>2000</v>
      </c>
      <c r="L17" s="7" t="s">
        <v>151</v>
      </c>
      <c r="M17" s="11" t="n">
        <v>3</v>
      </c>
      <c r="N17" s="12" t="s">
        <v>43</v>
      </c>
      <c r="O17" s="6" t="s">
        <v>152</v>
      </c>
      <c r="P17" s="20" t="s">
        <v>83</v>
      </c>
      <c r="Q17" s="18" t="s">
        <v>83</v>
      </c>
      <c r="R17" s="11" t="n">
        <v>1975</v>
      </c>
      <c r="S17" s="7" t="s">
        <v>100</v>
      </c>
      <c r="T17" s="6" t="s">
        <v>153</v>
      </c>
      <c r="U17" s="6" t="s">
        <v>154</v>
      </c>
      <c r="V17" s="7" t="s">
        <v>155</v>
      </c>
      <c r="W17" s="14" t="s">
        <v>156</v>
      </c>
    </row>
    <row r="18" customFormat="false" ht="43.5" hidden="false" customHeight="true" outlineLevel="0" collapsed="false">
      <c r="A18" s="4" t="s">
        <v>157</v>
      </c>
      <c r="B18" s="5" t="s">
        <v>158</v>
      </c>
      <c r="C18" s="6" t="s">
        <v>159</v>
      </c>
      <c r="D18" s="7" t="s">
        <v>160</v>
      </c>
      <c r="E18" s="4" t="s">
        <v>161</v>
      </c>
      <c r="F18" s="8" t="n">
        <v>278.04</v>
      </c>
      <c r="G18" s="8" t="n">
        <v>262.5</v>
      </c>
      <c r="H18" s="9" t="n">
        <v>0.0559</v>
      </c>
      <c r="I18" s="10" t="n">
        <v>388500</v>
      </c>
      <c r="J18" s="10" t="n">
        <v>37500</v>
      </c>
      <c r="K18" s="10" t="n">
        <v>5000</v>
      </c>
      <c r="L18" s="7" t="s">
        <v>162</v>
      </c>
      <c r="M18" s="11" t="n">
        <v>2</v>
      </c>
      <c r="N18" s="12" t="s">
        <v>63</v>
      </c>
      <c r="O18" s="6" t="s">
        <v>163</v>
      </c>
      <c r="P18" s="20" t="s">
        <v>83</v>
      </c>
      <c r="Q18" s="18" t="s">
        <v>83</v>
      </c>
      <c r="R18" s="11" t="n">
        <v>1985</v>
      </c>
      <c r="S18" s="7" t="s">
        <v>100</v>
      </c>
      <c r="T18" s="6" t="s">
        <v>164</v>
      </c>
      <c r="U18" s="6" t="s">
        <v>165</v>
      </c>
      <c r="V18" s="7" t="s">
        <v>166</v>
      </c>
      <c r="W18" s="14" t="s">
        <v>167</v>
      </c>
    </row>
    <row r="19" customFormat="false" ht="43.5" hidden="false" customHeight="true" outlineLevel="0" collapsed="false">
      <c r="A19" s="4" t="s">
        <v>168</v>
      </c>
      <c r="B19" s="5" t="s">
        <v>169</v>
      </c>
      <c r="C19" s="6" t="s">
        <v>159</v>
      </c>
      <c r="D19" s="7" t="s">
        <v>170</v>
      </c>
      <c r="E19" s="4" t="s">
        <v>171</v>
      </c>
      <c r="F19" s="8" t="n">
        <v>254.06</v>
      </c>
      <c r="G19" s="18" t="s">
        <v>83</v>
      </c>
      <c r="H19" s="19" t="s">
        <v>83</v>
      </c>
      <c r="I19" s="10" t="n">
        <v>381090</v>
      </c>
      <c r="J19" s="10" t="n">
        <v>41920</v>
      </c>
      <c r="K19" s="10" t="n">
        <v>0</v>
      </c>
      <c r="L19" s="7" t="s">
        <v>141</v>
      </c>
      <c r="M19" s="11" t="n">
        <v>3</v>
      </c>
      <c r="N19" s="12" t="s">
        <v>43</v>
      </c>
      <c r="O19" s="6" t="s">
        <v>172</v>
      </c>
      <c r="P19" s="20" t="s">
        <v>83</v>
      </c>
      <c r="Q19" s="8" t="n">
        <v>4</v>
      </c>
      <c r="R19" s="11" t="n">
        <v>1996</v>
      </c>
      <c r="S19" s="7" t="s">
        <v>100</v>
      </c>
      <c r="T19" s="6" t="s">
        <v>164</v>
      </c>
      <c r="U19" s="6" t="s">
        <v>173</v>
      </c>
      <c r="V19" s="7" t="s">
        <v>174</v>
      </c>
      <c r="W19" s="14" t="s">
        <v>175</v>
      </c>
    </row>
    <row r="20" customFormat="false" ht="43.5" hidden="false" customHeight="true" outlineLevel="0" collapsed="false">
      <c r="A20" s="4" t="s">
        <v>176</v>
      </c>
      <c r="B20" s="5" t="s">
        <v>177</v>
      </c>
      <c r="C20" s="6" t="s">
        <v>159</v>
      </c>
      <c r="D20" s="7" t="s">
        <v>178</v>
      </c>
      <c r="E20" s="4" t="s">
        <v>179</v>
      </c>
      <c r="F20" s="8" t="n">
        <v>253.16</v>
      </c>
      <c r="G20" s="8" t="n">
        <v>166.77</v>
      </c>
      <c r="H20" s="9" t="n">
        <v>0.3412</v>
      </c>
      <c r="I20" s="10" t="n">
        <v>350000</v>
      </c>
      <c r="J20" s="10" t="n">
        <v>36676</v>
      </c>
      <c r="K20" s="10" t="n">
        <v>0</v>
      </c>
      <c r="L20" s="12" t="s">
        <v>180</v>
      </c>
      <c r="M20" s="11" t="n">
        <v>2</v>
      </c>
      <c r="N20" s="12" t="s">
        <v>43</v>
      </c>
      <c r="O20" s="6" t="s">
        <v>181</v>
      </c>
      <c r="P20" s="20" t="s">
        <v>83</v>
      </c>
      <c r="Q20" s="8" t="n">
        <v>3.4</v>
      </c>
      <c r="R20" s="11" t="n">
        <v>2001</v>
      </c>
      <c r="S20" s="7" t="s">
        <v>100</v>
      </c>
      <c r="T20" s="6" t="s">
        <v>182</v>
      </c>
      <c r="U20" s="6" t="s">
        <v>183</v>
      </c>
      <c r="V20" s="7" t="s">
        <v>184</v>
      </c>
      <c r="W20" s="14" t="s">
        <v>185</v>
      </c>
    </row>
    <row r="21" customFormat="false" ht="43.5" hidden="false" customHeight="true" outlineLevel="0" collapsed="false">
      <c r="A21" s="4" t="s">
        <v>186</v>
      </c>
      <c r="B21" s="5" t="s">
        <v>187</v>
      </c>
      <c r="C21" s="6" t="s">
        <v>159</v>
      </c>
      <c r="D21" s="7" t="s">
        <v>188</v>
      </c>
      <c r="E21" s="4" t="s">
        <v>189</v>
      </c>
      <c r="F21" s="8" t="n">
        <v>213.3</v>
      </c>
      <c r="G21" s="8" t="n">
        <v>87.55</v>
      </c>
      <c r="H21" s="9" t="n">
        <v>0.5895</v>
      </c>
      <c r="I21" s="10" t="n">
        <v>467500</v>
      </c>
      <c r="J21" s="10" t="n">
        <v>33600</v>
      </c>
      <c r="K21" s="10" t="n">
        <v>0</v>
      </c>
      <c r="L21" s="12" t="s">
        <v>190</v>
      </c>
      <c r="M21" s="11" t="n">
        <v>2</v>
      </c>
      <c r="N21" s="12" t="s">
        <v>31</v>
      </c>
      <c r="O21" s="6" t="s">
        <v>181</v>
      </c>
      <c r="P21" s="20" t="s">
        <v>83</v>
      </c>
      <c r="Q21" s="18" t="s">
        <v>83</v>
      </c>
      <c r="R21" s="11" t="n">
        <v>2020</v>
      </c>
      <c r="S21" s="7" t="s">
        <v>100</v>
      </c>
      <c r="T21" s="6" t="s">
        <v>191</v>
      </c>
      <c r="U21" s="6" t="s">
        <v>192</v>
      </c>
      <c r="V21" s="7" t="s">
        <v>193</v>
      </c>
      <c r="W21" s="14" t="s">
        <v>194</v>
      </c>
    </row>
    <row r="22" customFormat="false" ht="43.5" hidden="false" customHeight="true" outlineLevel="0" collapsed="false">
      <c r="A22" s="4" t="s">
        <v>195</v>
      </c>
      <c r="B22" s="5" t="s">
        <v>196</v>
      </c>
      <c r="C22" s="6" t="s">
        <v>159</v>
      </c>
      <c r="D22" s="7" t="s">
        <v>170</v>
      </c>
      <c r="E22" s="4" t="s">
        <v>197</v>
      </c>
      <c r="F22" s="8" t="n">
        <v>285.67</v>
      </c>
      <c r="G22" s="18" t="s">
        <v>83</v>
      </c>
      <c r="H22" s="19" t="s">
        <v>83</v>
      </c>
      <c r="I22" s="10" t="n">
        <v>428505</v>
      </c>
      <c r="J22" s="16" t="s">
        <v>83</v>
      </c>
      <c r="K22" s="10" t="n">
        <v>0</v>
      </c>
      <c r="L22" s="7" t="s">
        <v>198</v>
      </c>
      <c r="M22" s="20" t="s">
        <v>83</v>
      </c>
      <c r="N22" s="21" t="s">
        <v>83</v>
      </c>
      <c r="O22" s="6" t="s">
        <v>199</v>
      </c>
      <c r="P22" s="20" t="s">
        <v>83</v>
      </c>
      <c r="Q22" s="18" t="s">
        <v>83</v>
      </c>
      <c r="R22" s="11" t="n">
        <v>1996</v>
      </c>
      <c r="S22" s="7" t="s">
        <v>100</v>
      </c>
      <c r="T22" s="6" t="s">
        <v>164</v>
      </c>
      <c r="U22" s="6" t="s">
        <v>173</v>
      </c>
      <c r="V22" s="7" t="s">
        <v>200</v>
      </c>
      <c r="W22" s="14" t="s">
        <v>201</v>
      </c>
    </row>
    <row r="23" customFormat="false" ht="43.5" hidden="false" customHeight="true" outlineLevel="0" collapsed="false">
      <c r="A23" s="4" t="s">
        <v>202</v>
      </c>
      <c r="B23" s="5" t="s">
        <v>203</v>
      </c>
      <c r="C23" s="6" t="s">
        <v>127</v>
      </c>
      <c r="D23" s="7" t="s">
        <v>204</v>
      </c>
      <c r="E23" s="4" t="s">
        <v>205</v>
      </c>
      <c r="F23" s="8" t="n">
        <v>265.82</v>
      </c>
      <c r="G23" s="18" t="s">
        <v>83</v>
      </c>
      <c r="H23" s="19" t="s">
        <v>83</v>
      </c>
      <c r="I23" s="10" t="n">
        <v>544931</v>
      </c>
      <c r="J23" s="16" t="s">
        <v>83</v>
      </c>
      <c r="K23" s="10" t="n">
        <v>0</v>
      </c>
      <c r="L23" s="7" t="s">
        <v>198</v>
      </c>
      <c r="M23" s="20" t="s">
        <v>83</v>
      </c>
      <c r="N23" s="12" t="s">
        <v>206</v>
      </c>
      <c r="O23" s="6" t="s">
        <v>207</v>
      </c>
      <c r="P23" s="20" t="s">
        <v>83</v>
      </c>
      <c r="Q23" s="18" t="s">
        <v>83</v>
      </c>
      <c r="R23" s="20" t="s">
        <v>83</v>
      </c>
      <c r="S23" s="7" t="s">
        <v>100</v>
      </c>
      <c r="T23" s="6" t="s">
        <v>208</v>
      </c>
      <c r="U23" s="6" t="s">
        <v>209</v>
      </c>
      <c r="V23" s="7" t="s">
        <v>210</v>
      </c>
      <c r="W23" s="14" t="s">
        <v>211</v>
      </c>
    </row>
    <row r="24" customFormat="false" ht="43.5" hidden="false" customHeight="true" outlineLevel="0" collapsed="false">
      <c r="A24" s="4" t="s">
        <v>212</v>
      </c>
      <c r="B24" s="5" t="s">
        <v>213</v>
      </c>
      <c r="C24" s="6" t="s">
        <v>127</v>
      </c>
      <c r="D24" s="7" t="s">
        <v>214</v>
      </c>
      <c r="E24" s="4" t="s">
        <v>215</v>
      </c>
      <c r="F24" s="8" t="n">
        <v>266.36</v>
      </c>
      <c r="G24" s="18" t="s">
        <v>83</v>
      </c>
      <c r="H24" s="19" t="s">
        <v>83</v>
      </c>
      <c r="I24" s="10" t="n">
        <v>560000</v>
      </c>
      <c r="J24" s="16" t="s">
        <v>83</v>
      </c>
      <c r="K24" s="10" t="n">
        <v>0</v>
      </c>
      <c r="L24" s="7" t="s">
        <v>198</v>
      </c>
      <c r="M24" s="20" t="s">
        <v>83</v>
      </c>
      <c r="N24" s="21" t="s">
        <v>83</v>
      </c>
      <c r="O24" s="6" t="s">
        <v>216</v>
      </c>
      <c r="P24" s="20" t="s">
        <v>83</v>
      </c>
      <c r="Q24" s="18" t="s">
        <v>83</v>
      </c>
      <c r="R24" s="20" t="s">
        <v>83</v>
      </c>
      <c r="S24" s="7" t="s">
        <v>100</v>
      </c>
      <c r="T24" s="6" t="s">
        <v>217</v>
      </c>
      <c r="U24" s="6" t="s">
        <v>218</v>
      </c>
      <c r="V24" s="7" t="s">
        <v>219</v>
      </c>
      <c r="W24" s="14" t="s">
        <v>220</v>
      </c>
    </row>
    <row r="25" customFormat="false" ht="43.5" hidden="false" customHeight="true" outlineLevel="0" collapsed="false">
      <c r="A25" s="4" t="s">
        <v>221</v>
      </c>
      <c r="B25" s="5" t="s">
        <v>222</v>
      </c>
      <c r="C25" s="6" t="s">
        <v>27</v>
      </c>
      <c r="D25" s="7" t="s">
        <v>223</v>
      </c>
      <c r="E25" s="4" t="s">
        <v>224</v>
      </c>
      <c r="F25" s="8" t="n">
        <v>277.81</v>
      </c>
      <c r="G25" s="8" t="n">
        <v>256.87</v>
      </c>
      <c r="H25" s="9" t="n">
        <v>0.0754</v>
      </c>
      <c r="I25" s="10" t="n">
        <v>300000</v>
      </c>
      <c r="J25" s="16" t="s">
        <v>83</v>
      </c>
      <c r="K25" s="10" t="n">
        <v>0</v>
      </c>
      <c r="L25" s="7" t="s">
        <v>141</v>
      </c>
      <c r="M25" s="11" t="n">
        <v>2</v>
      </c>
      <c r="N25" s="12" t="s">
        <v>206</v>
      </c>
      <c r="O25" s="6" t="s">
        <v>199</v>
      </c>
      <c r="P25" s="20" t="s">
        <v>83</v>
      </c>
      <c r="Q25" s="18" t="s">
        <v>83</v>
      </c>
      <c r="R25" s="11" t="n">
        <v>1981</v>
      </c>
      <c r="S25" s="7" t="s">
        <v>100</v>
      </c>
      <c r="T25" s="6" t="s">
        <v>225</v>
      </c>
      <c r="U25" s="6" t="s">
        <v>226</v>
      </c>
      <c r="V25" s="7" t="s">
        <v>227</v>
      </c>
      <c r="W25" s="14" t="s">
        <v>228</v>
      </c>
    </row>
    <row r="26" customFormat="false" ht="43.5" hidden="false" customHeight="true" outlineLevel="0" collapsed="false">
      <c r="A26" s="4" t="s">
        <v>229</v>
      </c>
      <c r="B26" s="5" t="s">
        <v>230</v>
      </c>
      <c r="C26" s="6" t="s">
        <v>127</v>
      </c>
      <c r="D26" s="7" t="s">
        <v>231</v>
      </c>
      <c r="E26" s="4" t="s">
        <v>232</v>
      </c>
      <c r="F26" s="8" t="n">
        <v>213.56</v>
      </c>
      <c r="G26" s="8" t="n">
        <v>204.08</v>
      </c>
      <c r="H26" s="9" t="n">
        <v>0.0444</v>
      </c>
      <c r="I26" s="10" t="n">
        <v>218000</v>
      </c>
      <c r="J26" s="10" t="n">
        <v>18980</v>
      </c>
      <c r="K26" s="10" t="n">
        <v>0</v>
      </c>
      <c r="L26" s="12" t="s">
        <v>233</v>
      </c>
      <c r="M26" s="11" t="n">
        <v>2</v>
      </c>
      <c r="N26" s="12" t="s">
        <v>63</v>
      </c>
      <c r="O26" s="6" t="s">
        <v>131</v>
      </c>
      <c r="P26" s="20" t="s">
        <v>83</v>
      </c>
      <c r="Q26" s="8" t="n">
        <v>4.2</v>
      </c>
      <c r="R26" s="11" t="n">
        <v>1991</v>
      </c>
      <c r="S26" s="7" t="s">
        <v>100</v>
      </c>
      <c r="T26" s="6" t="s">
        <v>234</v>
      </c>
      <c r="U26" s="6" t="s">
        <v>235</v>
      </c>
      <c r="V26" s="7" t="s">
        <v>236</v>
      </c>
      <c r="W26" s="14" t="s">
        <v>237</v>
      </c>
    </row>
    <row r="28" customFormat="false" ht="15" hidden="false" customHeight="false" outlineLevel="0" collapsed="false">
      <c r="A28" s="22" t="s">
        <v>238</v>
      </c>
      <c r="C28" s="23" t="n">
        <v>400000</v>
      </c>
      <c r="D28" s="2" t="s">
        <v>239</v>
      </c>
    </row>
    <row r="29" customFormat="false" ht="16.15" hidden="false" customHeight="false" outlineLevel="0" collapsed="false">
      <c r="A29" s="1" t="s">
        <v>240</v>
      </c>
    </row>
    <row r="30" customFormat="false" ht="33.75" hidden="false" customHeight="true" outlineLevel="0" collapsed="false">
      <c r="A30" s="3" t="s">
        <v>2</v>
      </c>
      <c r="B30" s="3" t="s">
        <v>3</v>
      </c>
      <c r="C30" s="3" t="s">
        <v>241</v>
      </c>
      <c r="D30" s="3" t="s">
        <v>242</v>
      </c>
      <c r="E30" s="3" t="s">
        <v>243</v>
      </c>
      <c r="F30" s="3" t="s">
        <v>244</v>
      </c>
      <c r="G30" s="3" t="s">
        <v>245</v>
      </c>
      <c r="H30" s="3" t="s">
        <v>246</v>
      </c>
      <c r="I30" s="3" t="s">
        <v>247</v>
      </c>
      <c r="J30" s="3" t="s">
        <v>248</v>
      </c>
      <c r="K30" s="3" t="s">
        <v>249</v>
      </c>
      <c r="L30" s="24" t="s">
        <v>250</v>
      </c>
      <c r="M30" s="3" t="s">
        <v>251</v>
      </c>
      <c r="N30" s="3" t="s">
        <v>252</v>
      </c>
      <c r="O30" s="3" t="s">
        <v>24</v>
      </c>
    </row>
    <row r="31" customFormat="false" ht="15" hidden="false" customHeight="false" outlineLevel="0" collapsed="false">
      <c r="A31" s="25" t="str">
        <f aca="false">A5</f>
        <v>A</v>
      </c>
      <c r="B31" s="26" t="str">
        <f aca="false">B5</f>
        <v>安敦國際大樓 7F ↗</v>
      </c>
      <c r="C31" s="27" t="n">
        <f aca="false">IF(ISNUMBER(R5),2026-R5,"缺")</f>
        <v>38</v>
      </c>
      <c r="D31" s="28" t="n">
        <f aca="false">IFERROR(I5/F5,"缺")</f>
        <v>1902.08776776414</v>
      </c>
      <c r="E31" s="28" t="n">
        <f aca="false">IFERROR(I5/G5,"缺")</f>
        <v>2218.46608916121</v>
      </c>
      <c r="F31" s="28" t="n">
        <f aca="false">I5+IF(ISNUMBER(J5),J5,0)+IF(ISNUMBER(K5),K5,0)</f>
        <v>450913</v>
      </c>
      <c r="G31" s="28" t="n">
        <f aca="false">IFERROR(F31/F5,"缺")</f>
        <v>2042.08595625198</v>
      </c>
      <c r="H31" s="28" t="n">
        <f aca="false">IFERROR(F31/G5,"缺")</f>
        <v>2381.75047538559</v>
      </c>
      <c r="I31" s="29" t="n">
        <f aca="false">F31-$C$28</f>
        <v>50913</v>
      </c>
      <c r="J31" s="30" t="n">
        <f aca="false">F31/$C$28-1</f>
        <v>0.1272825</v>
      </c>
      <c r="K31" s="28" t="n">
        <f aca="false">F31*12</f>
        <v>5410956</v>
      </c>
      <c r="L31" s="28" t="n">
        <f aca="false">F31*36</f>
        <v>16232868</v>
      </c>
      <c r="M31" s="28" t="n">
        <f aca="false">IFERROR(I5*M5,"缺")</f>
        <v>1260000</v>
      </c>
      <c r="N31" s="25" t="str">
        <f aca="false">IF(COUNTIF(F5:R5,"缺")=0,"完整","缺 "&amp;COUNTIF(F5:R5,"缺")&amp;" 項")</f>
        <v>完整</v>
      </c>
      <c r="O31" s="13" t="s">
        <v>37</v>
      </c>
    </row>
    <row r="32" customFormat="false" ht="15" hidden="false" customHeight="false" outlineLevel="0" collapsed="false">
      <c r="A32" s="25" t="str">
        <f aca="false">A6</f>
        <v>B</v>
      </c>
      <c r="B32" s="26" t="str">
        <f aca="false">B6</f>
        <v>中鼎大樓 15F之1 ↗</v>
      </c>
      <c r="C32" s="27" t="n">
        <f aca="false">IF(ISNUMBER(R6),2026-R6,"缺")</f>
        <v>42</v>
      </c>
      <c r="D32" s="28" t="n">
        <f aca="false">IFERROR(I6/F6,"缺")</f>
        <v>1942.49849280854</v>
      </c>
      <c r="E32" s="28" t="n">
        <f aca="false">IFERROR(I6/G6,"缺")</f>
        <v>2461.99650693156</v>
      </c>
      <c r="F32" s="28" t="n">
        <f aca="false">I6+IF(ISNUMBER(J6),J6,0)+IF(ISNUMBER(K6),K6,0)</f>
        <v>494098</v>
      </c>
      <c r="G32" s="28" t="n">
        <f aca="false">IFERROR(F32/F6,"缺")</f>
        <v>2127.71509775213</v>
      </c>
      <c r="H32" s="28" t="n">
        <f aca="false">IFERROR(F32/G6,"缺")</f>
        <v>2696.7470800131</v>
      </c>
      <c r="I32" s="29" t="n">
        <f aca="false">F32-$C$28</f>
        <v>94098</v>
      </c>
      <c r="J32" s="30" t="n">
        <f aca="false">F32/$C$28-1</f>
        <v>0.235245</v>
      </c>
      <c r="K32" s="28" t="n">
        <f aca="false">F32*12</f>
        <v>5929176</v>
      </c>
      <c r="L32" s="28" t="n">
        <f aca="false">F32*36</f>
        <v>17787528</v>
      </c>
      <c r="M32" s="28" t="n">
        <f aca="false">IFERROR(I6*M6,"缺")</f>
        <v>1353261</v>
      </c>
      <c r="N32" s="25" t="str">
        <f aca="false">IF(COUNTIF(F6:R6,"缺")=0,"完整","缺 "&amp;COUNTIF(F6:R6,"缺")&amp;" 項")</f>
        <v>完整</v>
      </c>
      <c r="O32" s="14" t="s">
        <v>48</v>
      </c>
    </row>
    <row r="33" customFormat="false" ht="15" hidden="false" customHeight="false" outlineLevel="0" collapsed="false">
      <c r="A33" s="25" t="str">
        <f aca="false">A7</f>
        <v>C</v>
      </c>
      <c r="B33" s="26" t="str">
        <f aca="false">B7</f>
        <v>旭寶大樓 5F ↗</v>
      </c>
      <c r="C33" s="27" t="n">
        <f aca="false">IF(ISNUMBER(R7),2026-R7,"缺")</f>
        <v>43</v>
      </c>
      <c r="D33" s="28" t="n">
        <f aca="false">IFERROR(I7/F7,"缺")</f>
        <v>1675.17549457562</v>
      </c>
      <c r="E33" s="28" t="n">
        <f aca="false">IFERROR(I7/G7,"缺")</f>
        <v>1850.18403947059</v>
      </c>
      <c r="F33" s="28" t="n">
        <f aca="false">I7+IF(ISNUMBER(J7),J7,0)+IF(ISNUMBER(K7),K7,0)</f>
        <v>506347</v>
      </c>
      <c r="G33" s="28" t="n">
        <f aca="false">IFERROR(F33/F7,"缺")</f>
        <v>1795.17478550663</v>
      </c>
      <c r="H33" s="28" t="n">
        <f aca="false">IFERROR(F33/G7,"缺")</f>
        <v>1982.71986843136</v>
      </c>
      <c r="I33" s="29" t="n">
        <f aca="false">F33-$C$28</f>
        <v>106347</v>
      </c>
      <c r="J33" s="30" t="n">
        <f aca="false">F33/$C$28-1</f>
        <v>0.2658675</v>
      </c>
      <c r="K33" s="28" t="n">
        <f aca="false">F33*12</f>
        <v>6076164</v>
      </c>
      <c r="L33" s="28" t="n">
        <f aca="false">F33*36</f>
        <v>18228492</v>
      </c>
      <c r="M33" s="28" t="n">
        <f aca="false">IFERROR(I7*M7,"缺")</f>
        <v>945000</v>
      </c>
      <c r="N33" s="25" t="str">
        <f aca="false">IF(COUNTIF(F7:R7,"缺")=0,"完整","缺 "&amp;COUNTIF(F7:R7,"缺")&amp;" 項")</f>
        <v>完整</v>
      </c>
      <c r="O33" s="14" t="s">
        <v>57</v>
      </c>
    </row>
    <row r="34" customFormat="false" ht="15" hidden="false" customHeight="false" outlineLevel="0" collapsed="false">
      <c r="A34" s="25" t="str">
        <f aca="false">A8</f>
        <v>D</v>
      </c>
      <c r="B34" s="26" t="str">
        <f aca="false">B8</f>
        <v>敦化財經大樓 4F之1 ↗</v>
      </c>
      <c r="C34" s="27" t="n">
        <f aca="false">IF(ISNUMBER(R8),2026-R8,"缺")</f>
        <v>35</v>
      </c>
      <c r="D34" s="28" t="n">
        <f aca="false">IFERROR(I8/F8,"缺")</f>
        <v>2000</v>
      </c>
      <c r="E34" s="28" t="n">
        <f aca="false">IFERROR(I8/G8,"缺")</f>
        <v>2124.12528352879</v>
      </c>
      <c r="F34" s="28" t="n">
        <f aca="false">I8+IF(ISNUMBER(J8),J8,0)+IF(ISNUMBER(K8),K8,0)</f>
        <v>496555</v>
      </c>
      <c r="G34" s="28" t="n">
        <f aca="false">IFERROR(F34/F8,"缺")</f>
        <v>2256.35025219248</v>
      </c>
      <c r="H34" s="28" t="n">
        <f aca="false">IFERROR(F34/G8,"缺")</f>
        <v>2396.38530958931</v>
      </c>
      <c r="I34" s="29" t="n">
        <f aca="false">F34-$C$28</f>
        <v>96555</v>
      </c>
      <c r="J34" s="30" t="n">
        <f aca="false">F34/$C$28-1</f>
        <v>0.2413875</v>
      </c>
      <c r="K34" s="28" t="n">
        <f aca="false">F34*12</f>
        <v>5958660</v>
      </c>
      <c r="L34" s="28" t="n">
        <f aca="false">F34*36</f>
        <v>17875980</v>
      </c>
      <c r="M34" s="28" t="n">
        <f aca="false">IFERROR(I8*M8,"缺")</f>
        <v>1320420</v>
      </c>
      <c r="N34" s="25" t="str">
        <f aca="false">IF(COUNTIF(F8:R8,"缺")=0,"完整","缺 "&amp;COUNTIF(F8:R8,"缺")&amp;" 項")</f>
        <v>完整</v>
      </c>
      <c r="O34" s="13" t="s">
        <v>68</v>
      </c>
    </row>
    <row r="35" customFormat="false" ht="15" hidden="false" customHeight="false" outlineLevel="0" collapsed="false">
      <c r="A35" s="25" t="str">
        <f aca="false">A9</f>
        <v>E</v>
      </c>
      <c r="B35" s="26" t="str">
        <f aca="false">B9</f>
        <v>國泰世華銀行大樓 6F ↗</v>
      </c>
      <c r="C35" s="27" t="n">
        <f aca="false">IF(ISNUMBER(R9),2026-R9,"缺")</f>
        <v>43</v>
      </c>
      <c r="D35" s="28" t="n">
        <f aca="false">IFERROR(I9/F9,"缺")</f>
        <v>1890.00075267199</v>
      </c>
      <c r="E35" s="28" t="n">
        <f aca="false">IFERROR(I9/G9,"缺")</f>
        <v>2464.355463958</v>
      </c>
      <c r="F35" s="28" t="n">
        <f aca="false">I9+IF(ISNUMBER(J9),J9,0)+IF(ISNUMBER(K9),K9,0)</f>
        <v>542069</v>
      </c>
      <c r="G35" s="28" t="n">
        <f aca="false">IFERROR(F35/F9,"缺")</f>
        <v>2040.00075267199</v>
      </c>
      <c r="H35" s="28" t="n">
        <f aca="false">IFERROR(F35/G9,"缺")</f>
        <v>2659.93915304971</v>
      </c>
      <c r="I35" s="29" t="n">
        <f aca="false">F35-$C$28</f>
        <v>142069</v>
      </c>
      <c r="J35" s="30" t="n">
        <f aca="false">F35/$C$28-1</f>
        <v>0.3551725</v>
      </c>
      <c r="K35" s="28" t="n">
        <f aca="false">F35*12</f>
        <v>6504828</v>
      </c>
      <c r="L35" s="28" t="n">
        <f aca="false">F35*36</f>
        <v>19514484</v>
      </c>
      <c r="M35" s="28" t="n">
        <f aca="false">IFERROR(I9*M9,"缺")</f>
        <v>1506633</v>
      </c>
      <c r="N35" s="25" t="str">
        <f aca="false">IF(COUNTIF(F9:R9,"缺")=0,"完整","缺 "&amp;COUNTIF(F9:R9,"缺")&amp;" 項")</f>
        <v>完整</v>
      </c>
      <c r="O35" s="14" t="s">
        <v>78</v>
      </c>
    </row>
    <row r="36" customFormat="false" ht="15" hidden="false" customHeight="false" outlineLevel="0" collapsed="false">
      <c r="A36" s="25" t="str">
        <f aca="false">A10</f>
        <v>F</v>
      </c>
      <c r="B36" s="26" t="str">
        <f aca="false">B10</f>
        <v>友聯大樓 5F ↗</v>
      </c>
      <c r="C36" s="27" t="n">
        <f aca="false">IF(ISNUMBER(R10),2026-R10,"缺")</f>
        <v>36</v>
      </c>
      <c r="D36" s="28" t="n">
        <f aca="false">IFERROR(I10/F10,"缺")</f>
        <v>1995.00147594214</v>
      </c>
      <c r="E36" s="28" t="n">
        <f aca="false">IFERROR(I10/G10,"缺")</f>
        <v>2135.24300984677</v>
      </c>
      <c r="F36" s="28" t="n">
        <f aca="false">I10+IF(ISNUMBER(J10),J10,0)+IF(ISNUMBER(K10),K10,0)</f>
        <v>413004</v>
      </c>
      <c r="G36" s="28" t="n">
        <f aca="false">IFERROR(F36/F10,"缺")</f>
        <v>2031.90002951884</v>
      </c>
      <c r="H36" s="28" t="n">
        <f aca="false">IFERROR(F36/G10,"缺")</f>
        <v>2174.73540097941</v>
      </c>
      <c r="I36" s="29" t="n">
        <f aca="false">F36-$C$28</f>
        <v>13004</v>
      </c>
      <c r="J36" s="30" t="n">
        <f aca="false">F36/$C$28-1</f>
        <v>0.03251</v>
      </c>
      <c r="K36" s="28" t="n">
        <f aca="false">F36*12</f>
        <v>4956048</v>
      </c>
      <c r="L36" s="28" t="n">
        <f aca="false">F36*36</f>
        <v>14868144</v>
      </c>
      <c r="M36" s="28" t="n">
        <f aca="false">IFERROR(I10*M10,"缺")</f>
        <v>1216512</v>
      </c>
      <c r="N36" s="25" t="str">
        <f aca="false">IF(COUNTIF(F10:R10,"缺")=0,"完整","缺 "&amp;COUNTIF(F10:R10,"缺")&amp;" 項")</f>
        <v>缺 1 項</v>
      </c>
      <c r="O36" s="14" t="s">
        <v>87</v>
      </c>
    </row>
    <row r="37" customFormat="false" ht="15" hidden="false" customHeight="false" outlineLevel="0" collapsed="false">
      <c r="A37" s="25" t="str">
        <f aca="false">A11</f>
        <v>G</v>
      </c>
      <c r="B37" s="26" t="str">
        <f aca="false">B11</f>
        <v>白宮企業大樓 5F ↗</v>
      </c>
      <c r="C37" s="27" t="n">
        <f aca="false">IF(ISNUMBER(R11),2026-R11,"缺")</f>
        <v>48</v>
      </c>
      <c r="D37" s="28" t="n">
        <f aca="false">IFERROR(I11/F11,"缺")</f>
        <v>1739.51893353941</v>
      </c>
      <c r="E37" s="28" t="n">
        <f aca="false">IFERROR(I11/G11,"缺")</f>
        <v>2294.97228063468</v>
      </c>
      <c r="F37" s="28" t="n">
        <f aca="false">I11+IF(ISNUMBER(J11),J11,0)+IF(ISNUMBER(K11),K11,0)</f>
        <v>389134</v>
      </c>
      <c r="G37" s="28" t="n">
        <f aca="false">IFERROR(F37/F11,"缺")</f>
        <v>1879.51120556414</v>
      </c>
      <c r="H37" s="28" t="n">
        <f aca="false">IFERROR(F37/G11,"缺")</f>
        <v>2479.66609316256</v>
      </c>
      <c r="I37" s="29" t="n">
        <f aca="false">F37-$C$28</f>
        <v>-10866</v>
      </c>
      <c r="J37" s="30" t="n">
        <f aca="false">F37/$C$28-1</f>
        <v>-0.027165</v>
      </c>
      <c r="K37" s="28" t="n">
        <f aca="false">F37*12</f>
        <v>4669608</v>
      </c>
      <c r="L37" s="28" t="n">
        <f aca="false">F37*36</f>
        <v>14008824</v>
      </c>
      <c r="M37" s="28" t="n">
        <f aca="false">IFERROR(I11*M11,"缺")</f>
        <v>720300</v>
      </c>
      <c r="N37" s="25" t="str">
        <f aca="false">IF(COUNTIF(F11:R11,"缺")=0,"完整","缺 "&amp;COUNTIF(F11:R11,"缺")&amp;" 項")</f>
        <v>完整</v>
      </c>
      <c r="O37" s="14" t="s">
        <v>95</v>
      </c>
    </row>
    <row r="38" customFormat="false" ht="15" hidden="false" customHeight="false" outlineLevel="0" collapsed="false">
      <c r="A38" s="25" t="str">
        <f aca="false">A12</f>
        <v>H</v>
      </c>
      <c r="B38" s="31" t="str">
        <f aca="false">B12</f>
        <v>591 光復南路 7F ↗</v>
      </c>
      <c r="C38" s="27" t="str">
        <f aca="false">IF(ISNUMBER(R12),2026-R12,"缺")</f>
        <v>缺</v>
      </c>
      <c r="D38" s="28" t="n">
        <f aca="false">IFERROR(I12/F12,"缺")</f>
        <v>1895.7345971564</v>
      </c>
      <c r="E38" s="28" t="str">
        <f aca="false">IFERROR(I12/G12,"缺")</f>
        <v>缺</v>
      </c>
      <c r="F38" s="28" t="n">
        <f aca="false">I12+IF(ISNUMBER(J12),J12,0)+IF(ISNUMBER(K12),K12,0)</f>
        <v>417935</v>
      </c>
      <c r="G38" s="28" t="n">
        <f aca="false">IFERROR(F38/F12,"缺")</f>
        <v>1980.7345971564</v>
      </c>
      <c r="H38" s="28" t="str">
        <f aca="false">IFERROR(F38/G12,"缺")</f>
        <v>缺</v>
      </c>
      <c r="I38" s="29" t="n">
        <f aca="false">F38-$C$28</f>
        <v>17935</v>
      </c>
      <c r="J38" s="30" t="n">
        <f aca="false">F38/$C$28-1</f>
        <v>0.0448375000000001</v>
      </c>
      <c r="K38" s="28" t="n">
        <f aca="false">F38*12</f>
        <v>5015220</v>
      </c>
      <c r="L38" s="28" t="n">
        <f aca="false">F38*36</f>
        <v>15045660</v>
      </c>
      <c r="M38" s="28" t="n">
        <f aca="false">IFERROR(I12*M12,"缺")</f>
        <v>800000</v>
      </c>
      <c r="N38" s="25" t="str">
        <f aca="false">IF(COUNTIF(F12:R12,"缺")=0,"完整","缺 "&amp;COUNTIF(F12:R12,"缺")&amp;" 項")</f>
        <v>缺 6 項</v>
      </c>
      <c r="O38" s="13" t="s">
        <v>104</v>
      </c>
    </row>
    <row r="39" customFormat="false" ht="15" hidden="false" customHeight="false" outlineLevel="0" collapsed="false">
      <c r="A39" s="25" t="str">
        <f aca="false">A13</f>
        <v>I</v>
      </c>
      <c r="B39" s="26" t="str">
        <f aca="false">B13</f>
        <v>信義 光復北路新大樓 5F ↗</v>
      </c>
      <c r="C39" s="27" t="n">
        <f aca="false">IF(ISNUMBER(R13),2026-R13,"缺")</f>
        <v>1</v>
      </c>
      <c r="D39" s="28" t="n">
        <f aca="false">IFERROR(I13/F13,"缺")</f>
        <v>1500</v>
      </c>
      <c r="E39" s="28" t="n">
        <f aca="false">IFERROR(I13/G13,"缺")</f>
        <v>2551.72990138726</v>
      </c>
      <c r="F39" s="28" t="n">
        <f aca="false">I13+IF(ISNUMBER(J13),J13,0)+IF(ISNUMBER(K13),K13,0)</f>
        <v>337910</v>
      </c>
      <c r="G39" s="28" t="n">
        <f aca="false">IFERROR(F39/F13,"缺")</f>
        <v>1660.0019650226</v>
      </c>
      <c r="H39" s="28" t="n">
        <f aca="false">IFERROR(F39/G13,"缺")</f>
        <v>2823.91776700652</v>
      </c>
      <c r="I39" s="29" t="n">
        <f aca="false">F39-$C$28</f>
        <v>-62090</v>
      </c>
      <c r="J39" s="30" t="n">
        <f aca="false">F39/$C$28-1</f>
        <v>-0.155225</v>
      </c>
      <c r="K39" s="28" t="n">
        <f aca="false">F39*12</f>
        <v>4054920</v>
      </c>
      <c r="L39" s="28" t="n">
        <f aca="false">F39*36</f>
        <v>12164760</v>
      </c>
      <c r="M39" s="28" t="n">
        <f aca="false">IFERROR(I13*M13,"缺")</f>
        <v>610680</v>
      </c>
      <c r="N39" s="25" t="str">
        <f aca="false">IF(COUNTIF(F13:R13,"缺")=0,"完整","缺 "&amp;COUNTIF(F13:R13,"缺")&amp;" 項")</f>
        <v>缺 3 項</v>
      </c>
      <c r="O39" s="14" t="s">
        <v>114</v>
      </c>
    </row>
    <row r="40" customFormat="false" ht="15" hidden="false" customHeight="false" outlineLevel="0" collapsed="false">
      <c r="A40" s="25" t="str">
        <f aca="false">A14</f>
        <v>Y1</v>
      </c>
      <c r="B40" s="26" t="str">
        <f aca="false">B14</f>
        <v>永慶 安敦國際大樓 14F ↗</v>
      </c>
      <c r="C40" s="27" t="n">
        <f aca="false">IF(ISNUMBER(R14),2026-R14,"缺")</f>
        <v>37</v>
      </c>
      <c r="D40" s="28" t="n">
        <f aca="false">IFERROR(I14/F14,"缺")</f>
        <v>1998.39414756</v>
      </c>
      <c r="E40" s="28" t="str">
        <f aca="false">IFERROR(I14/G14,"缺")</f>
        <v>缺</v>
      </c>
      <c r="F40" s="28" t="n">
        <f aca="false">I14+IF(ISNUMBER(J14),J14,0)+IF(ISNUMBER(K14),K14,0)</f>
        <v>480000</v>
      </c>
      <c r="G40" s="28" t="n">
        <f aca="false">IFERROR(F40/F14,"缺")</f>
        <v>2141.13658667142</v>
      </c>
      <c r="H40" s="28" t="str">
        <f aca="false">IFERROR(F40/G14,"缺")</f>
        <v>缺</v>
      </c>
      <c r="I40" s="29" t="n">
        <f aca="false">F40-$C$28</f>
        <v>80000</v>
      </c>
      <c r="J40" s="30" t="n">
        <f aca="false">F40/$C$28-1</f>
        <v>0.2</v>
      </c>
      <c r="K40" s="28" t="n">
        <f aca="false">F40*12</f>
        <v>5760000</v>
      </c>
      <c r="L40" s="28" t="n">
        <f aca="false">F40*36</f>
        <v>17280000</v>
      </c>
      <c r="M40" s="28" t="n">
        <f aca="false">IFERROR(I14*M14,"缺")</f>
        <v>896000</v>
      </c>
      <c r="N40" s="25" t="str">
        <f aca="false">IF(COUNTIF(F14:R14,"缺")=0,"完整","缺 "&amp;COUNTIF(F14:R14,"缺")&amp;" 項")</f>
        <v>缺 3 項</v>
      </c>
      <c r="O40" s="14" t="s">
        <v>124</v>
      </c>
    </row>
    <row r="41" customFormat="false" ht="15" hidden="false" customHeight="false" outlineLevel="0" collapsed="false">
      <c r="A41" s="25" t="str">
        <f aca="false">A15</f>
        <v>Y2</v>
      </c>
      <c r="B41" s="26" t="str">
        <f aca="false">B15</f>
        <v>永慶／信義 家美金融大樓 15F ↗</v>
      </c>
      <c r="C41" s="27" t="n">
        <f aca="false">IF(ISNUMBER(R15),2026-R15,"缺")</f>
        <v>33</v>
      </c>
      <c r="D41" s="28" t="n">
        <f aca="false">IFERROR(I15/F15,"缺")</f>
        <v>1904.67075038285</v>
      </c>
      <c r="E41" s="28" t="n">
        <f aca="false">IFERROR(I15/G15,"缺")</f>
        <v>2426.08960682719</v>
      </c>
      <c r="F41" s="28" t="n">
        <f aca="false">I15+IF(ISNUMBER(J15),J15,0)+IF(ISNUMBER(K15),K15,0)</f>
        <v>434435</v>
      </c>
      <c r="G41" s="28" t="n">
        <f aca="false">IFERROR(F41/F15,"缺")</f>
        <v>2079.03426493109</v>
      </c>
      <c r="H41" s="28" t="n">
        <f aca="false">IFERROR(F41/G15,"缺")</f>
        <v>2648.18652849741</v>
      </c>
      <c r="I41" s="29" t="n">
        <f aca="false">F41-$C$28</f>
        <v>34435</v>
      </c>
      <c r="J41" s="30" t="n">
        <f aca="false">F41/$C$28-1</f>
        <v>0.0860875000000001</v>
      </c>
      <c r="K41" s="28" t="n">
        <f aca="false">F41*12</f>
        <v>5213220</v>
      </c>
      <c r="L41" s="28" t="n">
        <f aca="false">F41*36</f>
        <v>15639660</v>
      </c>
      <c r="M41" s="28" t="n">
        <f aca="false">IFERROR(I15*M15,"缺")</f>
        <v>796000</v>
      </c>
      <c r="N41" s="25" t="str">
        <f aca="false">IF(COUNTIF(F15:R15,"缺")=0,"完整","缺 "&amp;COUNTIF(F15:R15,"缺")&amp;" 項")</f>
        <v>缺 1 項</v>
      </c>
      <c r="O41" s="14" t="s">
        <v>136</v>
      </c>
    </row>
    <row r="42" customFormat="false" ht="15" hidden="false" customHeight="false" outlineLevel="0" collapsed="false">
      <c r="A42" s="25" t="str">
        <f aca="false">A16</f>
        <v>S03</v>
      </c>
      <c r="B42" s="26" t="str">
        <f aca="false">B16</f>
        <v>信義 敦北長城大樓 3F ↗</v>
      </c>
      <c r="C42" s="27" t="n">
        <f aca="false">IF(ISNUMBER(R16),2026-R16,"缺")</f>
        <v>34</v>
      </c>
      <c r="D42" s="28" t="n">
        <f aca="false">IFERROR(I16/F16,"缺")</f>
        <v>2101.13802417748</v>
      </c>
      <c r="E42" s="28" t="n">
        <f aca="false">IFERROR(I16/G16,"缺")</f>
        <v>2357.29544438373</v>
      </c>
      <c r="F42" s="28" t="n">
        <f aca="false">I16+IF(ISNUMBER(J16),J16,0)+IF(ISNUMBER(K16),K16,0)</f>
        <v>501600</v>
      </c>
      <c r="G42" s="28" t="n">
        <f aca="false">IFERROR(F42/F16,"缺")</f>
        <v>2221.13979542133</v>
      </c>
      <c r="H42" s="28" t="n">
        <f aca="false">IFERROR(F42/G16,"缺")</f>
        <v>2491.92707039595</v>
      </c>
      <c r="I42" s="29" t="n">
        <f aca="false">F42-$C$28</f>
        <v>101600</v>
      </c>
      <c r="J42" s="30" t="n">
        <f aca="false">F42/$C$28-1</f>
        <v>0.254</v>
      </c>
      <c r="K42" s="28" t="n">
        <f aca="false">F42*12</f>
        <v>6019200</v>
      </c>
      <c r="L42" s="28" t="n">
        <f aca="false">F42*36</f>
        <v>18057600</v>
      </c>
      <c r="M42" s="28" t="n">
        <f aca="false">IFERROR(I16*M16,"缺")</f>
        <v>1423500</v>
      </c>
      <c r="N42" s="25" t="str">
        <f aca="false">IF(COUNTIF(F16:R16,"缺")=0,"完整","缺 "&amp;COUNTIF(F16:R16,"缺")&amp;" 項")</f>
        <v>缺 2 項</v>
      </c>
      <c r="O42" s="14" t="s">
        <v>146</v>
      </c>
    </row>
    <row r="43" customFormat="false" ht="15" hidden="false" customHeight="false" outlineLevel="0" collapsed="false">
      <c r="A43" s="25" t="str">
        <f aca="false">A17</f>
        <v>S04</v>
      </c>
      <c r="B43" s="26" t="str">
        <f aca="false">B17</f>
        <v>信義 光復南路大坪數辦公 6F ↗</v>
      </c>
      <c r="C43" s="27" t="n">
        <f aca="false">IF(ISNUMBER(R17),2026-R17,"缺")</f>
        <v>51</v>
      </c>
      <c r="D43" s="28" t="n">
        <f aca="false">IFERROR(I17/F17,"缺")</f>
        <v>1837.9222253761</v>
      </c>
      <c r="E43" s="28" t="str">
        <f aca="false">IFERROR(I17/G17,"缺")</f>
        <v>缺</v>
      </c>
      <c r="F43" s="28" t="n">
        <f aca="false">I17+IF(ISNUMBER(J17),J17,0)+IF(ISNUMBER(K17),K17,0)</f>
        <v>405500</v>
      </c>
      <c r="G43" s="28" t="n">
        <f aca="false">IFERROR(F43/F17,"缺")</f>
        <v>1918.34610653799</v>
      </c>
      <c r="H43" s="28" t="str">
        <f aca="false">IFERROR(F43/G17,"缺")</f>
        <v>缺</v>
      </c>
      <c r="I43" s="29" t="n">
        <f aca="false">F43-$C$28</f>
        <v>5500</v>
      </c>
      <c r="J43" s="30" t="n">
        <f aca="false">F43/$C$28-1</f>
        <v>0.0137499999999999</v>
      </c>
      <c r="K43" s="28" t="n">
        <f aca="false">F43*12</f>
        <v>4866000</v>
      </c>
      <c r="L43" s="28" t="n">
        <f aca="false">F43*36</f>
        <v>14598000</v>
      </c>
      <c r="M43" s="28" t="n">
        <f aca="false">IFERROR(I17*M17,"缺")</f>
        <v>1165500</v>
      </c>
      <c r="N43" s="25" t="str">
        <f aca="false">IF(COUNTIF(F17:R17,"缺")=0,"完整","缺 "&amp;COUNTIF(F17:R17,"缺")&amp;" 項")</f>
        <v>缺 4 項</v>
      </c>
      <c r="O43" s="14" t="s">
        <v>156</v>
      </c>
    </row>
    <row r="44" customFormat="false" ht="15" hidden="false" customHeight="false" outlineLevel="0" collapsed="false">
      <c r="A44" s="25" t="str">
        <f aca="false">A18</f>
        <v>S05</v>
      </c>
      <c r="B44" s="26" t="str">
        <f aca="false">B18</f>
        <v>信義 中山區大辦公室＋大倉儲 10F ↗</v>
      </c>
      <c r="C44" s="27" t="n">
        <f aca="false">IF(ISNUMBER(R18),2026-R18,"缺")</f>
        <v>41</v>
      </c>
      <c r="D44" s="28" t="n">
        <f aca="false">IFERROR(I18/F18,"缺")</f>
        <v>1397.28096676737</v>
      </c>
      <c r="E44" s="28" t="n">
        <f aca="false">IFERROR(I18/G18,"缺")</f>
        <v>1480</v>
      </c>
      <c r="F44" s="28" t="n">
        <f aca="false">I18+IF(ISNUMBER(J18),J18,0)+IF(ISNUMBER(K18),K18,0)</f>
        <v>431000</v>
      </c>
      <c r="G44" s="28" t="n">
        <f aca="false">IFERROR(F44/F18,"缺")</f>
        <v>1550.13667098259</v>
      </c>
      <c r="H44" s="28" t="n">
        <f aca="false">IFERROR(F44/G18,"缺")</f>
        <v>1641.90476190476</v>
      </c>
      <c r="I44" s="29" t="n">
        <f aca="false">F44-$C$28</f>
        <v>31000</v>
      </c>
      <c r="J44" s="30" t="n">
        <f aca="false">F44/$C$28-1</f>
        <v>0.0774999999999999</v>
      </c>
      <c r="K44" s="28" t="n">
        <f aca="false">F44*12</f>
        <v>5172000</v>
      </c>
      <c r="L44" s="28" t="n">
        <f aca="false">F44*36</f>
        <v>15516000</v>
      </c>
      <c r="M44" s="28" t="n">
        <f aca="false">IFERROR(I18*M18,"缺")</f>
        <v>777000</v>
      </c>
      <c r="N44" s="25" t="str">
        <f aca="false">IF(COUNTIF(F18:R18,"缺")=0,"完整","缺 "&amp;COUNTIF(F18:R18,"缺")&amp;" 項")</f>
        <v>缺 2 項</v>
      </c>
      <c r="O44" s="14" t="s">
        <v>167</v>
      </c>
    </row>
    <row r="45" customFormat="false" ht="15" hidden="false" customHeight="false" outlineLevel="0" collapsed="false">
      <c r="A45" s="25" t="str">
        <f aca="false">A19</f>
        <v>S06</v>
      </c>
      <c r="B45" s="26" t="str">
        <f aca="false">B19</f>
        <v>信義 八德正核心大辦公室 7F ↗</v>
      </c>
      <c r="C45" s="27" t="n">
        <f aca="false">IF(ISNUMBER(R19),2026-R19,"缺")</f>
        <v>30</v>
      </c>
      <c r="D45" s="28" t="n">
        <f aca="false">IFERROR(I19/F19,"缺")</f>
        <v>1500</v>
      </c>
      <c r="E45" s="28" t="str">
        <f aca="false">IFERROR(I19/G19,"缺")</f>
        <v>缺</v>
      </c>
      <c r="F45" s="28" t="n">
        <f aca="false">I19+IF(ISNUMBER(J19),J19,0)+IF(ISNUMBER(K19),K19,0)</f>
        <v>423010</v>
      </c>
      <c r="G45" s="28" t="n">
        <f aca="false">IFERROR(F45/F19,"缺")</f>
        <v>1665.00039360781</v>
      </c>
      <c r="H45" s="28" t="str">
        <f aca="false">IFERROR(F45/G19,"缺")</f>
        <v>缺</v>
      </c>
      <c r="I45" s="29" t="n">
        <f aca="false">F45-$C$28</f>
        <v>23010</v>
      </c>
      <c r="J45" s="30" t="n">
        <f aca="false">F45/$C$28-1</f>
        <v>0.0575250000000001</v>
      </c>
      <c r="K45" s="28" t="n">
        <f aca="false">F45*12</f>
        <v>5076120</v>
      </c>
      <c r="L45" s="28" t="n">
        <f aca="false">F45*36</f>
        <v>15228360</v>
      </c>
      <c r="M45" s="28" t="n">
        <f aca="false">IFERROR(I19*M19,"缺")</f>
        <v>1143270</v>
      </c>
      <c r="N45" s="25" t="str">
        <f aca="false">IF(COUNTIF(F19:R19,"缺")=0,"完整","缺 "&amp;COUNTIF(F19:R19,"缺")&amp;" 項")</f>
        <v>缺 3 項</v>
      </c>
      <c r="O45" s="14" t="s">
        <v>175</v>
      </c>
    </row>
    <row r="46" customFormat="false" ht="15" hidden="false" customHeight="false" outlineLevel="0" collapsed="false">
      <c r="A46" s="25" t="str">
        <f aca="false">A20</f>
        <v>S07</v>
      </c>
      <c r="B46" s="26" t="str">
        <f aca="false">B20</f>
        <v>信義 明水路營業用商辦 4F ↗</v>
      </c>
      <c r="C46" s="27" t="n">
        <f aca="false">IF(ISNUMBER(R20),2026-R20,"缺")</f>
        <v>25</v>
      </c>
      <c r="D46" s="28" t="n">
        <f aca="false">IFERROR(I20/F20,"缺")</f>
        <v>1382.52488544794</v>
      </c>
      <c r="E46" s="28" t="n">
        <f aca="false">IFERROR(I20/G20,"缺")</f>
        <v>2098.69880673982</v>
      </c>
      <c r="F46" s="28" t="n">
        <f aca="false">I20+IF(ISNUMBER(J20),J20,0)+IF(ISNUMBER(K20),K20,0)</f>
        <v>386676</v>
      </c>
      <c r="G46" s="28" t="n">
        <f aca="false">IFERROR(F46/F20,"缺")</f>
        <v>1527.39769315848</v>
      </c>
      <c r="H46" s="28" t="n">
        <f aca="false">IFERROR(F46/G20,"缺")</f>
        <v>2318.61845655693</v>
      </c>
      <c r="I46" s="29" t="n">
        <f aca="false">F46-$C$28</f>
        <v>-13324</v>
      </c>
      <c r="J46" s="30" t="n">
        <f aca="false">F46/$C$28-1</f>
        <v>-0.03331</v>
      </c>
      <c r="K46" s="28" t="n">
        <f aca="false">F46*12</f>
        <v>4640112</v>
      </c>
      <c r="L46" s="28" t="n">
        <f aca="false">F46*36</f>
        <v>13920336</v>
      </c>
      <c r="M46" s="28" t="n">
        <f aca="false">IFERROR(I20*M20,"缺")</f>
        <v>700000</v>
      </c>
      <c r="N46" s="25" t="str">
        <f aca="false">IF(COUNTIF(F20:R20,"缺")=0,"完整","缺 "&amp;COUNTIF(F20:R20,"缺")&amp;" 項")</f>
        <v>缺 1 項</v>
      </c>
      <c r="O46" s="14" t="s">
        <v>185</v>
      </c>
    </row>
    <row r="47" customFormat="false" ht="15" hidden="false" customHeight="false" outlineLevel="0" collapsed="false">
      <c r="A47" s="25" t="str">
        <f aca="false">A21</f>
        <v>S08</v>
      </c>
      <c r="B47" s="26" t="str">
        <f aca="false">B21</f>
        <v>信義 國票大樓 15F C ↗</v>
      </c>
      <c r="C47" s="27" t="n">
        <f aca="false">IF(ISNUMBER(R21),2026-R21,"缺")</f>
        <v>6</v>
      </c>
      <c r="D47" s="28" t="n">
        <f aca="false">IFERROR(I21/F21,"缺")</f>
        <v>2191.74871073605</v>
      </c>
      <c r="E47" s="28" t="n">
        <f aca="false">IFERROR(I21/G21,"缺")</f>
        <v>5339.80582524272</v>
      </c>
      <c r="F47" s="28" t="n">
        <f aca="false">I21+IF(ISNUMBER(J21),J21,0)+IF(ISNUMBER(K21),K21,0)</f>
        <v>501100</v>
      </c>
      <c r="G47" s="28" t="n">
        <f aca="false">IFERROR(F47/F21,"缺")</f>
        <v>2349.27332395687</v>
      </c>
      <c r="H47" s="28" t="n">
        <f aca="false">IFERROR(F47/G21,"缺")</f>
        <v>5723.58652198744</v>
      </c>
      <c r="I47" s="29" t="n">
        <f aca="false">F47-$C$28</f>
        <v>101100</v>
      </c>
      <c r="J47" s="30" t="n">
        <f aca="false">F47/$C$28-1</f>
        <v>0.25275</v>
      </c>
      <c r="K47" s="28" t="n">
        <f aca="false">F47*12</f>
        <v>6013200</v>
      </c>
      <c r="L47" s="28" t="n">
        <f aca="false">F47*36</f>
        <v>18039600</v>
      </c>
      <c r="M47" s="28" t="n">
        <f aca="false">IFERROR(I21*M21,"缺")</f>
        <v>935000</v>
      </c>
      <c r="N47" s="25" t="str">
        <f aca="false">IF(COUNTIF(F21:R21,"缺")=0,"完整","缺 "&amp;COUNTIF(F21:R21,"缺")&amp;" 項")</f>
        <v>缺 2 項</v>
      </c>
      <c r="O47" s="14" t="s">
        <v>194</v>
      </c>
    </row>
    <row r="48" customFormat="false" ht="15" hidden="false" customHeight="false" outlineLevel="0" collapsed="false">
      <c r="A48" s="25" t="str">
        <f aca="false">A22</f>
        <v>S11</v>
      </c>
      <c r="B48" s="26" t="str">
        <f aca="false">B22</f>
        <v>信義 雙捷核心八德經典商辦 5F ↗</v>
      </c>
      <c r="C48" s="27" t="n">
        <f aca="false">IF(ISNUMBER(R22),2026-R22,"缺")</f>
        <v>30</v>
      </c>
      <c r="D48" s="28" t="n">
        <f aca="false">IFERROR(I22/F22,"缺")</f>
        <v>1500</v>
      </c>
      <c r="E48" s="28" t="str">
        <f aca="false">IFERROR(I22/G22,"缺")</f>
        <v>缺</v>
      </c>
      <c r="F48" s="28" t="n">
        <f aca="false">I22+IF(ISNUMBER(J22),J22,0)+IF(ISNUMBER(K22),K22,0)</f>
        <v>428505</v>
      </c>
      <c r="G48" s="28" t="n">
        <f aca="false">IFERROR(F48/F22,"缺")</f>
        <v>1500</v>
      </c>
      <c r="H48" s="28" t="str">
        <f aca="false">IFERROR(F48/G22,"缺")</f>
        <v>缺</v>
      </c>
      <c r="I48" s="29" t="n">
        <f aca="false">F48-$C$28</f>
        <v>28505</v>
      </c>
      <c r="J48" s="30" t="n">
        <f aca="false">F48/$C$28-1</f>
        <v>0.0712625</v>
      </c>
      <c r="K48" s="28" t="n">
        <f aca="false">F48*12</f>
        <v>5142060</v>
      </c>
      <c r="L48" s="28" t="n">
        <f aca="false">F48*36</f>
        <v>15426180</v>
      </c>
      <c r="M48" s="28" t="str">
        <f aca="false">IFERROR(I22*M22,"缺")</f>
        <v>缺</v>
      </c>
      <c r="N48" s="25" t="str">
        <f aca="false">IF(COUNTIF(F22:R22,"缺")=0,"完整","缺 "&amp;COUNTIF(F22:R22,"缺")&amp;" 項")</f>
        <v>缺 7 項</v>
      </c>
      <c r="O48" s="14" t="s">
        <v>201</v>
      </c>
    </row>
    <row r="49" customFormat="false" ht="15" hidden="false" customHeight="false" outlineLevel="0" collapsed="false">
      <c r="A49" s="25" t="str">
        <f aca="false">A23</f>
        <v>S12</v>
      </c>
      <c r="B49" s="26" t="str">
        <f aca="false">B23</f>
        <v>信義 信義大樓 21F ↗</v>
      </c>
      <c r="C49" s="27" t="str">
        <f aca="false">IF(ISNUMBER(R23),2026-R23,"缺")</f>
        <v>缺</v>
      </c>
      <c r="D49" s="28" t="n">
        <f aca="false">IFERROR(I23/F23,"缺")</f>
        <v>2050</v>
      </c>
      <c r="E49" s="28" t="str">
        <f aca="false">IFERROR(I23/G23,"缺")</f>
        <v>缺</v>
      </c>
      <c r="F49" s="28" t="n">
        <f aca="false">I23+IF(ISNUMBER(J23),J23,0)+IF(ISNUMBER(K23),K23,0)</f>
        <v>544931</v>
      </c>
      <c r="G49" s="28" t="n">
        <f aca="false">IFERROR(F49/F23,"缺")</f>
        <v>2050</v>
      </c>
      <c r="H49" s="28" t="str">
        <f aca="false">IFERROR(F49/G23,"缺")</f>
        <v>缺</v>
      </c>
      <c r="I49" s="29" t="n">
        <f aca="false">F49-$C$28</f>
        <v>144931</v>
      </c>
      <c r="J49" s="30" t="n">
        <f aca="false">F49/$C$28-1</f>
        <v>0.3623275</v>
      </c>
      <c r="K49" s="28" t="n">
        <f aca="false">F49*12</f>
        <v>6539172</v>
      </c>
      <c r="L49" s="28" t="n">
        <f aca="false">F49*36</f>
        <v>19617516</v>
      </c>
      <c r="M49" s="28" t="str">
        <f aca="false">IFERROR(I23*M23,"缺")</f>
        <v>缺</v>
      </c>
      <c r="N49" s="25" t="str">
        <f aca="false">IF(COUNTIF(F23:R23,"缺")=0,"完整","缺 "&amp;COUNTIF(F23:R23,"缺")&amp;" 項")</f>
        <v>缺 7 項</v>
      </c>
      <c r="O49" s="14" t="s">
        <v>211</v>
      </c>
    </row>
    <row r="50" customFormat="false" ht="15" hidden="false" customHeight="false" outlineLevel="0" collapsed="false">
      <c r="A50" s="25" t="str">
        <f aca="false">A24</f>
        <v>S13</v>
      </c>
      <c r="B50" s="26" t="str">
        <f aca="false">B24</f>
        <v>信義 環球世貿 10F ↗</v>
      </c>
      <c r="C50" s="27" t="str">
        <f aca="false">IF(ISNUMBER(R24),2026-R24,"缺")</f>
        <v>缺</v>
      </c>
      <c r="D50" s="28" t="n">
        <f aca="false">IFERROR(I24/F24,"缺")</f>
        <v>2102.41778044751</v>
      </c>
      <c r="E50" s="28" t="str">
        <f aca="false">IFERROR(I24/G24,"缺")</f>
        <v>缺</v>
      </c>
      <c r="F50" s="28" t="n">
        <f aca="false">I24+IF(ISNUMBER(J24),J24,0)+IF(ISNUMBER(K24),K24,0)</f>
        <v>560000</v>
      </c>
      <c r="G50" s="28" t="n">
        <f aca="false">IFERROR(F50/F24,"缺")</f>
        <v>2102.41778044751</v>
      </c>
      <c r="H50" s="28" t="str">
        <f aca="false">IFERROR(F50/G24,"缺")</f>
        <v>缺</v>
      </c>
      <c r="I50" s="29" t="n">
        <f aca="false">F50-$C$28</f>
        <v>160000</v>
      </c>
      <c r="J50" s="30" t="n">
        <f aca="false">F50/$C$28-1</f>
        <v>0.4</v>
      </c>
      <c r="K50" s="28" t="n">
        <f aca="false">F50*12</f>
        <v>6720000</v>
      </c>
      <c r="L50" s="28" t="n">
        <f aca="false">F50*36</f>
        <v>20160000</v>
      </c>
      <c r="M50" s="28" t="str">
        <f aca="false">IFERROR(I24*M24,"缺")</f>
        <v>缺</v>
      </c>
      <c r="N50" s="25" t="str">
        <f aca="false">IF(COUNTIF(F24:R24,"缺")=0,"完整","缺 "&amp;COUNTIF(F24:R24,"缺")&amp;" 項")</f>
        <v>缺 8 項</v>
      </c>
      <c r="O50" s="14" t="s">
        <v>220</v>
      </c>
    </row>
    <row r="51" customFormat="false" ht="15" hidden="false" customHeight="false" outlineLevel="0" collapsed="false">
      <c r="A51" s="25" t="str">
        <f aca="false">A25</f>
        <v>S14</v>
      </c>
      <c r="B51" s="26" t="str">
        <f aca="false">B25</f>
        <v>信義 復興南路稀有大空間地下室 B1 ↗</v>
      </c>
      <c r="C51" s="27" t="n">
        <f aca="false">IF(ISNUMBER(R25),2026-R25,"缺")</f>
        <v>45</v>
      </c>
      <c r="D51" s="28" t="n">
        <f aca="false">IFERROR(I25/F25,"缺")</f>
        <v>1079.87473453079</v>
      </c>
      <c r="E51" s="28" t="n">
        <f aca="false">IFERROR(I25/G25,"缺")</f>
        <v>1167.90594464126</v>
      </c>
      <c r="F51" s="28" t="n">
        <f aca="false">I25+IF(ISNUMBER(J25),J25,0)+IF(ISNUMBER(K25),K25,0)</f>
        <v>300000</v>
      </c>
      <c r="G51" s="28" t="n">
        <f aca="false">IFERROR(F51/F25,"缺")</f>
        <v>1079.87473453079</v>
      </c>
      <c r="H51" s="28" t="n">
        <f aca="false">IFERROR(F51/G25,"缺")</f>
        <v>1167.90594464126</v>
      </c>
      <c r="I51" s="29" t="n">
        <f aca="false">F51-$C$28</f>
        <v>-100000</v>
      </c>
      <c r="J51" s="30" t="n">
        <f aca="false">F51/$C$28-1</f>
        <v>-0.25</v>
      </c>
      <c r="K51" s="28" t="n">
        <f aca="false">F51*12</f>
        <v>3600000</v>
      </c>
      <c r="L51" s="28" t="n">
        <f aca="false">F51*36</f>
        <v>10800000</v>
      </c>
      <c r="M51" s="28" t="n">
        <f aca="false">IFERROR(I25*M25,"缺")</f>
        <v>600000</v>
      </c>
      <c r="N51" s="25" t="str">
        <f aca="false">IF(COUNTIF(F25:R25,"缺")=0,"完整","缺 "&amp;COUNTIF(F25:R25,"缺")&amp;" 項")</f>
        <v>缺 3 項</v>
      </c>
      <c r="O51" s="14" t="s">
        <v>228</v>
      </c>
    </row>
    <row r="52" customFormat="false" ht="15" hidden="false" customHeight="false" outlineLevel="0" collapsed="false">
      <c r="A52" s="25" t="str">
        <f aca="false">A26</f>
        <v>S15</v>
      </c>
      <c r="B52" s="26" t="str">
        <f aca="false">B26</f>
        <v>信義 永春地下大空間店商辦 B1 ↗</v>
      </c>
      <c r="C52" s="27" t="n">
        <f aca="false">IF(ISNUMBER(R26),2026-R26,"缺")</f>
        <v>35</v>
      </c>
      <c r="D52" s="28" t="n">
        <f aca="false">IFERROR(I26/F26,"缺")</f>
        <v>1020.79041018917</v>
      </c>
      <c r="E52" s="28" t="n">
        <f aca="false">IFERROR(I26/G26,"缺")</f>
        <v>1068.20854566837</v>
      </c>
      <c r="F52" s="28" t="n">
        <f aca="false">I26+IF(ISNUMBER(J26),J26,0)+IF(ISNUMBER(K26),K26,0)</f>
        <v>236980</v>
      </c>
      <c r="G52" s="28" t="n">
        <f aca="false">IFERROR(F52/F26,"缺")</f>
        <v>1109.66473122308</v>
      </c>
      <c r="H52" s="28" t="n">
        <f aca="false">IFERROR(F52/G26,"缺")</f>
        <v>1161.21128969032</v>
      </c>
      <c r="I52" s="29" t="n">
        <f aca="false">F52-$C$28</f>
        <v>-163020</v>
      </c>
      <c r="J52" s="30" t="n">
        <f aca="false">F52/$C$28-1</f>
        <v>-0.40755</v>
      </c>
      <c r="K52" s="28" t="n">
        <f aca="false">F52*12</f>
        <v>2843760</v>
      </c>
      <c r="L52" s="28" t="n">
        <f aca="false">F52*36</f>
        <v>8531280</v>
      </c>
      <c r="M52" s="28" t="n">
        <f aca="false">IFERROR(I26*M26,"缺")</f>
        <v>436000</v>
      </c>
      <c r="N52" s="25" t="str">
        <f aca="false">IF(COUNTIF(F26:R26,"缺")=0,"完整","缺 "&amp;COUNTIF(F26:R26,"缺")&amp;" 項")</f>
        <v>缺 1 項</v>
      </c>
      <c r="O52" s="14" t="s">
        <v>237</v>
      </c>
    </row>
  </sheetData>
  <hyperlinks>
    <hyperlink ref="B5" r:id="rId2" display="安敦國際大樓 7F ↗"/>
    <hyperlink ref="W5" r:id="rId3" display="591 本戶7F·14張照片"/>
    <hyperlink ref="B6" r:id="rId4" display="中鼎大樓 15F之1 ↗"/>
    <hyperlink ref="W6" r:id="rId5" display="信義 本戶15F·15張照片（CZ05572）"/>
    <hyperlink ref="B7" r:id="rId6" display="旭寶大樓 5F ↗"/>
    <hyperlink ref="W7" r:id="rId7" display="好房網大樓頁·19張照片(本戶無公開頁)"/>
    <hyperlink ref="B8" r:id="rId8" display="敦化財經大樓 4F之1 ↗"/>
    <hyperlink ref="W8" r:id="rId9" display="591 疑同戶4F 220坪·星辰地產"/>
    <hyperlink ref="B9" r:id="rId10" display="國泰世華銀行大樓 6F ↗"/>
    <hyperlink ref="W9" r:id="rId11" display="信義社區頁·4張外觀照(本戶無公開頁)"/>
    <hyperlink ref="B10" r:id="rId12" display="友聯大樓 5F ↗"/>
    <hyperlink ref="W10" r:id="rId13" display="友聯5F 現況室內8張照片（591刊登圖·使用者提供）"/>
    <hyperlink ref="B11" r:id="rId14" display="白宮企業大樓 5F ↗"/>
    <hyperlink ref="W11" r:id="rId15" display="好房網大樓頁·10張照片（本戶207坪整層無公開頁）"/>
    <hyperlink ref="B12" r:id="rId16" display="591 光復南路 7F ↗"/>
    <hyperlink ref="W12" r:id="rId17" display="HouseWeb 本戶·40張照片"/>
    <hyperlink ref="B13" r:id="rId18" display="信義 光復北路新大樓 5F ↗"/>
    <hyperlink ref="W13" r:id="rId19" display="信義國際站 本戶·14張照片（備用：www.sinyi.com.tw/rent/houseno/C355686）"/>
    <hyperlink ref="B14" r:id="rId20" display="永慶 安敦國際大樓 14F ↗"/>
    <hyperlink ref="W14" r:id="rId21" display="永慶 本戶14F·15張照片"/>
    <hyperlink ref="B15" r:id="rId22" display="永慶／信義 家美金融大樓 15F ↗"/>
    <hyperlink ref="W15" r:id="rId23" display="永慶 本戶15F·14張照片"/>
    <hyperlink ref="B16" r:id="rId24" display="信義 敦北長城大樓 3F ↗"/>
    <hyperlink ref="W16" r:id="rId25" display="信義 本戶·21張照片（CZ05326）"/>
    <hyperlink ref="B17" r:id="rId26" display="信義 光復南路大坪數辦公 6F ↗"/>
    <hyperlink ref="W17" r:id="rId27" display="信義 本戶·19張照片（C328671）"/>
    <hyperlink ref="B18" r:id="rId28" display="信義 中山區大辦公室＋大倉儲 10F ↗"/>
    <hyperlink ref="W18" r:id="rId29" display="信義 本戶·16張照片（C905199）"/>
    <hyperlink ref="B19" r:id="rId30" display="信義 八德正核心大辦公室 7F ↗"/>
    <hyperlink ref="W19" r:id="rId31" display="信義 本戶·9張照片（CZ05587）"/>
    <hyperlink ref="B20" r:id="rId32" display="信義 明水路營業用商辦 4F ↗"/>
    <hyperlink ref="W20" r:id="rId33" display="信義 本戶·12張照片（CZ03701）"/>
    <hyperlink ref="B21" r:id="rId34" display="信義 國票大樓 15F C ↗"/>
    <hyperlink ref="W21" r:id="rId35" display="信義 本戶·12張照片（C346398）"/>
    <hyperlink ref="B22" r:id="rId36" display="信義 雙捷核心八德經典商辦 5F ↗"/>
    <hyperlink ref="W22" r:id="rId37" display="信義 本戶（CZ05585）"/>
    <hyperlink ref="B23" r:id="rId38" display="信義 信義大樓 21F ↗"/>
    <hyperlink ref="W23" r:id="rId39" display="信義 本戶（C904707）"/>
    <hyperlink ref="B24" r:id="rId40" display="信義 環球世貿 10F ↗"/>
    <hyperlink ref="W24" r:id="rId41" display="信義 本戶（C360646）"/>
    <hyperlink ref="B25" r:id="rId42" display="信義 復興南路稀有大空間地下室 B1 ↗"/>
    <hyperlink ref="W25" r:id="rId43" display="信義 本戶·5張照片（C348029）"/>
    <hyperlink ref="B26" r:id="rId44" display="信義 永春地下大空間店商辦 B1 ↗"/>
    <hyperlink ref="W26" r:id="rId45" display="信義 本戶·18張照片（C360351）"/>
    <hyperlink ref="B31" r:id="rId46" display="https://business.591.com.tw/rent/22034644"/>
    <hyperlink ref="O31" r:id="rId47" display="591 本戶7F·14張照片"/>
    <hyperlink ref="B32" r:id="rId48" display="https://www.sinyi.com.tw/rent/houseno/CZ05572"/>
    <hyperlink ref="O32" r:id="rId49" display="信義 本戶15F·15張照片（CZ05572）"/>
    <hyperlink ref="B33" r:id="rId50" display="https://buy.housefun.com.tw/buy/building/9278"/>
    <hyperlink ref="O33" r:id="rId51" display="好房網大樓頁·19張照片(本戶無公開頁)"/>
    <hyperlink ref="B34" r:id="rId52" display="https://business.591.com.tw/rent/21856432"/>
    <hyperlink ref="O34" r:id="rId53" display="591 疑同戶4F 220坪·星辰地產"/>
    <hyperlink ref="B35" r:id="rId54" display="https://www.sinyi.com.tw/communitylist/communityinfo/0008197"/>
    <hyperlink ref="O35" r:id="rId55" display="信義社區頁·4張外觀照(本戶無公開頁)"/>
    <hyperlink ref="B36" r:id="rId56" display="https://kevinashowtimes-web.github.io/showtime-office-dashboard/?case=f"/>
    <hyperlink ref="O36" r:id="rId57" display="友聯5F 現況室內8張照片（591刊登圖·使用者提供）"/>
    <hyperlink ref="B37" r:id="rId58" display="https://buy.housefun.com.tw/buy/building/28758"/>
    <hyperlink ref="O37" r:id="rId59" display="好房網大樓頁·10張照片（本戶207坪整層無公開頁）"/>
    <hyperlink ref="B38" r:id="rId60" display="https://www.houseweb.com.tw/house/2653888"/>
    <hyperlink ref="O38" r:id="rId61" display="HouseWeb 本戶·40張照片"/>
    <hyperlink ref="B39" r:id="rId62" display="https://www.sinyiglobal.com/rental/C355686"/>
    <hyperlink ref="O39" r:id="rId63" display="信義國際站 本戶·14張照片（備用：www.sinyi.com.tw/rent/houseno/C355686）"/>
    <hyperlink ref="B40" r:id="rId64" display="https://rent.yungching.com.tw/region/house/2358272?pc=0916263633"/>
    <hyperlink ref="O40" r:id="rId65" display="永慶 本戶14F·15張照片"/>
    <hyperlink ref="B41" r:id="rId66" display="https://rent.yungching.com.tw/region/house/2373308?pc=0916263633"/>
    <hyperlink ref="O41" r:id="rId67" display="永慶 本戶15F·14張照片"/>
    <hyperlink ref="B42" r:id="rId68" display="https://www.sinyi.com.tw/rent/houseno/CZ05326"/>
    <hyperlink ref="O42" r:id="rId69" display="信義 本戶·21張照片（CZ05326）"/>
    <hyperlink ref="B43" r:id="rId70" display="https://www.sinyi.com.tw/rent/houseno/C328671"/>
    <hyperlink ref="O43" r:id="rId71" display="信義 本戶·19張照片（C328671）"/>
    <hyperlink ref="B44" r:id="rId72" display="https://www.sinyi.com.tw/rent/houseno/C905199"/>
    <hyperlink ref="O44" r:id="rId73" display="信義 本戶·16張照片（C905199）"/>
    <hyperlink ref="B45" r:id="rId74" display="https://www.sinyi.com.tw/rent/houseno/CZ05587"/>
    <hyperlink ref="O45" r:id="rId75" display="信義 本戶·9張照片（CZ05587）"/>
    <hyperlink ref="B46" r:id="rId76" display="https://www.sinyi.com.tw/rent/houseno/CZ03701"/>
    <hyperlink ref="O46" r:id="rId77" display="信義 本戶·12張照片（CZ03701）"/>
    <hyperlink ref="B47" r:id="rId78" display="https://www.sinyi.com.tw/rent/houseno/C346398"/>
    <hyperlink ref="O47" r:id="rId79" display="信義 本戶·12張照片（C346398）"/>
    <hyperlink ref="B48" r:id="rId80" display="https://www.sinyi.com.tw/rent/houseno/CZ05585"/>
    <hyperlink ref="O48" r:id="rId81" display="信義 本戶（CZ05585）"/>
    <hyperlink ref="B49" r:id="rId82" display="https://www.sinyi.com.tw/rent/houseno/C904707"/>
    <hyperlink ref="O49" r:id="rId83" display="信義 本戶（C904707）"/>
    <hyperlink ref="B50" r:id="rId84" display="https://www.sinyi.com.tw/rent/houseno/C360646"/>
    <hyperlink ref="O50" r:id="rId85" display="信義 本戶（C360646）"/>
    <hyperlink ref="B51" r:id="rId86" display="https://www.sinyi.com.tw/rent/houseno/C348029"/>
    <hyperlink ref="O51" r:id="rId87" display="信義 本戶·5張照片（C348029）"/>
    <hyperlink ref="B52" r:id="rId88" display="https://www.sinyi.com.tw/rent/houseno/C360351"/>
    <hyperlink ref="O52" r:id="rId89" display="信義 本戶·18張照片（C360351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8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2" min="22" style="0" width="7"/>
    <col collapsed="false" customWidth="true" hidden="false" outlineLevel="0" max="23" min="23" style="0" width="18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40"/>
    <col collapsed="false" customWidth="true" hidden="false" outlineLevel="0" max="27" min="27" style="0" width="34"/>
    <col collapsed="false" customWidth="true" hidden="false" outlineLevel="0" max="28" min="28" style="0" width="56"/>
    <col collapsed="false" customWidth="true" hidden="false" outlineLevel="0" max="29" min="29" style="0" width="40"/>
  </cols>
  <sheetData>
    <row r="1" customFormat="false" ht="20.1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</row>
    <row r="4" customFormat="false" ht="33.75" hidden="false" customHeight="true" outlineLevel="0" collapsed="false">
      <c r="A4" s="3" t="s">
        <v>255</v>
      </c>
      <c r="B4" s="3" t="s">
        <v>256</v>
      </c>
      <c r="C4" s="3" t="s">
        <v>2</v>
      </c>
      <c r="D4" s="3" t="s">
        <v>3</v>
      </c>
      <c r="E4" s="3" t="s">
        <v>4</v>
      </c>
      <c r="F4" s="3" t="s">
        <v>257</v>
      </c>
      <c r="G4" s="3" t="s">
        <v>6</v>
      </c>
      <c r="H4" s="3" t="s">
        <v>258</v>
      </c>
      <c r="I4" s="3" t="s">
        <v>8</v>
      </c>
      <c r="J4" s="3" t="s">
        <v>9</v>
      </c>
      <c r="K4" s="3" t="s">
        <v>10</v>
      </c>
      <c r="L4" s="3" t="s">
        <v>259</v>
      </c>
      <c r="M4" s="3" t="s">
        <v>11</v>
      </c>
      <c r="N4" s="3" t="s">
        <v>260</v>
      </c>
      <c r="O4" s="3" t="s">
        <v>13</v>
      </c>
      <c r="P4" s="3" t="s">
        <v>261</v>
      </c>
      <c r="Q4" s="3" t="s">
        <v>246</v>
      </c>
      <c r="R4" s="3" t="s">
        <v>262</v>
      </c>
      <c r="S4" s="3" t="s">
        <v>14</v>
      </c>
      <c r="T4" s="3" t="s">
        <v>15</v>
      </c>
      <c r="U4" s="3" t="s">
        <v>263</v>
      </c>
      <c r="V4" s="3" t="s">
        <v>264</v>
      </c>
      <c r="W4" s="3" t="s">
        <v>20</v>
      </c>
      <c r="X4" s="3" t="s">
        <v>21</v>
      </c>
      <c r="Y4" s="3" t="s">
        <v>22</v>
      </c>
      <c r="Z4" s="3" t="s">
        <v>23</v>
      </c>
      <c r="AA4" s="3" t="s">
        <v>24</v>
      </c>
      <c r="AB4" s="3" t="s">
        <v>265</v>
      </c>
      <c r="AC4" s="3" t="s">
        <v>266</v>
      </c>
    </row>
    <row r="5" customFormat="false" ht="72" hidden="false" customHeight="true" outlineLevel="0" collapsed="false">
      <c r="A5" s="32" t="n">
        <v>1</v>
      </c>
      <c r="B5" s="33" t="s">
        <v>267</v>
      </c>
      <c r="C5" s="32" t="s">
        <v>195</v>
      </c>
      <c r="D5" s="34" t="s">
        <v>196</v>
      </c>
      <c r="E5" s="35" t="s">
        <v>159</v>
      </c>
      <c r="F5" s="7" t="s">
        <v>170</v>
      </c>
      <c r="G5" s="4" t="s">
        <v>197</v>
      </c>
      <c r="H5" s="8" t="n">
        <v>285.67</v>
      </c>
      <c r="I5" s="36" t="s">
        <v>83</v>
      </c>
      <c r="J5" s="36" t="s">
        <v>83</v>
      </c>
      <c r="K5" s="10" t="n">
        <v>428505</v>
      </c>
      <c r="L5" s="7" t="s">
        <v>268</v>
      </c>
      <c r="M5" s="36" t="s">
        <v>83</v>
      </c>
      <c r="N5" s="10" t="n">
        <v>0</v>
      </c>
      <c r="O5" s="7" t="s">
        <v>198</v>
      </c>
      <c r="P5" s="37" t="n">
        <f aca="false">K5+IF(ISNUMBER(M5),M5,0)+IF(ISNUMBER(N5),N5,0)</f>
        <v>428505</v>
      </c>
      <c r="Q5" s="37" t="str">
        <f aca="false">IFERROR(P5/I5,"缺")</f>
        <v>缺</v>
      </c>
      <c r="R5" s="38" t="n">
        <f aca="false">P5-'A_物調表候選(22案)'!$C$28</f>
        <v>28505</v>
      </c>
      <c r="S5" s="36" t="s">
        <v>83</v>
      </c>
      <c r="T5" s="36" t="s">
        <v>83</v>
      </c>
      <c r="U5" s="7" t="s">
        <v>199</v>
      </c>
      <c r="V5" s="39" t="s">
        <v>269</v>
      </c>
      <c r="W5" s="7" t="s">
        <v>100</v>
      </c>
      <c r="X5" s="7" t="s">
        <v>164</v>
      </c>
      <c r="Y5" s="7" t="s">
        <v>173</v>
      </c>
      <c r="Z5" s="7" t="s">
        <v>200</v>
      </c>
      <c r="AA5" s="14" t="s">
        <v>201</v>
      </c>
      <c r="AB5" s="40" t="s">
        <v>270</v>
      </c>
      <c r="AC5" s="40" t="s">
        <v>271</v>
      </c>
    </row>
    <row r="6" customFormat="false" ht="72" hidden="false" customHeight="true" outlineLevel="0" collapsed="false">
      <c r="A6" s="32" t="n">
        <v>2</v>
      </c>
      <c r="B6" s="33" t="s">
        <v>267</v>
      </c>
      <c r="C6" s="32" t="s">
        <v>157</v>
      </c>
      <c r="D6" s="34" t="s">
        <v>158</v>
      </c>
      <c r="E6" s="35" t="s">
        <v>159</v>
      </c>
      <c r="F6" s="7" t="s">
        <v>160</v>
      </c>
      <c r="G6" s="4" t="s">
        <v>161</v>
      </c>
      <c r="H6" s="8" t="n">
        <v>278.04</v>
      </c>
      <c r="I6" s="8" t="n">
        <v>262.5</v>
      </c>
      <c r="J6" s="9" t="n">
        <v>0.0559</v>
      </c>
      <c r="K6" s="10" t="n">
        <v>388500</v>
      </c>
      <c r="L6" s="7" t="s">
        <v>268</v>
      </c>
      <c r="M6" s="10" t="n">
        <v>37500</v>
      </c>
      <c r="N6" s="10" t="n">
        <v>5000</v>
      </c>
      <c r="O6" s="7" t="s">
        <v>162</v>
      </c>
      <c r="P6" s="37" t="n">
        <f aca="false">K6+IF(ISNUMBER(M6),M6,0)+IF(ISNUMBER(N6),N6,0)</f>
        <v>431000</v>
      </c>
      <c r="Q6" s="37" t="n">
        <f aca="false">IFERROR(P6/I6,"缺")</f>
        <v>1641.90476190476</v>
      </c>
      <c r="R6" s="38" t="n">
        <f aca="false">P6-'A_物調表候選(22案)'!$C$28</f>
        <v>31000</v>
      </c>
      <c r="S6" s="35" t="n">
        <v>2</v>
      </c>
      <c r="T6" s="4" t="s">
        <v>63</v>
      </c>
      <c r="U6" s="7" t="s">
        <v>163</v>
      </c>
      <c r="V6" s="39" t="s">
        <v>272</v>
      </c>
      <c r="W6" s="7" t="s">
        <v>100</v>
      </c>
      <c r="X6" s="7" t="s">
        <v>164</v>
      </c>
      <c r="Y6" s="7" t="s">
        <v>165</v>
      </c>
      <c r="Z6" s="7" t="s">
        <v>166</v>
      </c>
      <c r="AA6" s="14" t="s">
        <v>167</v>
      </c>
      <c r="AB6" s="40" t="s">
        <v>273</v>
      </c>
      <c r="AC6" s="40" t="s">
        <v>274</v>
      </c>
    </row>
    <row r="7" customFormat="false" ht="72" hidden="false" customHeight="true" outlineLevel="0" collapsed="false">
      <c r="A7" s="32" t="n">
        <v>3</v>
      </c>
      <c r="B7" s="33" t="s">
        <v>267</v>
      </c>
      <c r="C7" s="32" t="s">
        <v>275</v>
      </c>
      <c r="D7" s="34" t="s">
        <v>276</v>
      </c>
      <c r="E7" s="35" t="s">
        <v>159</v>
      </c>
      <c r="F7" s="7" t="s">
        <v>178</v>
      </c>
      <c r="G7" s="4" t="s">
        <v>277</v>
      </c>
      <c r="H7" s="8" t="n">
        <v>276</v>
      </c>
      <c r="I7" s="36" t="s">
        <v>83</v>
      </c>
      <c r="J7" s="36" t="s">
        <v>83</v>
      </c>
      <c r="K7" s="10" t="n">
        <v>413800</v>
      </c>
      <c r="L7" s="7" t="s">
        <v>278</v>
      </c>
      <c r="M7" s="36" t="s">
        <v>83</v>
      </c>
      <c r="N7" s="36" t="s">
        <v>83</v>
      </c>
      <c r="O7" s="7" t="s">
        <v>279</v>
      </c>
      <c r="P7" s="37" t="n">
        <f aca="false">K7+IF(ISNUMBER(M7),M7,0)+IF(ISNUMBER(N7),N7,0)</f>
        <v>413800</v>
      </c>
      <c r="Q7" s="37" t="str">
        <f aca="false">IFERROR(P7/I7,"缺")</f>
        <v>缺</v>
      </c>
      <c r="R7" s="38" t="n">
        <f aca="false">P7-'A_物調表候選(22案)'!$C$28</f>
        <v>13800</v>
      </c>
      <c r="S7" s="35" t="s">
        <v>280</v>
      </c>
      <c r="T7" s="4" t="s">
        <v>63</v>
      </c>
      <c r="U7" s="7" t="s">
        <v>281</v>
      </c>
      <c r="V7" s="41" t="s">
        <v>83</v>
      </c>
      <c r="W7" s="36" t="s">
        <v>83</v>
      </c>
      <c r="X7" s="7" t="s">
        <v>282</v>
      </c>
      <c r="Y7" s="12" t="s">
        <v>283</v>
      </c>
      <c r="Z7" s="12" t="s">
        <v>284</v>
      </c>
      <c r="AA7" s="13" t="s">
        <v>285</v>
      </c>
      <c r="AB7" s="40" t="s">
        <v>286</v>
      </c>
      <c r="AC7" s="40" t="s">
        <v>287</v>
      </c>
    </row>
    <row r="8" customFormat="false" ht="72" hidden="false" customHeight="true" outlineLevel="0" collapsed="false">
      <c r="A8" s="32" t="n">
        <v>4</v>
      </c>
      <c r="B8" s="33" t="s">
        <v>267</v>
      </c>
      <c r="C8" s="32" t="s">
        <v>168</v>
      </c>
      <c r="D8" s="34" t="s">
        <v>169</v>
      </c>
      <c r="E8" s="35" t="s">
        <v>159</v>
      </c>
      <c r="F8" s="7" t="s">
        <v>170</v>
      </c>
      <c r="G8" s="4" t="s">
        <v>171</v>
      </c>
      <c r="H8" s="8" t="n">
        <v>254.06</v>
      </c>
      <c r="I8" s="36" t="s">
        <v>83</v>
      </c>
      <c r="J8" s="36" t="s">
        <v>83</v>
      </c>
      <c r="K8" s="10" t="n">
        <v>381090</v>
      </c>
      <c r="L8" s="7" t="s">
        <v>268</v>
      </c>
      <c r="M8" s="10" t="n">
        <v>41920</v>
      </c>
      <c r="N8" s="10" t="n">
        <v>0</v>
      </c>
      <c r="O8" s="7" t="s">
        <v>141</v>
      </c>
      <c r="P8" s="37" t="n">
        <f aca="false">K8+IF(ISNUMBER(M8),M8,0)+IF(ISNUMBER(N8),N8,0)</f>
        <v>423010</v>
      </c>
      <c r="Q8" s="37" t="str">
        <f aca="false">IFERROR(P8/I8,"缺")</f>
        <v>缺</v>
      </c>
      <c r="R8" s="38" t="n">
        <f aca="false">P8-'A_物調表候選(22案)'!$C$28</f>
        <v>23010</v>
      </c>
      <c r="S8" s="35" t="n">
        <v>3</v>
      </c>
      <c r="T8" s="4" t="s">
        <v>43</v>
      </c>
      <c r="U8" s="7" t="s">
        <v>172</v>
      </c>
      <c r="V8" s="39" t="s">
        <v>269</v>
      </c>
      <c r="W8" s="7" t="s">
        <v>100</v>
      </c>
      <c r="X8" s="7" t="s">
        <v>164</v>
      </c>
      <c r="Y8" s="7" t="s">
        <v>173</v>
      </c>
      <c r="Z8" s="7" t="s">
        <v>174</v>
      </c>
      <c r="AA8" s="14" t="s">
        <v>175</v>
      </c>
      <c r="AB8" s="40" t="s">
        <v>288</v>
      </c>
      <c r="AC8" s="40" t="s">
        <v>289</v>
      </c>
    </row>
    <row r="9" customFormat="false" ht="72" hidden="false" customHeight="true" outlineLevel="0" collapsed="false">
      <c r="A9" s="32" t="n">
        <v>5</v>
      </c>
      <c r="B9" s="33" t="s">
        <v>267</v>
      </c>
      <c r="C9" s="32" t="s">
        <v>176</v>
      </c>
      <c r="D9" s="34" t="s">
        <v>177</v>
      </c>
      <c r="E9" s="35" t="s">
        <v>159</v>
      </c>
      <c r="F9" s="7" t="s">
        <v>178</v>
      </c>
      <c r="G9" s="4" t="s">
        <v>179</v>
      </c>
      <c r="H9" s="8" t="n">
        <v>253.16</v>
      </c>
      <c r="I9" s="8" t="n">
        <v>166.77</v>
      </c>
      <c r="J9" s="9" t="n">
        <v>0.3412</v>
      </c>
      <c r="K9" s="10" t="n">
        <v>350000</v>
      </c>
      <c r="L9" s="7" t="s">
        <v>268</v>
      </c>
      <c r="M9" s="10" t="n">
        <v>36676</v>
      </c>
      <c r="N9" s="10" t="n">
        <v>0</v>
      </c>
      <c r="O9" s="12" t="s">
        <v>180</v>
      </c>
      <c r="P9" s="37" t="n">
        <f aca="false">K9+IF(ISNUMBER(M9),M9,0)+IF(ISNUMBER(N9),N9,0)</f>
        <v>386676</v>
      </c>
      <c r="Q9" s="37" t="n">
        <f aca="false">IFERROR(P9/I9,"缺")</f>
        <v>2318.61845655693</v>
      </c>
      <c r="R9" s="38" t="n">
        <f aca="false">P9-'A_物調表候選(22案)'!$C$28</f>
        <v>-13324</v>
      </c>
      <c r="S9" s="35" t="n">
        <v>2</v>
      </c>
      <c r="T9" s="4" t="s">
        <v>43</v>
      </c>
      <c r="U9" s="7" t="s">
        <v>181</v>
      </c>
      <c r="V9" s="39" t="s">
        <v>290</v>
      </c>
      <c r="W9" s="7" t="s">
        <v>100</v>
      </c>
      <c r="X9" s="7" t="s">
        <v>182</v>
      </c>
      <c r="Y9" s="7" t="s">
        <v>183</v>
      </c>
      <c r="Z9" s="7" t="s">
        <v>184</v>
      </c>
      <c r="AA9" s="14" t="s">
        <v>185</v>
      </c>
      <c r="AB9" s="40" t="s">
        <v>291</v>
      </c>
      <c r="AC9" s="42" t="s">
        <v>292</v>
      </c>
    </row>
    <row r="10" customFormat="false" ht="72" hidden="false" customHeight="true" outlineLevel="0" collapsed="false">
      <c r="A10" s="32" t="n">
        <v>6</v>
      </c>
      <c r="B10" s="33" t="s">
        <v>267</v>
      </c>
      <c r="C10" s="32" t="s">
        <v>293</v>
      </c>
      <c r="D10" s="34" t="s">
        <v>294</v>
      </c>
      <c r="E10" s="35" t="s">
        <v>159</v>
      </c>
      <c r="F10" s="7" t="s">
        <v>178</v>
      </c>
      <c r="G10" s="4" t="s">
        <v>179</v>
      </c>
      <c r="H10" s="8" t="n">
        <v>252</v>
      </c>
      <c r="I10" s="36" t="s">
        <v>83</v>
      </c>
      <c r="J10" s="36" t="s">
        <v>83</v>
      </c>
      <c r="K10" s="10" t="n">
        <v>380000</v>
      </c>
      <c r="L10" s="7" t="s">
        <v>278</v>
      </c>
      <c r="M10" s="36" t="s">
        <v>83</v>
      </c>
      <c r="N10" s="36" t="s">
        <v>83</v>
      </c>
      <c r="O10" s="7" t="s">
        <v>295</v>
      </c>
      <c r="P10" s="37" t="n">
        <f aca="false">K10+IF(ISNUMBER(M10),M10,0)+IF(ISNUMBER(N10),N10,0)</f>
        <v>380000</v>
      </c>
      <c r="Q10" s="37" t="str">
        <f aca="false">IFERROR(P10/I10,"缺")</f>
        <v>缺</v>
      </c>
      <c r="R10" s="38" t="n">
        <f aca="false">P10-'A_物調表候選(22案)'!$C$28</f>
        <v>-20000</v>
      </c>
      <c r="S10" s="36" t="s">
        <v>83</v>
      </c>
      <c r="T10" s="36" t="s">
        <v>83</v>
      </c>
      <c r="U10" s="7" t="s">
        <v>281</v>
      </c>
      <c r="V10" s="41" t="s">
        <v>83</v>
      </c>
      <c r="W10" s="36" t="s">
        <v>83</v>
      </c>
      <c r="X10" s="7" t="s">
        <v>282</v>
      </c>
      <c r="Y10" s="12" t="s">
        <v>283</v>
      </c>
      <c r="Z10" s="12" t="s">
        <v>296</v>
      </c>
      <c r="AA10" s="13" t="s">
        <v>297</v>
      </c>
      <c r="AB10" s="40" t="s">
        <v>298</v>
      </c>
      <c r="AC10" s="40" t="s">
        <v>287</v>
      </c>
    </row>
    <row r="11" customFormat="false" ht="72" hidden="false" customHeight="true" outlineLevel="0" collapsed="false">
      <c r="A11" s="32" t="n">
        <v>7</v>
      </c>
      <c r="B11" s="33" t="s">
        <v>267</v>
      </c>
      <c r="C11" s="32" t="s">
        <v>299</v>
      </c>
      <c r="D11" s="34" t="s">
        <v>300</v>
      </c>
      <c r="E11" s="35" t="s">
        <v>51</v>
      </c>
      <c r="F11" s="7" t="s">
        <v>301</v>
      </c>
      <c r="G11" s="4" t="s">
        <v>302</v>
      </c>
      <c r="H11" s="8" t="n">
        <v>220</v>
      </c>
      <c r="I11" s="36" t="s">
        <v>83</v>
      </c>
      <c r="J11" s="36" t="s">
        <v>83</v>
      </c>
      <c r="K11" s="10" t="n">
        <v>369600</v>
      </c>
      <c r="L11" s="7" t="s">
        <v>303</v>
      </c>
      <c r="M11" s="36" t="s">
        <v>83</v>
      </c>
      <c r="N11" s="36" t="s">
        <v>83</v>
      </c>
      <c r="O11" s="7" t="s">
        <v>83</v>
      </c>
      <c r="P11" s="37" t="n">
        <f aca="false">K11+IF(ISNUMBER(M11),M11,0)+IF(ISNUMBER(N11),N11,0)</f>
        <v>369600</v>
      </c>
      <c r="Q11" s="37" t="str">
        <f aca="false">IFERROR(P11/I11,"缺")</f>
        <v>缺</v>
      </c>
      <c r="R11" s="38" t="n">
        <f aca="false">P11-'A_物調表候選(22案)'!$C$28</f>
        <v>-30400</v>
      </c>
      <c r="S11" s="35" t="n">
        <v>3</v>
      </c>
      <c r="T11" s="36" t="s">
        <v>83</v>
      </c>
      <c r="U11" s="36" t="s">
        <v>83</v>
      </c>
      <c r="V11" s="41" t="s">
        <v>83</v>
      </c>
      <c r="W11" s="36" t="s">
        <v>83</v>
      </c>
      <c r="X11" s="7" t="s">
        <v>304</v>
      </c>
      <c r="Y11" s="7" t="s">
        <v>305</v>
      </c>
      <c r="Z11" s="12" t="s">
        <v>306</v>
      </c>
      <c r="AA11" s="14" t="s">
        <v>307</v>
      </c>
      <c r="AB11" s="40" t="s">
        <v>308</v>
      </c>
      <c r="AC11" s="40" t="s">
        <v>309</v>
      </c>
    </row>
    <row r="12" customFormat="false" ht="72" hidden="false" customHeight="true" outlineLevel="0" collapsed="false">
      <c r="A12" s="32" t="n">
        <v>8</v>
      </c>
      <c r="B12" s="33" t="s">
        <v>310</v>
      </c>
      <c r="C12" s="32" t="s">
        <v>311</v>
      </c>
      <c r="D12" s="34" t="s">
        <v>312</v>
      </c>
      <c r="E12" s="35" t="s">
        <v>159</v>
      </c>
      <c r="F12" s="7" t="s">
        <v>313</v>
      </c>
      <c r="G12" s="4" t="s">
        <v>314</v>
      </c>
      <c r="H12" s="8" t="n">
        <v>225</v>
      </c>
      <c r="I12" s="36" t="s">
        <v>83</v>
      </c>
      <c r="J12" s="36" t="s">
        <v>83</v>
      </c>
      <c r="K12" s="10" t="n">
        <v>472500</v>
      </c>
      <c r="L12" s="7" t="s">
        <v>303</v>
      </c>
      <c r="M12" s="36" t="s">
        <v>83</v>
      </c>
      <c r="N12" s="36" t="s">
        <v>83</v>
      </c>
      <c r="O12" s="7" t="s">
        <v>83</v>
      </c>
      <c r="P12" s="37" t="n">
        <f aca="false">K12+IF(ISNUMBER(M12),M12,0)+IF(ISNUMBER(N12),N12,0)</f>
        <v>472500</v>
      </c>
      <c r="Q12" s="37" t="str">
        <f aca="false">IFERROR(P12/I12,"缺")</f>
        <v>缺</v>
      </c>
      <c r="R12" s="38" t="n">
        <f aca="false">P12-'A_物調表候選(22案)'!$C$28</f>
        <v>72500</v>
      </c>
      <c r="S12" s="35" t="n">
        <v>3</v>
      </c>
      <c r="T12" s="36" t="s">
        <v>83</v>
      </c>
      <c r="U12" s="36" t="s">
        <v>83</v>
      </c>
      <c r="V12" s="41" t="s">
        <v>83</v>
      </c>
      <c r="W12" s="36" t="s">
        <v>83</v>
      </c>
      <c r="X12" s="7" t="s">
        <v>304</v>
      </c>
      <c r="Y12" s="7" t="s">
        <v>305</v>
      </c>
      <c r="Z12" s="7" t="s">
        <v>315</v>
      </c>
      <c r="AA12" s="14" t="s">
        <v>316</v>
      </c>
      <c r="AB12" s="40" t="s">
        <v>317</v>
      </c>
      <c r="AC12" s="40" t="s">
        <v>318</v>
      </c>
    </row>
    <row r="13" customFormat="false" ht="72" hidden="false" customHeight="true" outlineLevel="0" collapsed="false">
      <c r="A13" s="32" t="n">
        <v>9</v>
      </c>
      <c r="B13" s="33" t="s">
        <v>310</v>
      </c>
      <c r="C13" s="32" t="s">
        <v>115</v>
      </c>
      <c r="D13" s="34" t="s">
        <v>116</v>
      </c>
      <c r="E13" s="35" t="s">
        <v>27</v>
      </c>
      <c r="F13" s="7" t="s">
        <v>117</v>
      </c>
      <c r="G13" s="4" t="s">
        <v>118</v>
      </c>
      <c r="H13" s="8" t="n">
        <v>224.18</v>
      </c>
      <c r="I13" s="36" t="s">
        <v>83</v>
      </c>
      <c r="J13" s="36" t="s">
        <v>83</v>
      </c>
      <c r="K13" s="10" t="n">
        <v>448000</v>
      </c>
      <c r="L13" s="7" t="s">
        <v>268</v>
      </c>
      <c r="M13" s="10" t="n">
        <v>32000</v>
      </c>
      <c r="N13" s="10" t="n">
        <v>0</v>
      </c>
      <c r="O13" s="7" t="s">
        <v>119</v>
      </c>
      <c r="P13" s="37" t="n">
        <f aca="false">K13+IF(ISNUMBER(M13),M13,0)+IF(ISNUMBER(N13),N13,0)</f>
        <v>480000</v>
      </c>
      <c r="Q13" s="37" t="str">
        <f aca="false">IFERROR(P13/I13,"缺")</f>
        <v>缺</v>
      </c>
      <c r="R13" s="38" t="n">
        <f aca="false">P13-'A_物調表候選(22案)'!$C$28</f>
        <v>80000</v>
      </c>
      <c r="S13" s="35" t="n">
        <v>2</v>
      </c>
      <c r="T13" s="4" t="s">
        <v>120</v>
      </c>
      <c r="U13" s="7" t="s">
        <v>32</v>
      </c>
      <c r="V13" s="39" t="s">
        <v>319</v>
      </c>
      <c r="W13" s="7" t="s">
        <v>100</v>
      </c>
      <c r="X13" s="7" t="s">
        <v>121</v>
      </c>
      <c r="Y13" s="7" t="s">
        <v>122</v>
      </c>
      <c r="Z13" s="7" t="s">
        <v>123</v>
      </c>
      <c r="AA13" s="14" t="s">
        <v>124</v>
      </c>
      <c r="AB13" s="40" t="s">
        <v>320</v>
      </c>
      <c r="AC13" s="40" t="s">
        <v>321</v>
      </c>
    </row>
    <row r="14" customFormat="false" ht="72" hidden="false" customHeight="true" outlineLevel="0" collapsed="false">
      <c r="A14" s="32" t="n">
        <v>10</v>
      </c>
      <c r="B14" s="33" t="s">
        <v>310</v>
      </c>
      <c r="C14" s="32" t="s">
        <v>322</v>
      </c>
      <c r="D14" s="34" t="s">
        <v>323</v>
      </c>
      <c r="E14" s="35" t="s">
        <v>27</v>
      </c>
      <c r="F14" s="7" t="s">
        <v>324</v>
      </c>
      <c r="G14" s="4" t="s">
        <v>302</v>
      </c>
      <c r="H14" s="8" t="n">
        <v>222</v>
      </c>
      <c r="I14" s="8" t="n">
        <v>173</v>
      </c>
      <c r="J14" s="9" t="n">
        <v>0.22</v>
      </c>
      <c r="K14" s="10" t="n">
        <v>420000</v>
      </c>
      <c r="L14" s="7" t="s">
        <v>303</v>
      </c>
      <c r="M14" s="10" t="n">
        <v>33300</v>
      </c>
      <c r="N14" s="10" t="n">
        <v>21000</v>
      </c>
      <c r="O14" s="12" t="s">
        <v>325</v>
      </c>
      <c r="P14" s="37" t="n">
        <f aca="false">K14+IF(ISNUMBER(M14),M14,0)+IF(ISNUMBER(N14),N14,0)</f>
        <v>474300</v>
      </c>
      <c r="Q14" s="37" t="n">
        <f aca="false">IFERROR(P14/I14,"缺")</f>
        <v>2741.61849710983</v>
      </c>
      <c r="R14" s="38" t="n">
        <f aca="false">P14-'A_物調表候選(22案)'!$C$28</f>
        <v>74300</v>
      </c>
      <c r="S14" s="35" t="n">
        <v>3</v>
      </c>
      <c r="T14" s="4" t="s">
        <v>63</v>
      </c>
      <c r="U14" s="7" t="s">
        <v>44</v>
      </c>
      <c r="V14" s="39" t="s">
        <v>272</v>
      </c>
      <c r="W14" s="7" t="s">
        <v>326</v>
      </c>
      <c r="X14" s="7" t="s">
        <v>304</v>
      </c>
      <c r="Y14" s="7" t="s">
        <v>305</v>
      </c>
      <c r="Z14" s="7" t="s">
        <v>327</v>
      </c>
      <c r="AA14" s="14" t="s">
        <v>328</v>
      </c>
      <c r="AB14" s="40" t="s">
        <v>329</v>
      </c>
      <c r="AC14" s="40" t="s">
        <v>330</v>
      </c>
    </row>
    <row r="15" customFormat="false" ht="72" hidden="false" customHeight="true" outlineLevel="0" collapsed="false">
      <c r="A15" s="32" t="n">
        <v>11</v>
      </c>
      <c r="B15" s="33" t="s">
        <v>310</v>
      </c>
      <c r="C15" s="32" t="s">
        <v>25</v>
      </c>
      <c r="D15" s="34" t="s">
        <v>26</v>
      </c>
      <c r="E15" s="35" t="s">
        <v>27</v>
      </c>
      <c r="F15" s="7" t="s">
        <v>28</v>
      </c>
      <c r="G15" s="4" t="s">
        <v>29</v>
      </c>
      <c r="H15" s="8" t="n">
        <v>220.81</v>
      </c>
      <c r="I15" s="8" t="n">
        <v>189.32</v>
      </c>
      <c r="J15" s="9" t="n">
        <v>0.1429</v>
      </c>
      <c r="K15" s="10" t="n">
        <v>420000</v>
      </c>
      <c r="L15" s="7" t="s">
        <v>268</v>
      </c>
      <c r="M15" s="10" t="n">
        <v>30913</v>
      </c>
      <c r="N15" s="10" t="n">
        <v>0</v>
      </c>
      <c r="O15" s="7" t="s">
        <v>30</v>
      </c>
      <c r="P15" s="37" t="n">
        <f aca="false">K15+IF(ISNUMBER(M15),M15,0)+IF(ISNUMBER(N15),N15,0)</f>
        <v>450913</v>
      </c>
      <c r="Q15" s="37" t="n">
        <f aca="false">IFERROR(P15/I15,"缺")</f>
        <v>2381.75047538559</v>
      </c>
      <c r="R15" s="38" t="n">
        <f aca="false">P15-'A_物調表候選(22案)'!$C$28</f>
        <v>50913</v>
      </c>
      <c r="S15" s="35" t="n">
        <v>3</v>
      </c>
      <c r="T15" s="4" t="s">
        <v>31</v>
      </c>
      <c r="U15" s="7" t="s">
        <v>32</v>
      </c>
      <c r="V15" s="39" t="s">
        <v>331</v>
      </c>
      <c r="W15" s="7" t="s">
        <v>33</v>
      </c>
      <c r="X15" s="7" t="s">
        <v>34</v>
      </c>
      <c r="Y15" s="7" t="s">
        <v>35</v>
      </c>
      <c r="Z15" s="7" t="s">
        <v>36</v>
      </c>
      <c r="AA15" s="13" t="s">
        <v>37</v>
      </c>
      <c r="AB15" s="40" t="s">
        <v>332</v>
      </c>
      <c r="AC15" s="40" t="s">
        <v>333</v>
      </c>
    </row>
    <row r="16" customFormat="false" ht="72" hidden="false" customHeight="true" outlineLevel="0" collapsed="false">
      <c r="A16" s="32" t="n">
        <v>12</v>
      </c>
      <c r="B16" s="33" t="s">
        <v>310</v>
      </c>
      <c r="C16" s="32" t="s">
        <v>147</v>
      </c>
      <c r="D16" s="34" t="s">
        <v>148</v>
      </c>
      <c r="E16" s="35" t="s">
        <v>51</v>
      </c>
      <c r="F16" s="7" t="s">
        <v>149</v>
      </c>
      <c r="G16" s="4" t="s">
        <v>150</v>
      </c>
      <c r="H16" s="8" t="n">
        <v>211.38</v>
      </c>
      <c r="I16" s="36" t="s">
        <v>83</v>
      </c>
      <c r="J16" s="36" t="s">
        <v>83</v>
      </c>
      <c r="K16" s="10" t="n">
        <v>388500</v>
      </c>
      <c r="L16" s="7" t="s">
        <v>268</v>
      </c>
      <c r="M16" s="10" t="n">
        <v>15000</v>
      </c>
      <c r="N16" s="10" t="n">
        <v>2000</v>
      </c>
      <c r="O16" s="7" t="s">
        <v>151</v>
      </c>
      <c r="P16" s="37" t="n">
        <f aca="false">K16+IF(ISNUMBER(M16),M16,0)+IF(ISNUMBER(N16),N16,0)</f>
        <v>405500</v>
      </c>
      <c r="Q16" s="37" t="str">
        <f aca="false">IFERROR(P16/I16,"缺")</f>
        <v>缺</v>
      </c>
      <c r="R16" s="38" t="n">
        <f aca="false">P16-'A_物調表候選(22案)'!$C$28</f>
        <v>5500</v>
      </c>
      <c r="S16" s="35" t="n">
        <v>3</v>
      </c>
      <c r="T16" s="4" t="s">
        <v>43</v>
      </c>
      <c r="U16" s="7" t="s">
        <v>152</v>
      </c>
      <c r="V16" s="39" t="s">
        <v>334</v>
      </c>
      <c r="W16" s="7" t="s">
        <v>100</v>
      </c>
      <c r="X16" s="7" t="s">
        <v>153</v>
      </c>
      <c r="Y16" s="7" t="s">
        <v>154</v>
      </c>
      <c r="Z16" s="7" t="s">
        <v>155</v>
      </c>
      <c r="AA16" s="14" t="s">
        <v>156</v>
      </c>
      <c r="AB16" s="40" t="s">
        <v>335</v>
      </c>
      <c r="AC16" s="40" t="s">
        <v>336</v>
      </c>
    </row>
    <row r="17" customFormat="false" ht="72" hidden="false" customHeight="true" outlineLevel="0" collapsed="false">
      <c r="A17" s="32" t="n">
        <v>13</v>
      </c>
      <c r="B17" s="33" t="s">
        <v>310</v>
      </c>
      <c r="C17" s="32" t="s">
        <v>96</v>
      </c>
      <c r="D17" s="43" t="s">
        <v>97</v>
      </c>
      <c r="E17" s="35" t="s">
        <v>51</v>
      </c>
      <c r="F17" s="7" t="s">
        <v>98</v>
      </c>
      <c r="G17" s="4" t="s">
        <v>99</v>
      </c>
      <c r="H17" s="8" t="n">
        <v>211</v>
      </c>
      <c r="I17" s="36" t="s">
        <v>83</v>
      </c>
      <c r="J17" s="36" t="s">
        <v>83</v>
      </c>
      <c r="K17" s="10" t="n">
        <v>400000</v>
      </c>
      <c r="L17" s="7" t="s">
        <v>268</v>
      </c>
      <c r="M17" s="10" t="n">
        <v>17935</v>
      </c>
      <c r="N17" s="36" t="s">
        <v>83</v>
      </c>
      <c r="O17" s="7" t="s">
        <v>100</v>
      </c>
      <c r="P17" s="37" t="n">
        <f aca="false">K17+IF(ISNUMBER(M17),M17,0)+IF(ISNUMBER(N17),N17,0)</f>
        <v>417935</v>
      </c>
      <c r="Q17" s="37" t="str">
        <f aca="false">IFERROR(P17/I17,"缺")</f>
        <v>缺</v>
      </c>
      <c r="R17" s="38" t="n">
        <f aca="false">P17-'A_物調表候選(22案)'!$C$28</f>
        <v>17935</v>
      </c>
      <c r="S17" s="35" t="n">
        <v>2</v>
      </c>
      <c r="T17" s="4" t="s">
        <v>63</v>
      </c>
      <c r="U17" s="7" t="s">
        <v>85</v>
      </c>
      <c r="V17" s="41" t="s">
        <v>83</v>
      </c>
      <c r="W17" s="7" t="s">
        <v>33</v>
      </c>
      <c r="X17" s="7" t="s">
        <v>101</v>
      </c>
      <c r="Y17" s="7" t="s">
        <v>102</v>
      </c>
      <c r="Z17" s="7" t="s">
        <v>103</v>
      </c>
      <c r="AA17" s="13" t="s">
        <v>104</v>
      </c>
      <c r="AB17" s="40" t="s">
        <v>337</v>
      </c>
      <c r="AC17" s="40" t="s">
        <v>338</v>
      </c>
    </row>
    <row r="18" customFormat="false" ht="72" hidden="false" customHeight="true" outlineLevel="0" collapsed="false">
      <c r="A18" s="32" t="n">
        <v>14</v>
      </c>
      <c r="B18" s="33" t="s">
        <v>310</v>
      </c>
      <c r="C18" s="32" t="s">
        <v>339</v>
      </c>
      <c r="D18" s="34" t="s">
        <v>340</v>
      </c>
      <c r="E18" s="35" t="s">
        <v>51</v>
      </c>
      <c r="F18" s="7" t="s">
        <v>341</v>
      </c>
      <c r="G18" s="4" t="s">
        <v>302</v>
      </c>
      <c r="H18" s="8" t="n">
        <v>211</v>
      </c>
      <c r="I18" s="36" t="s">
        <v>83</v>
      </c>
      <c r="J18" s="36" t="s">
        <v>83</v>
      </c>
      <c r="K18" s="10" t="n">
        <v>436800</v>
      </c>
      <c r="L18" s="7" t="s">
        <v>303</v>
      </c>
      <c r="M18" s="36" t="s">
        <v>83</v>
      </c>
      <c r="N18" s="36" t="s">
        <v>83</v>
      </c>
      <c r="O18" s="7" t="s">
        <v>83</v>
      </c>
      <c r="P18" s="37" t="n">
        <f aca="false">K18+IF(ISNUMBER(M18),M18,0)+IF(ISNUMBER(N18),N18,0)</f>
        <v>436800</v>
      </c>
      <c r="Q18" s="37" t="str">
        <f aca="false">IFERROR(P18/I18,"缺")</f>
        <v>缺</v>
      </c>
      <c r="R18" s="38" t="n">
        <f aca="false">P18-'A_物調表候選(22案)'!$C$28</f>
        <v>36800</v>
      </c>
      <c r="S18" s="35" t="n">
        <v>3</v>
      </c>
      <c r="T18" s="36" t="s">
        <v>83</v>
      </c>
      <c r="U18" s="36" t="s">
        <v>83</v>
      </c>
      <c r="V18" s="41" t="s">
        <v>83</v>
      </c>
      <c r="W18" s="36" t="s">
        <v>83</v>
      </c>
      <c r="X18" s="7" t="s">
        <v>304</v>
      </c>
      <c r="Y18" s="7" t="s">
        <v>305</v>
      </c>
      <c r="Z18" s="7" t="s">
        <v>342</v>
      </c>
      <c r="AA18" s="14" t="s">
        <v>343</v>
      </c>
      <c r="AB18" s="40" t="s">
        <v>344</v>
      </c>
      <c r="AC18" s="42" t="s">
        <v>292</v>
      </c>
    </row>
    <row r="19" customFormat="false" ht="72" hidden="false" customHeight="true" outlineLevel="0" collapsed="false">
      <c r="A19" s="32" t="n">
        <v>15</v>
      </c>
      <c r="B19" s="33" t="s">
        <v>310</v>
      </c>
      <c r="C19" s="32" t="s">
        <v>345</v>
      </c>
      <c r="D19" s="34" t="s">
        <v>346</v>
      </c>
      <c r="E19" s="35" t="s">
        <v>27</v>
      </c>
      <c r="F19" s="7" t="s">
        <v>347</v>
      </c>
      <c r="G19" s="4" t="s">
        <v>348</v>
      </c>
      <c r="H19" s="8" t="n">
        <v>210</v>
      </c>
      <c r="I19" s="8" t="n">
        <v>153</v>
      </c>
      <c r="J19" s="9" t="n">
        <v>0.27</v>
      </c>
      <c r="K19" s="10" t="n">
        <v>367500</v>
      </c>
      <c r="L19" s="7" t="s">
        <v>303</v>
      </c>
      <c r="M19" s="10" t="n">
        <v>39900</v>
      </c>
      <c r="N19" s="36" t="s">
        <v>83</v>
      </c>
      <c r="O19" s="7" t="s">
        <v>349</v>
      </c>
      <c r="P19" s="37" t="n">
        <f aca="false">K19+IF(ISNUMBER(M19),M19,0)+IF(ISNUMBER(N19),N19,0)</f>
        <v>407400</v>
      </c>
      <c r="Q19" s="37" t="n">
        <f aca="false">IFERROR(P19/I19,"缺")</f>
        <v>2662.74509803922</v>
      </c>
      <c r="R19" s="38" t="n">
        <f aca="false">P19-'A_物調表候選(22案)'!$C$28</f>
        <v>7400</v>
      </c>
      <c r="S19" s="35" t="n">
        <v>3</v>
      </c>
      <c r="T19" s="4" t="s">
        <v>63</v>
      </c>
      <c r="U19" s="7" t="s">
        <v>350</v>
      </c>
      <c r="V19" s="39" t="s">
        <v>351</v>
      </c>
      <c r="W19" s="7" t="s">
        <v>33</v>
      </c>
      <c r="X19" s="7" t="s">
        <v>304</v>
      </c>
      <c r="Y19" s="7" t="s">
        <v>305</v>
      </c>
      <c r="Z19" s="7" t="s">
        <v>352</v>
      </c>
      <c r="AA19" s="14" t="s">
        <v>353</v>
      </c>
      <c r="AB19" s="40" t="s">
        <v>354</v>
      </c>
      <c r="AC19" s="40" t="s">
        <v>355</v>
      </c>
    </row>
    <row r="20" customFormat="false" ht="72" hidden="false" customHeight="true" outlineLevel="0" collapsed="false">
      <c r="A20" s="32" t="n">
        <v>16</v>
      </c>
      <c r="B20" s="33" t="s">
        <v>310</v>
      </c>
      <c r="C20" s="32" t="s">
        <v>356</v>
      </c>
      <c r="D20" s="34" t="s">
        <v>357</v>
      </c>
      <c r="E20" s="35" t="s">
        <v>159</v>
      </c>
      <c r="F20" s="7" t="s">
        <v>358</v>
      </c>
      <c r="G20" s="4" t="s">
        <v>359</v>
      </c>
      <c r="H20" s="8" t="n">
        <v>209</v>
      </c>
      <c r="I20" s="36" t="s">
        <v>83</v>
      </c>
      <c r="J20" s="36" t="s">
        <v>83</v>
      </c>
      <c r="K20" s="10" t="n">
        <v>438900</v>
      </c>
      <c r="L20" s="7" t="s">
        <v>303</v>
      </c>
      <c r="M20" s="36" t="s">
        <v>83</v>
      </c>
      <c r="N20" s="36" t="s">
        <v>83</v>
      </c>
      <c r="O20" s="7" t="s">
        <v>83</v>
      </c>
      <c r="P20" s="37" t="n">
        <f aca="false">K20+IF(ISNUMBER(M20),M20,0)+IF(ISNUMBER(N20),N20,0)</f>
        <v>438900</v>
      </c>
      <c r="Q20" s="37" t="str">
        <f aca="false">IFERROR(P20/I20,"缺")</f>
        <v>缺</v>
      </c>
      <c r="R20" s="38" t="n">
        <f aca="false">P20-'A_物調表候選(22案)'!$C$28</f>
        <v>38900</v>
      </c>
      <c r="S20" s="35" t="n">
        <v>3</v>
      </c>
      <c r="T20" s="36" t="s">
        <v>83</v>
      </c>
      <c r="U20" s="36" t="s">
        <v>83</v>
      </c>
      <c r="V20" s="41" t="s">
        <v>83</v>
      </c>
      <c r="W20" s="36" t="s">
        <v>83</v>
      </c>
      <c r="X20" s="7" t="s">
        <v>304</v>
      </c>
      <c r="Y20" s="7" t="s">
        <v>305</v>
      </c>
      <c r="Z20" s="7" t="s">
        <v>360</v>
      </c>
      <c r="AA20" s="14" t="s">
        <v>361</v>
      </c>
      <c r="AB20" s="40" t="s">
        <v>362</v>
      </c>
      <c r="AC20" s="42" t="s">
        <v>292</v>
      </c>
    </row>
    <row r="21" customFormat="false" ht="72" hidden="false" customHeight="true" outlineLevel="0" collapsed="false">
      <c r="A21" s="32" t="n">
        <v>17</v>
      </c>
      <c r="B21" s="33" t="s">
        <v>310</v>
      </c>
      <c r="C21" s="32" t="s">
        <v>125</v>
      </c>
      <c r="D21" s="34" t="s">
        <v>126</v>
      </c>
      <c r="E21" s="35" t="s">
        <v>127</v>
      </c>
      <c r="F21" s="7" t="s">
        <v>128</v>
      </c>
      <c r="G21" s="4" t="s">
        <v>129</v>
      </c>
      <c r="H21" s="8" t="n">
        <v>208.96</v>
      </c>
      <c r="I21" s="8" t="n">
        <v>164.05</v>
      </c>
      <c r="J21" s="9" t="n">
        <v>0.2149</v>
      </c>
      <c r="K21" s="10" t="n">
        <v>398000</v>
      </c>
      <c r="L21" s="7" t="s">
        <v>268</v>
      </c>
      <c r="M21" s="10" t="n">
        <v>36435</v>
      </c>
      <c r="N21" s="10" t="n">
        <v>0</v>
      </c>
      <c r="O21" s="12" t="s">
        <v>130</v>
      </c>
      <c r="P21" s="37" t="n">
        <f aca="false">K21+IF(ISNUMBER(M21),M21,0)+IF(ISNUMBER(N21),N21,0)</f>
        <v>434435</v>
      </c>
      <c r="Q21" s="37" t="n">
        <f aca="false">IFERROR(P21/I21,"缺")</f>
        <v>2648.18652849741</v>
      </c>
      <c r="R21" s="38" t="n">
        <f aca="false">P21-'A_物調表候選(22案)'!$C$28</f>
        <v>34435</v>
      </c>
      <c r="S21" s="35" t="n">
        <v>2</v>
      </c>
      <c r="T21" s="4" t="s">
        <v>63</v>
      </c>
      <c r="U21" s="7" t="s">
        <v>131</v>
      </c>
      <c r="V21" s="39" t="s">
        <v>363</v>
      </c>
      <c r="W21" s="7" t="s">
        <v>132</v>
      </c>
      <c r="X21" s="7" t="s">
        <v>133</v>
      </c>
      <c r="Y21" s="7" t="s">
        <v>134</v>
      </c>
      <c r="Z21" s="7" t="s">
        <v>135</v>
      </c>
      <c r="AA21" s="14" t="s">
        <v>136</v>
      </c>
      <c r="AB21" s="40" t="s">
        <v>364</v>
      </c>
      <c r="AC21" s="40" t="s">
        <v>365</v>
      </c>
    </row>
    <row r="22" customFormat="false" ht="72" hidden="false" customHeight="true" outlineLevel="0" collapsed="false">
      <c r="A22" s="32" t="n">
        <v>18</v>
      </c>
      <c r="B22" s="33" t="s">
        <v>310</v>
      </c>
      <c r="C22" s="32" t="s">
        <v>88</v>
      </c>
      <c r="D22" s="34" t="s">
        <v>89</v>
      </c>
      <c r="E22" s="35" t="s">
        <v>51</v>
      </c>
      <c r="F22" s="7" t="s">
        <v>90</v>
      </c>
      <c r="G22" s="4" t="s">
        <v>91</v>
      </c>
      <c r="H22" s="8" t="n">
        <v>207.04</v>
      </c>
      <c r="I22" s="8" t="n">
        <v>156.93</v>
      </c>
      <c r="J22" s="9" t="n">
        <v>0.242</v>
      </c>
      <c r="K22" s="10" t="n">
        <v>360150</v>
      </c>
      <c r="L22" s="7" t="s">
        <v>268</v>
      </c>
      <c r="M22" s="10" t="n">
        <v>28984</v>
      </c>
      <c r="N22" s="10" t="n">
        <v>0</v>
      </c>
      <c r="O22" s="7" t="s">
        <v>92</v>
      </c>
      <c r="P22" s="37" t="n">
        <f aca="false">K22+IF(ISNUMBER(M22),M22,0)+IF(ISNUMBER(N22),N22,0)</f>
        <v>389134</v>
      </c>
      <c r="Q22" s="37" t="n">
        <f aca="false">IFERROR(P22/I22,"缺")</f>
        <v>2479.66609316256</v>
      </c>
      <c r="R22" s="38" t="n">
        <f aca="false">P22-'A_物調表候選(22案)'!$C$28</f>
        <v>-10866</v>
      </c>
      <c r="S22" s="35" t="n">
        <v>2</v>
      </c>
      <c r="T22" s="4" t="s">
        <v>43</v>
      </c>
      <c r="U22" s="7" t="s">
        <v>55</v>
      </c>
      <c r="V22" s="39" t="s">
        <v>366</v>
      </c>
      <c r="W22" s="7" t="s">
        <v>93</v>
      </c>
      <c r="X22" s="7" t="s">
        <v>34</v>
      </c>
      <c r="Y22" s="7" t="s">
        <v>66</v>
      </c>
      <c r="Z22" s="7" t="s">
        <v>94</v>
      </c>
      <c r="AA22" s="14" t="s">
        <v>95</v>
      </c>
      <c r="AB22" s="40" t="s">
        <v>367</v>
      </c>
      <c r="AC22" s="40" t="s">
        <v>368</v>
      </c>
    </row>
    <row r="23" customFormat="false" ht="72" hidden="false" customHeight="true" outlineLevel="0" collapsed="false">
      <c r="A23" s="32" t="n">
        <v>19</v>
      </c>
      <c r="B23" s="33" t="s">
        <v>310</v>
      </c>
      <c r="C23" s="32" t="s">
        <v>369</v>
      </c>
      <c r="D23" s="34" t="s">
        <v>370</v>
      </c>
      <c r="E23" s="35" t="s">
        <v>51</v>
      </c>
      <c r="F23" s="7" t="s">
        <v>371</v>
      </c>
      <c r="G23" s="4" t="s">
        <v>372</v>
      </c>
      <c r="H23" s="8" t="n">
        <v>206</v>
      </c>
      <c r="I23" s="36" t="s">
        <v>83</v>
      </c>
      <c r="J23" s="36" t="s">
        <v>83</v>
      </c>
      <c r="K23" s="10" t="n">
        <v>350900</v>
      </c>
      <c r="L23" s="7" t="s">
        <v>278</v>
      </c>
      <c r="M23" s="36" t="s">
        <v>83</v>
      </c>
      <c r="N23" s="36" t="s">
        <v>83</v>
      </c>
      <c r="O23" s="7" t="s">
        <v>295</v>
      </c>
      <c r="P23" s="37" t="n">
        <f aca="false">K23+IF(ISNUMBER(M23),M23,0)+IF(ISNUMBER(N23),N23,0)</f>
        <v>350900</v>
      </c>
      <c r="Q23" s="37" t="str">
        <f aca="false">IFERROR(P23/I23,"缺")</f>
        <v>缺</v>
      </c>
      <c r="R23" s="38" t="n">
        <f aca="false">P23-'A_物調表候選(22案)'!$C$28</f>
        <v>-49100</v>
      </c>
      <c r="S23" s="36" t="s">
        <v>83</v>
      </c>
      <c r="T23" s="36" t="s">
        <v>83</v>
      </c>
      <c r="U23" s="7" t="s">
        <v>373</v>
      </c>
      <c r="V23" s="41" t="s">
        <v>83</v>
      </c>
      <c r="W23" s="36" t="s">
        <v>83</v>
      </c>
      <c r="X23" s="7" t="s">
        <v>282</v>
      </c>
      <c r="Y23" s="12" t="s">
        <v>374</v>
      </c>
      <c r="Z23" s="12" t="s">
        <v>375</v>
      </c>
      <c r="AA23" s="13" t="s">
        <v>376</v>
      </c>
      <c r="AB23" s="40" t="s">
        <v>377</v>
      </c>
      <c r="AC23" s="40" t="s">
        <v>378</v>
      </c>
    </row>
    <row r="24" customFormat="false" ht="72" hidden="false" customHeight="true" outlineLevel="0" collapsed="false">
      <c r="A24" s="32" t="n">
        <v>20</v>
      </c>
      <c r="B24" s="33" t="s">
        <v>310</v>
      </c>
      <c r="C24" s="32" t="s">
        <v>379</v>
      </c>
      <c r="D24" s="34" t="s">
        <v>380</v>
      </c>
      <c r="E24" s="35" t="s">
        <v>127</v>
      </c>
      <c r="F24" s="7" t="s">
        <v>381</v>
      </c>
      <c r="G24" s="4" t="s">
        <v>382</v>
      </c>
      <c r="H24" s="8" t="n">
        <v>205</v>
      </c>
      <c r="I24" s="36" t="s">
        <v>83</v>
      </c>
      <c r="J24" s="36" t="s">
        <v>83</v>
      </c>
      <c r="K24" s="10" t="n">
        <v>300000</v>
      </c>
      <c r="L24" s="7" t="s">
        <v>278</v>
      </c>
      <c r="M24" s="36" t="s">
        <v>83</v>
      </c>
      <c r="N24" s="36" t="s">
        <v>83</v>
      </c>
      <c r="O24" s="7" t="s">
        <v>295</v>
      </c>
      <c r="P24" s="37" t="n">
        <f aca="false">K24+IF(ISNUMBER(M24),M24,0)+IF(ISNUMBER(N24),N24,0)</f>
        <v>300000</v>
      </c>
      <c r="Q24" s="37" t="str">
        <f aca="false">IFERROR(P24/I24,"缺")</f>
        <v>缺</v>
      </c>
      <c r="R24" s="38" t="n">
        <f aca="false">P24-'A_物調表候選(22案)'!$C$28</f>
        <v>-100000</v>
      </c>
      <c r="S24" s="36" t="s">
        <v>83</v>
      </c>
      <c r="T24" s="36" t="s">
        <v>83</v>
      </c>
      <c r="U24" s="7" t="s">
        <v>383</v>
      </c>
      <c r="V24" s="41" t="s">
        <v>83</v>
      </c>
      <c r="W24" s="36" t="s">
        <v>83</v>
      </c>
      <c r="X24" s="7" t="s">
        <v>282</v>
      </c>
      <c r="Y24" s="12" t="s">
        <v>283</v>
      </c>
      <c r="Z24" s="12" t="s">
        <v>384</v>
      </c>
      <c r="AA24" s="13" t="s">
        <v>385</v>
      </c>
      <c r="AB24" s="40" t="s">
        <v>386</v>
      </c>
      <c r="AC24" s="40" t="s">
        <v>387</v>
      </c>
    </row>
    <row r="25" customFormat="false" ht="72" hidden="false" customHeight="true" outlineLevel="0" collapsed="false">
      <c r="A25" s="32" t="n">
        <v>21</v>
      </c>
      <c r="B25" s="33" t="s">
        <v>310</v>
      </c>
      <c r="C25" s="32" t="s">
        <v>388</v>
      </c>
      <c r="D25" s="34" t="s">
        <v>389</v>
      </c>
      <c r="E25" s="35" t="s">
        <v>51</v>
      </c>
      <c r="F25" s="7" t="s">
        <v>390</v>
      </c>
      <c r="G25" s="4" t="s">
        <v>391</v>
      </c>
      <c r="H25" s="8" t="n">
        <v>204</v>
      </c>
      <c r="I25" s="36" t="s">
        <v>83</v>
      </c>
      <c r="J25" s="36" t="s">
        <v>83</v>
      </c>
      <c r="K25" s="10" t="n">
        <v>404985</v>
      </c>
      <c r="L25" s="7" t="s">
        <v>303</v>
      </c>
      <c r="M25" s="36" t="s">
        <v>83</v>
      </c>
      <c r="N25" s="36" t="s">
        <v>83</v>
      </c>
      <c r="O25" s="7" t="s">
        <v>83</v>
      </c>
      <c r="P25" s="37" t="n">
        <f aca="false">K25+IF(ISNUMBER(M25),M25,0)+IF(ISNUMBER(N25),N25,0)</f>
        <v>404985</v>
      </c>
      <c r="Q25" s="37" t="str">
        <f aca="false">IFERROR(P25/I25,"缺")</f>
        <v>缺</v>
      </c>
      <c r="R25" s="38" t="n">
        <f aca="false">P25-'A_物調表候選(22案)'!$C$28</f>
        <v>4985</v>
      </c>
      <c r="S25" s="35" t="n">
        <v>3</v>
      </c>
      <c r="T25" s="36" t="s">
        <v>83</v>
      </c>
      <c r="U25" s="7" t="s">
        <v>392</v>
      </c>
      <c r="V25" s="41" t="s">
        <v>83</v>
      </c>
      <c r="W25" s="36" t="s">
        <v>83</v>
      </c>
      <c r="X25" s="7" t="s">
        <v>304</v>
      </c>
      <c r="Y25" s="7" t="s">
        <v>305</v>
      </c>
      <c r="Z25" s="12" t="s">
        <v>393</v>
      </c>
      <c r="AA25" s="14" t="s">
        <v>394</v>
      </c>
      <c r="AB25" s="40" t="s">
        <v>395</v>
      </c>
      <c r="AC25" s="40" t="s">
        <v>396</v>
      </c>
    </row>
    <row r="26" customFormat="false" ht="72" hidden="false" customHeight="true" outlineLevel="0" collapsed="false">
      <c r="A26" s="32" t="n">
        <v>22</v>
      </c>
      <c r="B26" s="33" t="s">
        <v>310</v>
      </c>
      <c r="C26" s="32" t="s">
        <v>397</v>
      </c>
      <c r="D26" s="43" t="s">
        <v>398</v>
      </c>
      <c r="E26" s="35" t="s">
        <v>27</v>
      </c>
      <c r="F26" s="7" t="s">
        <v>399</v>
      </c>
      <c r="G26" s="4" t="s">
        <v>400</v>
      </c>
      <c r="H26" s="8" t="n">
        <v>204</v>
      </c>
      <c r="I26" s="36" t="s">
        <v>83</v>
      </c>
      <c r="J26" s="36" t="s">
        <v>83</v>
      </c>
      <c r="K26" s="10" t="n">
        <v>469000</v>
      </c>
      <c r="L26" s="7" t="s">
        <v>278</v>
      </c>
      <c r="M26" s="36" t="s">
        <v>83</v>
      </c>
      <c r="N26" s="36" t="s">
        <v>83</v>
      </c>
      <c r="O26" s="7" t="s">
        <v>401</v>
      </c>
      <c r="P26" s="37" t="n">
        <f aca="false">K26+IF(ISNUMBER(M26),M26,0)+IF(ISNUMBER(N26),N26,0)</f>
        <v>469000</v>
      </c>
      <c r="Q26" s="37" t="str">
        <f aca="false">IFERROR(P26/I26,"缺")</f>
        <v>缺</v>
      </c>
      <c r="R26" s="38" t="n">
        <f aca="false">P26-'A_物調表候選(22案)'!$C$28</f>
        <v>69000</v>
      </c>
      <c r="S26" s="36" t="s">
        <v>83</v>
      </c>
      <c r="T26" s="36" t="s">
        <v>83</v>
      </c>
      <c r="U26" s="7" t="s">
        <v>402</v>
      </c>
      <c r="V26" s="39" t="s">
        <v>363</v>
      </c>
      <c r="W26" s="36" t="s">
        <v>83</v>
      </c>
      <c r="X26" s="7" t="s">
        <v>403</v>
      </c>
      <c r="Y26" s="12" t="s">
        <v>404</v>
      </c>
      <c r="Z26" s="12" t="s">
        <v>405</v>
      </c>
      <c r="AA26" s="13" t="s">
        <v>406</v>
      </c>
      <c r="AB26" s="40" t="s">
        <v>407</v>
      </c>
      <c r="AC26" s="40" t="s">
        <v>318</v>
      </c>
    </row>
    <row r="27" customFormat="false" ht="72" hidden="false" customHeight="true" outlineLevel="0" collapsed="false">
      <c r="A27" s="32" t="n">
        <v>23</v>
      </c>
      <c r="B27" s="33" t="s">
        <v>310</v>
      </c>
      <c r="C27" s="32" t="s">
        <v>105</v>
      </c>
      <c r="D27" s="34" t="s">
        <v>106</v>
      </c>
      <c r="E27" s="35" t="s">
        <v>51</v>
      </c>
      <c r="F27" s="7" t="s">
        <v>107</v>
      </c>
      <c r="G27" s="4" t="s">
        <v>108</v>
      </c>
      <c r="H27" s="8" t="n">
        <v>203.56</v>
      </c>
      <c r="I27" s="8" t="n">
        <v>119.66</v>
      </c>
      <c r="J27" s="9" t="n">
        <v>0.5008</v>
      </c>
      <c r="K27" s="10" t="n">
        <v>305340</v>
      </c>
      <c r="L27" s="7" t="s">
        <v>268</v>
      </c>
      <c r="M27" s="10" t="n">
        <v>32570</v>
      </c>
      <c r="N27" s="36" t="s">
        <v>83</v>
      </c>
      <c r="O27" s="7" t="s">
        <v>109</v>
      </c>
      <c r="P27" s="37" t="n">
        <f aca="false">K27+IF(ISNUMBER(M27),M27,0)+IF(ISNUMBER(N27),N27,0)</f>
        <v>337910</v>
      </c>
      <c r="Q27" s="37" t="n">
        <f aca="false">IFERROR(P27/I27,"缺")</f>
        <v>2823.91776700652</v>
      </c>
      <c r="R27" s="38" t="n">
        <f aca="false">P27-'A_物調表候選(22案)'!$C$28</f>
        <v>-62090</v>
      </c>
      <c r="S27" s="35" t="n">
        <v>2</v>
      </c>
      <c r="T27" s="4" t="s">
        <v>63</v>
      </c>
      <c r="U27" s="7" t="s">
        <v>110</v>
      </c>
      <c r="V27" s="39" t="s">
        <v>408</v>
      </c>
      <c r="W27" s="7" t="s">
        <v>100</v>
      </c>
      <c r="X27" s="7" t="s">
        <v>111</v>
      </c>
      <c r="Y27" s="7" t="s">
        <v>112</v>
      </c>
      <c r="Z27" s="7" t="s">
        <v>113</v>
      </c>
      <c r="AA27" s="14" t="s">
        <v>114</v>
      </c>
      <c r="AB27" s="40" t="s">
        <v>409</v>
      </c>
      <c r="AC27" s="40" t="s">
        <v>410</v>
      </c>
    </row>
    <row r="28" customFormat="false" ht="72" hidden="false" customHeight="true" outlineLevel="0" collapsed="false">
      <c r="A28" s="32" t="n">
        <v>24</v>
      </c>
      <c r="B28" s="33" t="s">
        <v>310</v>
      </c>
      <c r="C28" s="32" t="s">
        <v>79</v>
      </c>
      <c r="D28" s="34" t="s">
        <v>80</v>
      </c>
      <c r="E28" s="35" t="s">
        <v>51</v>
      </c>
      <c r="F28" s="7" t="s">
        <v>81</v>
      </c>
      <c r="G28" s="4" t="s">
        <v>82</v>
      </c>
      <c r="H28" s="8" t="n">
        <v>203.26</v>
      </c>
      <c r="I28" s="8" t="n">
        <v>189.91</v>
      </c>
      <c r="J28" s="9" t="n">
        <v>0.0657</v>
      </c>
      <c r="K28" s="10" t="n">
        <v>405504</v>
      </c>
      <c r="L28" s="7" t="s">
        <v>268</v>
      </c>
      <c r="M28" s="36" t="s">
        <v>83</v>
      </c>
      <c r="N28" s="10" t="n">
        <v>7500</v>
      </c>
      <c r="O28" s="7" t="s">
        <v>84</v>
      </c>
      <c r="P28" s="37" t="n">
        <f aca="false">K28+IF(ISNUMBER(M28),M28,0)+IF(ISNUMBER(N28),N28,0)</f>
        <v>413004</v>
      </c>
      <c r="Q28" s="37" t="n">
        <f aca="false">IFERROR(P28/I28,"缺")</f>
        <v>2174.73540097941</v>
      </c>
      <c r="R28" s="38" t="n">
        <f aca="false">P28-'A_物調表候選(22案)'!$C$28</f>
        <v>13004</v>
      </c>
      <c r="S28" s="35" t="n">
        <v>3</v>
      </c>
      <c r="T28" s="4" t="s">
        <v>43</v>
      </c>
      <c r="U28" s="7" t="s">
        <v>85</v>
      </c>
      <c r="V28" s="39" t="s">
        <v>411</v>
      </c>
      <c r="W28" s="7" t="s">
        <v>33</v>
      </c>
      <c r="X28" s="7" t="s">
        <v>34</v>
      </c>
      <c r="Y28" s="7" t="s">
        <v>35</v>
      </c>
      <c r="Z28" s="7" t="s">
        <v>86</v>
      </c>
      <c r="AA28" s="14" t="s">
        <v>87</v>
      </c>
      <c r="AB28" s="40" t="s">
        <v>412</v>
      </c>
      <c r="AC28" s="40" t="s">
        <v>413</v>
      </c>
    </row>
    <row r="29" customFormat="false" ht="72" hidden="false" customHeight="true" outlineLevel="0" collapsed="false">
      <c r="A29" s="32" t="n">
        <v>25</v>
      </c>
      <c r="B29" s="33" t="s">
        <v>310</v>
      </c>
      <c r="C29" s="32" t="s">
        <v>414</v>
      </c>
      <c r="D29" s="34" t="s">
        <v>415</v>
      </c>
      <c r="E29" s="35" t="s">
        <v>159</v>
      </c>
      <c r="F29" s="7" t="s">
        <v>416</v>
      </c>
      <c r="G29" s="4" t="s">
        <v>417</v>
      </c>
      <c r="H29" s="8" t="n">
        <v>203</v>
      </c>
      <c r="I29" s="36" t="s">
        <v>83</v>
      </c>
      <c r="J29" s="36" t="s">
        <v>83</v>
      </c>
      <c r="K29" s="10" t="n">
        <v>446800</v>
      </c>
      <c r="L29" s="7" t="s">
        <v>278</v>
      </c>
      <c r="M29" s="36" t="s">
        <v>83</v>
      </c>
      <c r="N29" s="36" t="s">
        <v>83</v>
      </c>
      <c r="O29" s="7" t="s">
        <v>295</v>
      </c>
      <c r="P29" s="37" t="n">
        <f aca="false">K29+IF(ISNUMBER(M29),M29,0)+IF(ISNUMBER(N29),N29,0)</f>
        <v>446800</v>
      </c>
      <c r="Q29" s="37" t="str">
        <f aca="false">IFERROR(P29/I29,"缺")</f>
        <v>缺</v>
      </c>
      <c r="R29" s="38" t="n">
        <f aca="false">P29-'A_物調表候選(22案)'!$C$28</f>
        <v>46800</v>
      </c>
      <c r="S29" s="36" t="s">
        <v>83</v>
      </c>
      <c r="T29" s="36" t="s">
        <v>83</v>
      </c>
      <c r="U29" s="7" t="s">
        <v>281</v>
      </c>
      <c r="V29" s="41" t="s">
        <v>83</v>
      </c>
      <c r="W29" s="36" t="s">
        <v>83</v>
      </c>
      <c r="X29" s="7" t="s">
        <v>282</v>
      </c>
      <c r="Y29" s="12" t="s">
        <v>283</v>
      </c>
      <c r="Z29" s="12" t="s">
        <v>418</v>
      </c>
      <c r="AA29" s="13" t="s">
        <v>419</v>
      </c>
      <c r="AB29" s="40" t="s">
        <v>420</v>
      </c>
      <c r="AC29" s="40" t="s">
        <v>318</v>
      </c>
    </row>
    <row r="30" customFormat="false" ht="72" hidden="false" customHeight="true" outlineLevel="0" collapsed="false">
      <c r="A30" s="32" t="n">
        <v>26</v>
      </c>
      <c r="B30" s="33" t="s">
        <v>310</v>
      </c>
      <c r="C30" s="32" t="s">
        <v>421</v>
      </c>
      <c r="D30" s="34" t="s">
        <v>422</v>
      </c>
      <c r="E30" s="35" t="s">
        <v>127</v>
      </c>
      <c r="F30" s="7" t="s">
        <v>423</v>
      </c>
      <c r="G30" s="4" t="s">
        <v>424</v>
      </c>
      <c r="H30" s="8" t="n">
        <v>201</v>
      </c>
      <c r="I30" s="36" t="s">
        <v>83</v>
      </c>
      <c r="J30" s="36" t="s">
        <v>83</v>
      </c>
      <c r="K30" s="10" t="n">
        <v>401100</v>
      </c>
      <c r="L30" s="7" t="s">
        <v>303</v>
      </c>
      <c r="M30" s="36" t="s">
        <v>83</v>
      </c>
      <c r="N30" s="36" t="s">
        <v>83</v>
      </c>
      <c r="O30" s="7" t="s">
        <v>83</v>
      </c>
      <c r="P30" s="37" t="n">
        <f aca="false">K30+IF(ISNUMBER(M30),M30,0)+IF(ISNUMBER(N30),N30,0)</f>
        <v>401100</v>
      </c>
      <c r="Q30" s="37" t="str">
        <f aca="false">IFERROR(P30/I30,"缺")</f>
        <v>缺</v>
      </c>
      <c r="R30" s="38" t="n">
        <f aca="false">P30-'A_物調表候選(22案)'!$C$28</f>
        <v>1100</v>
      </c>
      <c r="S30" s="35" t="n">
        <v>3</v>
      </c>
      <c r="T30" s="36" t="s">
        <v>83</v>
      </c>
      <c r="U30" s="7" t="s">
        <v>425</v>
      </c>
      <c r="V30" s="41" t="s">
        <v>83</v>
      </c>
      <c r="W30" s="36" t="s">
        <v>83</v>
      </c>
      <c r="X30" s="7" t="s">
        <v>304</v>
      </c>
      <c r="Y30" s="7" t="s">
        <v>305</v>
      </c>
      <c r="Z30" s="7" t="s">
        <v>426</v>
      </c>
      <c r="AA30" s="14" t="s">
        <v>394</v>
      </c>
      <c r="AB30" s="40" t="s">
        <v>427</v>
      </c>
      <c r="AC30" s="40" t="s">
        <v>428</v>
      </c>
    </row>
    <row r="31" customFormat="false" ht="72" hidden="false" customHeight="true" outlineLevel="0" collapsed="false">
      <c r="A31" s="32" t="n">
        <v>27</v>
      </c>
      <c r="B31" s="33" t="s">
        <v>310</v>
      </c>
      <c r="C31" s="32" t="s">
        <v>429</v>
      </c>
      <c r="D31" s="34" t="s">
        <v>430</v>
      </c>
      <c r="E31" s="35" t="s">
        <v>159</v>
      </c>
      <c r="F31" s="7" t="s">
        <v>431</v>
      </c>
      <c r="G31" s="4" t="s">
        <v>432</v>
      </c>
      <c r="H31" s="8" t="n">
        <v>200.79</v>
      </c>
      <c r="I31" s="36" t="s">
        <v>83</v>
      </c>
      <c r="J31" s="36" t="s">
        <v>83</v>
      </c>
      <c r="K31" s="10" t="n">
        <v>320000</v>
      </c>
      <c r="L31" s="7" t="s">
        <v>278</v>
      </c>
      <c r="M31" s="36" t="s">
        <v>83</v>
      </c>
      <c r="N31" s="36" t="s">
        <v>83</v>
      </c>
      <c r="O31" s="7" t="s">
        <v>92</v>
      </c>
      <c r="P31" s="37" t="n">
        <f aca="false">K31+IF(ISNUMBER(M31),M31,0)+IF(ISNUMBER(N31),N31,0)</f>
        <v>320000</v>
      </c>
      <c r="Q31" s="37" t="str">
        <f aca="false">IFERROR(P31/I31,"缺")</f>
        <v>缺</v>
      </c>
      <c r="R31" s="38" t="n">
        <f aca="false">P31-'A_物調表候選(22案)'!$C$28</f>
        <v>-80000</v>
      </c>
      <c r="S31" s="36" t="s">
        <v>83</v>
      </c>
      <c r="T31" s="36" t="s">
        <v>83</v>
      </c>
      <c r="U31" s="7" t="s">
        <v>433</v>
      </c>
      <c r="V31" s="41" t="s">
        <v>83</v>
      </c>
      <c r="W31" s="36" t="s">
        <v>83</v>
      </c>
      <c r="X31" s="7" t="s">
        <v>434</v>
      </c>
      <c r="Y31" s="12" t="s">
        <v>435</v>
      </c>
      <c r="Z31" s="12" t="s">
        <v>436</v>
      </c>
      <c r="AA31" s="13" t="s">
        <v>285</v>
      </c>
      <c r="AB31" s="40" t="s">
        <v>437</v>
      </c>
      <c r="AC31" s="40" t="s">
        <v>330</v>
      </c>
    </row>
    <row r="32" customFormat="false" ht="72" hidden="false" customHeight="true" outlineLevel="0" collapsed="false">
      <c r="A32" s="32" t="n">
        <v>28</v>
      </c>
      <c r="B32" s="33" t="s">
        <v>310</v>
      </c>
      <c r="C32" s="32" t="s">
        <v>438</v>
      </c>
      <c r="D32" s="34" t="s">
        <v>439</v>
      </c>
      <c r="E32" s="35" t="s">
        <v>159</v>
      </c>
      <c r="F32" s="7" t="s">
        <v>440</v>
      </c>
      <c r="G32" s="4" t="s">
        <v>441</v>
      </c>
      <c r="H32" s="8" t="n">
        <v>200</v>
      </c>
      <c r="I32" s="8" t="n">
        <v>150</v>
      </c>
      <c r="J32" s="9" t="n">
        <v>0.25</v>
      </c>
      <c r="K32" s="10" t="n">
        <v>308700</v>
      </c>
      <c r="L32" s="7" t="s">
        <v>303</v>
      </c>
      <c r="M32" s="10" t="n">
        <v>30000</v>
      </c>
      <c r="N32" s="10" t="n">
        <v>7350</v>
      </c>
      <c r="O32" s="12" t="s">
        <v>442</v>
      </c>
      <c r="P32" s="37" t="n">
        <f aca="false">K32+IF(ISNUMBER(M32),M32,0)+IF(ISNUMBER(N32),N32,0)</f>
        <v>346050</v>
      </c>
      <c r="Q32" s="37" t="n">
        <f aca="false">IFERROR(P32/I32,"缺")</f>
        <v>2307</v>
      </c>
      <c r="R32" s="38" t="n">
        <f aca="false">P32-'A_物調表候選(22案)'!$C$28</f>
        <v>-53950</v>
      </c>
      <c r="S32" s="35" t="n">
        <v>3</v>
      </c>
      <c r="T32" s="4" t="s">
        <v>63</v>
      </c>
      <c r="U32" s="7" t="s">
        <v>443</v>
      </c>
      <c r="V32" s="39" t="s">
        <v>444</v>
      </c>
      <c r="W32" s="7" t="s">
        <v>326</v>
      </c>
      <c r="X32" s="7" t="s">
        <v>304</v>
      </c>
      <c r="Y32" s="7" t="s">
        <v>305</v>
      </c>
      <c r="Z32" s="7" t="s">
        <v>445</v>
      </c>
      <c r="AA32" s="14" t="s">
        <v>446</v>
      </c>
      <c r="AB32" s="40" t="s">
        <v>447</v>
      </c>
      <c r="AC32" s="40" t="s">
        <v>448</v>
      </c>
    </row>
    <row r="33" customFormat="false" ht="72" hidden="false" customHeight="true" outlineLevel="0" collapsed="false">
      <c r="A33" s="32" t="n">
        <v>29</v>
      </c>
      <c r="B33" s="33" t="s">
        <v>449</v>
      </c>
      <c r="C33" s="32" t="s">
        <v>49</v>
      </c>
      <c r="D33" s="34" t="s">
        <v>50</v>
      </c>
      <c r="E33" s="35" t="s">
        <v>51</v>
      </c>
      <c r="F33" s="7" t="s">
        <v>52</v>
      </c>
      <c r="G33" s="4" t="s">
        <v>53</v>
      </c>
      <c r="H33" s="8" t="n">
        <v>282.06</v>
      </c>
      <c r="I33" s="8" t="n">
        <v>255.38</v>
      </c>
      <c r="J33" s="9" t="n">
        <v>0.0946</v>
      </c>
      <c r="K33" s="10" t="n">
        <v>472500</v>
      </c>
      <c r="L33" s="7" t="s">
        <v>268</v>
      </c>
      <c r="M33" s="10" t="n">
        <v>33847</v>
      </c>
      <c r="N33" s="10" t="n">
        <v>0</v>
      </c>
      <c r="O33" s="7" t="s">
        <v>54</v>
      </c>
      <c r="P33" s="37" t="n">
        <f aca="false">K33+IF(ISNUMBER(M33),M33,0)+IF(ISNUMBER(N33),N33,0)</f>
        <v>506347</v>
      </c>
      <c r="Q33" s="37" t="n">
        <f aca="false">IFERROR(P33/I33,"缺")</f>
        <v>1982.71986843136</v>
      </c>
      <c r="R33" s="38" t="n">
        <f aca="false">P33-'A_物調表候選(22案)'!$C$28</f>
        <v>106347</v>
      </c>
      <c r="S33" s="35" t="n">
        <v>2</v>
      </c>
      <c r="T33" s="4" t="s">
        <v>43</v>
      </c>
      <c r="U33" s="7" t="s">
        <v>55</v>
      </c>
      <c r="V33" s="39" t="s">
        <v>450</v>
      </c>
      <c r="W33" s="7" t="s">
        <v>33</v>
      </c>
      <c r="X33" s="7" t="s">
        <v>34</v>
      </c>
      <c r="Y33" s="7" t="s">
        <v>46</v>
      </c>
      <c r="Z33" s="7" t="s">
        <v>56</v>
      </c>
      <c r="AA33" s="14" t="s">
        <v>57</v>
      </c>
      <c r="AB33" s="40" t="s">
        <v>451</v>
      </c>
      <c r="AC33" s="40" t="s">
        <v>452</v>
      </c>
    </row>
    <row r="34" customFormat="false" ht="72" hidden="false" customHeight="true" outlineLevel="0" collapsed="false">
      <c r="A34" s="32" t="n">
        <v>30</v>
      </c>
      <c r="B34" s="33" t="s">
        <v>449</v>
      </c>
      <c r="C34" s="32" t="s">
        <v>221</v>
      </c>
      <c r="D34" s="34" t="s">
        <v>222</v>
      </c>
      <c r="E34" s="35" t="s">
        <v>27</v>
      </c>
      <c r="F34" s="7" t="s">
        <v>223</v>
      </c>
      <c r="G34" s="4" t="s">
        <v>224</v>
      </c>
      <c r="H34" s="8" t="n">
        <v>277.81</v>
      </c>
      <c r="I34" s="8" t="n">
        <v>256.87</v>
      </c>
      <c r="J34" s="9" t="n">
        <v>0.0754</v>
      </c>
      <c r="K34" s="10" t="n">
        <v>300000</v>
      </c>
      <c r="L34" s="7" t="s">
        <v>268</v>
      </c>
      <c r="M34" s="36" t="s">
        <v>83</v>
      </c>
      <c r="N34" s="10" t="n">
        <v>0</v>
      </c>
      <c r="O34" s="7" t="s">
        <v>141</v>
      </c>
      <c r="P34" s="37" t="n">
        <f aca="false">K34+IF(ISNUMBER(M34),M34,0)+IF(ISNUMBER(N34),N34,0)</f>
        <v>300000</v>
      </c>
      <c r="Q34" s="37" t="n">
        <f aca="false">IFERROR(P34/I34,"缺")</f>
        <v>1167.90594464126</v>
      </c>
      <c r="R34" s="38" t="n">
        <f aca="false">P34-'A_物調表候選(22案)'!$C$28</f>
        <v>-100000</v>
      </c>
      <c r="S34" s="35" t="n">
        <v>2</v>
      </c>
      <c r="T34" s="4" t="s">
        <v>206</v>
      </c>
      <c r="U34" s="7" t="s">
        <v>199</v>
      </c>
      <c r="V34" s="39" t="s">
        <v>453</v>
      </c>
      <c r="W34" s="7" t="s">
        <v>100</v>
      </c>
      <c r="X34" s="7" t="s">
        <v>225</v>
      </c>
      <c r="Y34" s="7" t="s">
        <v>226</v>
      </c>
      <c r="Z34" s="7" t="s">
        <v>227</v>
      </c>
      <c r="AA34" s="14" t="s">
        <v>228</v>
      </c>
      <c r="AB34" s="40" t="s">
        <v>454</v>
      </c>
      <c r="AC34" s="40" t="s">
        <v>318</v>
      </c>
    </row>
    <row r="35" customFormat="false" ht="72" hidden="false" customHeight="true" outlineLevel="0" collapsed="false">
      <c r="A35" s="32" t="n">
        <v>31</v>
      </c>
      <c r="B35" s="33" t="s">
        <v>449</v>
      </c>
      <c r="C35" s="32" t="s">
        <v>455</v>
      </c>
      <c r="D35" s="34" t="s">
        <v>456</v>
      </c>
      <c r="E35" s="35" t="s">
        <v>27</v>
      </c>
      <c r="F35" s="7" t="s">
        <v>457</v>
      </c>
      <c r="G35" s="4" t="s">
        <v>458</v>
      </c>
      <c r="H35" s="8" t="n">
        <v>276</v>
      </c>
      <c r="I35" s="36" t="s">
        <v>83</v>
      </c>
      <c r="J35" s="36" t="s">
        <v>83</v>
      </c>
      <c r="K35" s="10" t="n">
        <v>504000</v>
      </c>
      <c r="L35" s="7" t="s">
        <v>303</v>
      </c>
      <c r="M35" s="36" t="s">
        <v>83</v>
      </c>
      <c r="N35" s="36" t="s">
        <v>83</v>
      </c>
      <c r="O35" s="7" t="s">
        <v>83</v>
      </c>
      <c r="P35" s="37" t="n">
        <f aca="false">K35+IF(ISNUMBER(M35),M35,0)+IF(ISNUMBER(N35),N35,0)</f>
        <v>504000</v>
      </c>
      <c r="Q35" s="37" t="str">
        <f aca="false">IFERROR(P35/I35,"缺")</f>
        <v>缺</v>
      </c>
      <c r="R35" s="38" t="n">
        <f aca="false">P35-'A_物調表候選(22案)'!$C$28</f>
        <v>104000</v>
      </c>
      <c r="S35" s="35" t="n">
        <v>3</v>
      </c>
      <c r="T35" s="36" t="s">
        <v>83</v>
      </c>
      <c r="U35" s="36" t="s">
        <v>83</v>
      </c>
      <c r="V35" s="41" t="s">
        <v>83</v>
      </c>
      <c r="W35" s="36" t="s">
        <v>83</v>
      </c>
      <c r="X35" s="7" t="s">
        <v>304</v>
      </c>
      <c r="Y35" s="7" t="s">
        <v>305</v>
      </c>
      <c r="Z35" s="7" t="s">
        <v>459</v>
      </c>
      <c r="AA35" s="14" t="s">
        <v>460</v>
      </c>
      <c r="AB35" s="40" t="s">
        <v>461</v>
      </c>
      <c r="AC35" s="40" t="s">
        <v>318</v>
      </c>
    </row>
    <row r="36" customFormat="false" ht="72" hidden="false" customHeight="true" outlineLevel="0" collapsed="false">
      <c r="A36" s="32" t="n">
        <v>32</v>
      </c>
      <c r="B36" s="33" t="s">
        <v>449</v>
      </c>
      <c r="C36" s="32" t="s">
        <v>212</v>
      </c>
      <c r="D36" s="34" t="s">
        <v>213</v>
      </c>
      <c r="E36" s="35" t="s">
        <v>127</v>
      </c>
      <c r="F36" s="7" t="s">
        <v>214</v>
      </c>
      <c r="G36" s="4" t="s">
        <v>215</v>
      </c>
      <c r="H36" s="8" t="n">
        <v>266.36</v>
      </c>
      <c r="I36" s="36" t="s">
        <v>83</v>
      </c>
      <c r="J36" s="36" t="s">
        <v>83</v>
      </c>
      <c r="K36" s="10" t="n">
        <v>560000</v>
      </c>
      <c r="L36" s="7" t="s">
        <v>268</v>
      </c>
      <c r="M36" s="36" t="s">
        <v>83</v>
      </c>
      <c r="N36" s="10" t="n">
        <v>0</v>
      </c>
      <c r="O36" s="7" t="s">
        <v>198</v>
      </c>
      <c r="P36" s="37" t="n">
        <f aca="false">K36+IF(ISNUMBER(M36),M36,0)+IF(ISNUMBER(N36),N36,0)</f>
        <v>560000</v>
      </c>
      <c r="Q36" s="37" t="str">
        <f aca="false">IFERROR(P36/I36,"缺")</f>
        <v>缺</v>
      </c>
      <c r="R36" s="38" t="n">
        <f aca="false">P36-'A_物調表候選(22案)'!$C$28</f>
        <v>160000</v>
      </c>
      <c r="S36" s="36" t="s">
        <v>83</v>
      </c>
      <c r="T36" s="36" t="s">
        <v>83</v>
      </c>
      <c r="U36" s="7" t="s">
        <v>216</v>
      </c>
      <c r="V36" s="39" t="s">
        <v>292</v>
      </c>
      <c r="W36" s="7" t="s">
        <v>100</v>
      </c>
      <c r="X36" s="7" t="s">
        <v>217</v>
      </c>
      <c r="Y36" s="7" t="s">
        <v>218</v>
      </c>
      <c r="Z36" s="7" t="s">
        <v>219</v>
      </c>
      <c r="AA36" s="14" t="s">
        <v>220</v>
      </c>
      <c r="AB36" s="40" t="s">
        <v>462</v>
      </c>
      <c r="AC36" s="40" t="s">
        <v>318</v>
      </c>
    </row>
    <row r="37" customFormat="false" ht="72" hidden="false" customHeight="true" outlineLevel="0" collapsed="false">
      <c r="A37" s="32" t="n">
        <v>33</v>
      </c>
      <c r="B37" s="33" t="s">
        <v>449</v>
      </c>
      <c r="C37" s="32" t="s">
        <v>202</v>
      </c>
      <c r="D37" s="34" t="s">
        <v>203</v>
      </c>
      <c r="E37" s="35" t="s">
        <v>127</v>
      </c>
      <c r="F37" s="7" t="s">
        <v>204</v>
      </c>
      <c r="G37" s="4" t="s">
        <v>205</v>
      </c>
      <c r="H37" s="8" t="n">
        <v>265.82</v>
      </c>
      <c r="I37" s="36" t="s">
        <v>83</v>
      </c>
      <c r="J37" s="36" t="s">
        <v>83</v>
      </c>
      <c r="K37" s="10" t="n">
        <v>544931</v>
      </c>
      <c r="L37" s="7" t="s">
        <v>268</v>
      </c>
      <c r="M37" s="36" t="s">
        <v>83</v>
      </c>
      <c r="N37" s="10" t="n">
        <v>0</v>
      </c>
      <c r="O37" s="7" t="s">
        <v>198</v>
      </c>
      <c r="P37" s="37" t="n">
        <f aca="false">K37+IF(ISNUMBER(M37),M37,0)+IF(ISNUMBER(N37),N37,0)</f>
        <v>544931</v>
      </c>
      <c r="Q37" s="37" t="str">
        <f aca="false">IFERROR(P37/I37,"缺")</f>
        <v>缺</v>
      </c>
      <c r="R37" s="38" t="n">
        <f aca="false">P37-'A_物調表候選(22案)'!$C$28</f>
        <v>144931</v>
      </c>
      <c r="S37" s="36" t="s">
        <v>83</v>
      </c>
      <c r="T37" s="4" t="s">
        <v>206</v>
      </c>
      <c r="U37" s="7" t="s">
        <v>207</v>
      </c>
      <c r="V37" s="39" t="s">
        <v>292</v>
      </c>
      <c r="W37" s="7" t="s">
        <v>100</v>
      </c>
      <c r="X37" s="7" t="s">
        <v>208</v>
      </c>
      <c r="Y37" s="7" t="s">
        <v>209</v>
      </c>
      <c r="Z37" s="7" t="s">
        <v>210</v>
      </c>
      <c r="AA37" s="14" t="s">
        <v>211</v>
      </c>
      <c r="AB37" s="40" t="s">
        <v>463</v>
      </c>
      <c r="AC37" s="40" t="s">
        <v>318</v>
      </c>
    </row>
    <row r="38" customFormat="false" ht="72" hidden="false" customHeight="true" outlineLevel="0" collapsed="false">
      <c r="A38" s="32" t="n">
        <v>34</v>
      </c>
      <c r="B38" s="33" t="s">
        <v>449</v>
      </c>
      <c r="C38" s="32" t="s">
        <v>69</v>
      </c>
      <c r="D38" s="34" t="s">
        <v>70</v>
      </c>
      <c r="E38" s="35" t="s">
        <v>27</v>
      </c>
      <c r="F38" s="7" t="s">
        <v>71</v>
      </c>
      <c r="G38" s="4" t="s">
        <v>72</v>
      </c>
      <c r="H38" s="8" t="n">
        <v>265.72</v>
      </c>
      <c r="I38" s="8" t="n">
        <v>203.79</v>
      </c>
      <c r="J38" s="9" t="n">
        <v>0.2331</v>
      </c>
      <c r="K38" s="10" t="n">
        <v>502211</v>
      </c>
      <c r="L38" s="7" t="s">
        <v>268</v>
      </c>
      <c r="M38" s="32" t="n">
        <f aca="false">H38*150</f>
        <v>39858</v>
      </c>
      <c r="N38" s="10" t="n">
        <v>0</v>
      </c>
      <c r="O38" s="7" t="s">
        <v>73</v>
      </c>
      <c r="P38" s="37" t="n">
        <f aca="false">K38+IF(ISNUMBER(M38),M38,0)+IF(ISNUMBER(N38),N38,0)</f>
        <v>542069</v>
      </c>
      <c r="Q38" s="37" t="n">
        <f aca="false">IFERROR(P38/I38,"缺")</f>
        <v>2659.93915304971</v>
      </c>
      <c r="R38" s="38" t="n">
        <f aca="false">P38-'A_物調表候選(22案)'!$C$28</f>
        <v>142069</v>
      </c>
      <c r="S38" s="35" t="n">
        <v>3</v>
      </c>
      <c r="T38" s="6" t="s">
        <v>74</v>
      </c>
      <c r="U38" s="7" t="s">
        <v>32</v>
      </c>
      <c r="V38" s="39" t="s">
        <v>450</v>
      </c>
      <c r="W38" s="7" t="s">
        <v>75</v>
      </c>
      <c r="X38" s="7" t="s">
        <v>34</v>
      </c>
      <c r="Y38" s="7" t="s">
        <v>76</v>
      </c>
      <c r="Z38" s="7" t="s">
        <v>77</v>
      </c>
      <c r="AA38" s="14" t="s">
        <v>78</v>
      </c>
      <c r="AB38" s="40" t="s">
        <v>464</v>
      </c>
      <c r="AC38" s="40" t="s">
        <v>368</v>
      </c>
    </row>
    <row r="39" customFormat="false" ht="72" hidden="false" customHeight="true" outlineLevel="0" collapsed="false">
      <c r="A39" s="32" t="n">
        <v>35</v>
      </c>
      <c r="B39" s="33" t="s">
        <v>449</v>
      </c>
      <c r="C39" s="32" t="s">
        <v>465</v>
      </c>
      <c r="D39" s="34" t="s">
        <v>466</v>
      </c>
      <c r="E39" s="35" t="s">
        <v>27</v>
      </c>
      <c r="F39" s="7" t="s">
        <v>467</v>
      </c>
      <c r="G39" s="4" t="s">
        <v>468</v>
      </c>
      <c r="H39" s="8" t="n">
        <v>257</v>
      </c>
      <c r="I39" s="36" t="s">
        <v>83</v>
      </c>
      <c r="J39" s="36" t="s">
        <v>83</v>
      </c>
      <c r="K39" s="10" t="n">
        <v>588000</v>
      </c>
      <c r="L39" s="7" t="s">
        <v>303</v>
      </c>
      <c r="M39" s="36" t="s">
        <v>83</v>
      </c>
      <c r="N39" s="36" t="s">
        <v>83</v>
      </c>
      <c r="O39" s="7" t="s">
        <v>83</v>
      </c>
      <c r="P39" s="37" t="n">
        <f aca="false">K39+IF(ISNUMBER(M39),M39,0)+IF(ISNUMBER(N39),N39,0)</f>
        <v>588000</v>
      </c>
      <c r="Q39" s="37" t="str">
        <f aca="false">IFERROR(P39/I39,"缺")</f>
        <v>缺</v>
      </c>
      <c r="R39" s="38" t="n">
        <f aca="false">P39-'A_物調表候選(22案)'!$C$28</f>
        <v>188000</v>
      </c>
      <c r="S39" s="35" t="n">
        <v>3</v>
      </c>
      <c r="T39" s="36" t="s">
        <v>83</v>
      </c>
      <c r="U39" s="36" t="s">
        <v>83</v>
      </c>
      <c r="V39" s="41" t="s">
        <v>83</v>
      </c>
      <c r="W39" s="36" t="s">
        <v>83</v>
      </c>
      <c r="X39" s="7" t="s">
        <v>304</v>
      </c>
      <c r="Y39" s="7" t="s">
        <v>305</v>
      </c>
      <c r="Z39" s="12" t="s">
        <v>469</v>
      </c>
      <c r="AA39" s="14" t="s">
        <v>470</v>
      </c>
      <c r="AB39" s="40" t="s">
        <v>471</v>
      </c>
      <c r="AC39" s="40" t="s">
        <v>318</v>
      </c>
    </row>
    <row r="40" customFormat="false" ht="72" hidden="false" customHeight="true" outlineLevel="0" collapsed="false">
      <c r="A40" s="32" t="n">
        <v>36</v>
      </c>
      <c r="B40" s="33" t="s">
        <v>449</v>
      </c>
      <c r="C40" s="32" t="s">
        <v>472</v>
      </c>
      <c r="D40" s="34" t="s">
        <v>473</v>
      </c>
      <c r="E40" s="35" t="s">
        <v>159</v>
      </c>
      <c r="F40" s="7" t="s">
        <v>178</v>
      </c>
      <c r="G40" s="4" t="s">
        <v>179</v>
      </c>
      <c r="H40" s="8" t="n">
        <v>253</v>
      </c>
      <c r="I40" s="36" t="s">
        <v>83</v>
      </c>
      <c r="J40" s="36" t="s">
        <v>83</v>
      </c>
      <c r="K40" s="10" t="n">
        <v>350000</v>
      </c>
      <c r="L40" s="7" t="s">
        <v>278</v>
      </c>
      <c r="M40" s="36" t="s">
        <v>83</v>
      </c>
      <c r="N40" s="36" t="s">
        <v>83</v>
      </c>
      <c r="O40" s="7" t="s">
        <v>100</v>
      </c>
      <c r="P40" s="37" t="n">
        <f aca="false">K40+IF(ISNUMBER(M40),M40,0)+IF(ISNUMBER(N40),N40,0)</f>
        <v>350000</v>
      </c>
      <c r="Q40" s="37" t="str">
        <f aca="false">IFERROR(P40/I40,"缺")</f>
        <v>缺</v>
      </c>
      <c r="R40" s="38" t="n">
        <f aca="false">P40-'A_物調表候選(22案)'!$C$28</f>
        <v>-50000</v>
      </c>
      <c r="S40" s="36" t="s">
        <v>83</v>
      </c>
      <c r="T40" s="36" t="s">
        <v>83</v>
      </c>
      <c r="U40" s="7" t="s">
        <v>474</v>
      </c>
      <c r="V40" s="41" t="s">
        <v>83</v>
      </c>
      <c r="W40" s="36" t="s">
        <v>83</v>
      </c>
      <c r="X40" s="7" t="s">
        <v>282</v>
      </c>
      <c r="Y40" s="12" t="s">
        <v>283</v>
      </c>
      <c r="Z40" s="12" t="s">
        <v>475</v>
      </c>
      <c r="AA40" s="13" t="s">
        <v>285</v>
      </c>
      <c r="AB40" s="40" t="s">
        <v>476</v>
      </c>
      <c r="AC40" s="40" t="s">
        <v>287</v>
      </c>
    </row>
    <row r="41" customFormat="false" ht="72" hidden="false" customHeight="true" outlineLevel="0" collapsed="false">
      <c r="A41" s="32" t="n">
        <v>37</v>
      </c>
      <c r="B41" s="33" t="s">
        <v>449</v>
      </c>
      <c r="C41" s="32" t="s">
        <v>38</v>
      </c>
      <c r="D41" s="34" t="s">
        <v>39</v>
      </c>
      <c r="E41" s="35" t="s">
        <v>27</v>
      </c>
      <c r="F41" s="7" t="s">
        <v>40</v>
      </c>
      <c r="G41" s="4" t="s">
        <v>41</v>
      </c>
      <c r="H41" s="8" t="n">
        <v>232.22</v>
      </c>
      <c r="I41" s="8" t="n">
        <v>183.22</v>
      </c>
      <c r="J41" s="9" t="n">
        <v>0.211</v>
      </c>
      <c r="K41" s="10" t="n">
        <v>451087</v>
      </c>
      <c r="L41" s="7" t="s">
        <v>268</v>
      </c>
      <c r="M41" s="10" t="n">
        <v>32511</v>
      </c>
      <c r="N41" s="10" t="n">
        <v>10500</v>
      </c>
      <c r="O41" s="7" t="s">
        <v>42</v>
      </c>
      <c r="P41" s="37" t="n">
        <f aca="false">K41+IF(ISNUMBER(M41),M41,0)+IF(ISNUMBER(N41),N41,0)</f>
        <v>494098</v>
      </c>
      <c r="Q41" s="37" t="n">
        <f aca="false">IFERROR(P41/I41,"缺")</f>
        <v>2696.7470800131</v>
      </c>
      <c r="R41" s="38" t="n">
        <f aca="false">P41-'A_物調表候選(22案)'!$C$28</f>
        <v>94098</v>
      </c>
      <c r="S41" s="35" t="n">
        <v>3</v>
      </c>
      <c r="T41" s="4" t="s">
        <v>43</v>
      </c>
      <c r="U41" s="7" t="s">
        <v>44</v>
      </c>
      <c r="V41" s="39" t="s">
        <v>272</v>
      </c>
      <c r="W41" s="7" t="s">
        <v>45</v>
      </c>
      <c r="X41" s="7" t="s">
        <v>34</v>
      </c>
      <c r="Y41" s="7" t="s">
        <v>46</v>
      </c>
      <c r="Z41" s="7" t="s">
        <v>47</v>
      </c>
      <c r="AA41" s="14" t="s">
        <v>48</v>
      </c>
      <c r="AB41" s="40" t="s">
        <v>477</v>
      </c>
      <c r="AC41" s="40" t="s">
        <v>478</v>
      </c>
    </row>
    <row r="42" customFormat="false" ht="72" hidden="false" customHeight="true" outlineLevel="0" collapsed="false">
      <c r="A42" s="32" t="n">
        <v>38</v>
      </c>
      <c r="B42" s="33" t="s">
        <v>449</v>
      </c>
      <c r="C42" s="32" t="s">
        <v>479</v>
      </c>
      <c r="D42" s="34" t="s">
        <v>480</v>
      </c>
      <c r="E42" s="35" t="s">
        <v>27</v>
      </c>
      <c r="F42" s="7" t="s">
        <v>481</v>
      </c>
      <c r="G42" s="4" t="s">
        <v>482</v>
      </c>
      <c r="H42" s="8" t="n">
        <v>230</v>
      </c>
      <c r="I42" s="8" t="n">
        <v>179</v>
      </c>
      <c r="J42" s="9" t="n">
        <v>0.22</v>
      </c>
      <c r="K42" s="10" t="n">
        <v>478170</v>
      </c>
      <c r="L42" s="7" t="s">
        <v>303</v>
      </c>
      <c r="M42" s="10" t="n">
        <v>36800</v>
      </c>
      <c r="N42" s="10" t="n">
        <v>12000</v>
      </c>
      <c r="O42" s="12" t="s">
        <v>483</v>
      </c>
      <c r="P42" s="37" t="n">
        <f aca="false">K42+IF(ISNUMBER(M42),M42,0)+IF(ISNUMBER(N42),N42,0)</f>
        <v>526970</v>
      </c>
      <c r="Q42" s="37" t="n">
        <f aca="false">IFERROR(P42/I42,"缺")</f>
        <v>2943.96648044693</v>
      </c>
      <c r="R42" s="38" t="n">
        <f aca="false">P42-'A_物調表候選(22案)'!$C$28</f>
        <v>126970</v>
      </c>
      <c r="S42" s="35" t="n">
        <v>3</v>
      </c>
      <c r="T42" s="4" t="s">
        <v>63</v>
      </c>
      <c r="U42" s="7" t="s">
        <v>44</v>
      </c>
      <c r="V42" s="39" t="s">
        <v>272</v>
      </c>
      <c r="W42" s="7" t="s">
        <v>33</v>
      </c>
      <c r="X42" s="7" t="s">
        <v>304</v>
      </c>
      <c r="Y42" s="7" t="s">
        <v>305</v>
      </c>
      <c r="Z42" s="7" t="s">
        <v>484</v>
      </c>
      <c r="AA42" s="14" t="s">
        <v>485</v>
      </c>
      <c r="AB42" s="40" t="s">
        <v>486</v>
      </c>
      <c r="AC42" s="40" t="s">
        <v>368</v>
      </c>
    </row>
    <row r="43" customFormat="false" ht="72" hidden="false" customHeight="true" outlineLevel="0" collapsed="false">
      <c r="A43" s="32" t="n">
        <v>39</v>
      </c>
      <c r="B43" s="33" t="s">
        <v>449</v>
      </c>
      <c r="C43" s="32" t="s">
        <v>487</v>
      </c>
      <c r="D43" s="34" t="s">
        <v>488</v>
      </c>
      <c r="E43" s="35" t="s">
        <v>51</v>
      </c>
      <c r="F43" s="7" t="s">
        <v>489</v>
      </c>
      <c r="G43" s="4" t="s">
        <v>468</v>
      </c>
      <c r="H43" s="8" t="n">
        <v>226</v>
      </c>
      <c r="I43" s="36" t="s">
        <v>83</v>
      </c>
      <c r="J43" s="36" t="s">
        <v>83</v>
      </c>
      <c r="K43" s="10" t="n">
        <v>522375</v>
      </c>
      <c r="L43" s="7" t="s">
        <v>303</v>
      </c>
      <c r="M43" s="36" t="s">
        <v>83</v>
      </c>
      <c r="N43" s="36" t="s">
        <v>83</v>
      </c>
      <c r="O43" s="7" t="s">
        <v>83</v>
      </c>
      <c r="P43" s="37" t="n">
        <f aca="false">K43+IF(ISNUMBER(M43),M43,0)+IF(ISNUMBER(N43),N43,0)</f>
        <v>522375</v>
      </c>
      <c r="Q43" s="37" t="str">
        <f aca="false">IFERROR(P43/I43,"缺")</f>
        <v>缺</v>
      </c>
      <c r="R43" s="38" t="n">
        <f aca="false">P43-'A_物調表候選(22案)'!$C$28</f>
        <v>122375</v>
      </c>
      <c r="S43" s="35" t="n">
        <v>4</v>
      </c>
      <c r="T43" s="36" t="s">
        <v>83</v>
      </c>
      <c r="U43" s="36" t="s">
        <v>83</v>
      </c>
      <c r="V43" s="41" t="s">
        <v>83</v>
      </c>
      <c r="W43" s="36" t="s">
        <v>83</v>
      </c>
      <c r="X43" s="7" t="s">
        <v>304</v>
      </c>
      <c r="Y43" s="7" t="s">
        <v>305</v>
      </c>
      <c r="Z43" s="12" t="s">
        <v>490</v>
      </c>
      <c r="AA43" s="14" t="s">
        <v>316</v>
      </c>
      <c r="AB43" s="40" t="s">
        <v>491</v>
      </c>
      <c r="AC43" s="40" t="s">
        <v>318</v>
      </c>
    </row>
    <row r="44" customFormat="false" ht="72" hidden="false" customHeight="true" outlineLevel="0" collapsed="false">
      <c r="A44" s="32" t="n">
        <v>40</v>
      </c>
      <c r="B44" s="33" t="s">
        <v>449</v>
      </c>
      <c r="C44" s="32" t="s">
        <v>137</v>
      </c>
      <c r="D44" s="34" t="s">
        <v>138</v>
      </c>
      <c r="E44" s="35" t="s">
        <v>51</v>
      </c>
      <c r="F44" s="7" t="s">
        <v>139</v>
      </c>
      <c r="G44" s="4" t="s">
        <v>140</v>
      </c>
      <c r="H44" s="8" t="n">
        <v>225.83</v>
      </c>
      <c r="I44" s="8" t="n">
        <v>201.29</v>
      </c>
      <c r="J44" s="9" t="n">
        <v>0.1087</v>
      </c>
      <c r="K44" s="10" t="n">
        <v>474500</v>
      </c>
      <c r="L44" s="7" t="s">
        <v>268</v>
      </c>
      <c r="M44" s="10" t="n">
        <v>27100</v>
      </c>
      <c r="N44" s="10" t="n">
        <v>0</v>
      </c>
      <c r="O44" s="7" t="s">
        <v>141</v>
      </c>
      <c r="P44" s="37" t="n">
        <f aca="false">K44+IF(ISNUMBER(M44),M44,0)+IF(ISNUMBER(N44),N44,0)</f>
        <v>501600</v>
      </c>
      <c r="Q44" s="37" t="n">
        <f aca="false">IFERROR(P44/I44,"缺")</f>
        <v>2491.92707039595</v>
      </c>
      <c r="R44" s="38" t="n">
        <f aca="false">P44-'A_物調表候選(22案)'!$C$28</f>
        <v>101600</v>
      </c>
      <c r="S44" s="35" t="n">
        <v>3</v>
      </c>
      <c r="T44" s="4" t="s">
        <v>63</v>
      </c>
      <c r="U44" s="7" t="s">
        <v>142</v>
      </c>
      <c r="V44" s="39" t="s">
        <v>492</v>
      </c>
      <c r="W44" s="7" t="s">
        <v>100</v>
      </c>
      <c r="X44" s="7" t="s">
        <v>143</v>
      </c>
      <c r="Y44" s="7" t="s">
        <v>144</v>
      </c>
      <c r="Z44" s="7" t="s">
        <v>145</v>
      </c>
      <c r="AA44" s="14" t="s">
        <v>146</v>
      </c>
      <c r="AB44" s="40" t="s">
        <v>493</v>
      </c>
      <c r="AC44" s="40" t="s">
        <v>494</v>
      </c>
    </row>
    <row r="45" customFormat="false" ht="72" hidden="false" customHeight="true" outlineLevel="0" collapsed="false">
      <c r="A45" s="32" t="n">
        <v>41</v>
      </c>
      <c r="B45" s="33" t="s">
        <v>449</v>
      </c>
      <c r="C45" s="32" t="s">
        <v>58</v>
      </c>
      <c r="D45" s="34" t="s">
        <v>59</v>
      </c>
      <c r="E45" s="35" t="s">
        <v>51</v>
      </c>
      <c r="F45" s="7" t="s">
        <v>60</v>
      </c>
      <c r="G45" s="4" t="s">
        <v>61</v>
      </c>
      <c r="H45" s="8" t="n">
        <v>220.07</v>
      </c>
      <c r="I45" s="8" t="n">
        <v>207.21</v>
      </c>
      <c r="J45" s="9" t="n">
        <v>0.0584</v>
      </c>
      <c r="K45" s="10" t="n">
        <v>440140</v>
      </c>
      <c r="L45" s="7" t="s">
        <v>268</v>
      </c>
      <c r="M45" s="10" t="n">
        <v>48415</v>
      </c>
      <c r="N45" s="10" t="n">
        <v>8000</v>
      </c>
      <c r="O45" s="7" t="s">
        <v>62</v>
      </c>
      <c r="P45" s="37" t="n">
        <f aca="false">K45+IF(ISNUMBER(M45),M45,0)+IF(ISNUMBER(N45),N45,0)</f>
        <v>496555</v>
      </c>
      <c r="Q45" s="37" t="n">
        <f aca="false">IFERROR(P45/I45,"缺")</f>
        <v>2396.38530958931</v>
      </c>
      <c r="R45" s="38" t="n">
        <f aca="false">P45-'A_物調表候選(22案)'!$C$28</f>
        <v>96555</v>
      </c>
      <c r="S45" s="35" t="n">
        <v>3</v>
      </c>
      <c r="T45" s="4" t="s">
        <v>63</v>
      </c>
      <c r="U45" s="7" t="s">
        <v>64</v>
      </c>
      <c r="V45" s="39" t="s">
        <v>495</v>
      </c>
      <c r="W45" s="7" t="s">
        <v>65</v>
      </c>
      <c r="X45" s="7" t="s">
        <v>34</v>
      </c>
      <c r="Y45" s="7" t="s">
        <v>66</v>
      </c>
      <c r="Z45" s="7" t="s">
        <v>67</v>
      </c>
      <c r="AA45" s="13" t="s">
        <v>68</v>
      </c>
      <c r="AB45" s="40" t="s">
        <v>496</v>
      </c>
      <c r="AC45" s="40" t="s">
        <v>497</v>
      </c>
    </row>
    <row r="46" customFormat="false" ht="72" hidden="false" customHeight="true" outlineLevel="0" collapsed="false">
      <c r="A46" s="32" t="n">
        <v>42</v>
      </c>
      <c r="B46" s="33" t="s">
        <v>449</v>
      </c>
      <c r="C46" s="32" t="s">
        <v>498</v>
      </c>
      <c r="D46" s="34" t="s">
        <v>499</v>
      </c>
      <c r="E46" s="35" t="s">
        <v>27</v>
      </c>
      <c r="F46" s="7" t="s">
        <v>500</v>
      </c>
      <c r="G46" s="4" t="s">
        <v>501</v>
      </c>
      <c r="H46" s="8" t="n">
        <v>214</v>
      </c>
      <c r="I46" s="36" t="s">
        <v>83</v>
      </c>
      <c r="J46" s="36" t="s">
        <v>83</v>
      </c>
      <c r="K46" s="10" t="n">
        <v>494340</v>
      </c>
      <c r="L46" s="7" t="s">
        <v>303</v>
      </c>
      <c r="M46" s="36" t="s">
        <v>83</v>
      </c>
      <c r="N46" s="36" t="s">
        <v>83</v>
      </c>
      <c r="O46" s="7" t="s">
        <v>83</v>
      </c>
      <c r="P46" s="37" t="n">
        <f aca="false">K46+IF(ISNUMBER(M46),M46,0)+IF(ISNUMBER(N46),N46,0)</f>
        <v>494340</v>
      </c>
      <c r="Q46" s="37" t="str">
        <f aca="false">IFERROR(P46/I46,"缺")</f>
        <v>缺</v>
      </c>
      <c r="R46" s="38" t="n">
        <f aca="false">P46-'A_物調表候選(22案)'!$C$28</f>
        <v>94340</v>
      </c>
      <c r="S46" s="35" t="n">
        <v>3</v>
      </c>
      <c r="T46" s="36" t="s">
        <v>83</v>
      </c>
      <c r="U46" s="7" t="s">
        <v>32</v>
      </c>
      <c r="V46" s="39" t="s">
        <v>331</v>
      </c>
      <c r="W46" s="7" t="s">
        <v>502</v>
      </c>
      <c r="X46" s="7" t="s">
        <v>304</v>
      </c>
      <c r="Y46" s="7" t="s">
        <v>305</v>
      </c>
      <c r="Z46" s="7" t="s">
        <v>503</v>
      </c>
      <c r="AA46" s="14" t="s">
        <v>504</v>
      </c>
      <c r="AB46" s="40" t="s">
        <v>505</v>
      </c>
      <c r="AC46" s="40" t="s">
        <v>318</v>
      </c>
    </row>
    <row r="47" customFormat="false" ht="72" hidden="false" customHeight="true" outlineLevel="0" collapsed="false">
      <c r="A47" s="32" t="n">
        <v>43</v>
      </c>
      <c r="B47" s="33" t="s">
        <v>449</v>
      </c>
      <c r="C47" s="32" t="s">
        <v>229</v>
      </c>
      <c r="D47" s="34" t="s">
        <v>230</v>
      </c>
      <c r="E47" s="35" t="s">
        <v>127</v>
      </c>
      <c r="F47" s="7" t="s">
        <v>231</v>
      </c>
      <c r="G47" s="4" t="s">
        <v>232</v>
      </c>
      <c r="H47" s="8" t="n">
        <v>213.56</v>
      </c>
      <c r="I47" s="8" t="n">
        <v>204.08</v>
      </c>
      <c r="J47" s="9" t="n">
        <v>0.0444</v>
      </c>
      <c r="K47" s="10" t="n">
        <v>218000</v>
      </c>
      <c r="L47" s="7" t="s">
        <v>268</v>
      </c>
      <c r="M47" s="10" t="n">
        <v>18980</v>
      </c>
      <c r="N47" s="10" t="n">
        <v>0</v>
      </c>
      <c r="O47" s="12" t="s">
        <v>233</v>
      </c>
      <c r="P47" s="37" t="n">
        <f aca="false">K47+IF(ISNUMBER(M47),M47,0)+IF(ISNUMBER(N47),N47,0)</f>
        <v>236980</v>
      </c>
      <c r="Q47" s="37" t="n">
        <f aca="false">IFERROR(P47/I47,"缺")</f>
        <v>1161.21128969032</v>
      </c>
      <c r="R47" s="38" t="n">
        <f aca="false">P47-'A_物調表候選(22案)'!$C$28</f>
        <v>-163020</v>
      </c>
      <c r="S47" s="35" t="n">
        <v>2</v>
      </c>
      <c r="T47" s="4" t="s">
        <v>63</v>
      </c>
      <c r="U47" s="7" t="s">
        <v>131</v>
      </c>
      <c r="V47" s="39" t="s">
        <v>411</v>
      </c>
      <c r="W47" s="7" t="s">
        <v>100</v>
      </c>
      <c r="X47" s="7" t="s">
        <v>234</v>
      </c>
      <c r="Y47" s="7" t="s">
        <v>235</v>
      </c>
      <c r="Z47" s="7" t="s">
        <v>236</v>
      </c>
      <c r="AA47" s="14" t="s">
        <v>237</v>
      </c>
      <c r="AB47" s="40" t="s">
        <v>506</v>
      </c>
      <c r="AC47" s="40" t="s">
        <v>318</v>
      </c>
    </row>
    <row r="48" customFormat="false" ht="72" hidden="false" customHeight="true" outlineLevel="0" collapsed="false">
      <c r="A48" s="32" t="n">
        <v>44</v>
      </c>
      <c r="B48" s="33" t="s">
        <v>449</v>
      </c>
      <c r="C48" s="32" t="s">
        <v>186</v>
      </c>
      <c r="D48" s="34" t="s">
        <v>187</v>
      </c>
      <c r="E48" s="35" t="s">
        <v>159</v>
      </c>
      <c r="F48" s="7" t="s">
        <v>188</v>
      </c>
      <c r="G48" s="4" t="s">
        <v>189</v>
      </c>
      <c r="H48" s="8" t="n">
        <v>213.3</v>
      </c>
      <c r="I48" s="8" t="n">
        <v>87.55</v>
      </c>
      <c r="J48" s="9" t="n">
        <v>0.5895</v>
      </c>
      <c r="K48" s="10" t="n">
        <v>467500</v>
      </c>
      <c r="L48" s="7" t="s">
        <v>268</v>
      </c>
      <c r="M48" s="10" t="n">
        <v>33600</v>
      </c>
      <c r="N48" s="10" t="n">
        <v>0</v>
      </c>
      <c r="O48" s="12" t="s">
        <v>190</v>
      </c>
      <c r="P48" s="37" t="n">
        <f aca="false">K48+IF(ISNUMBER(M48),M48,0)+IF(ISNUMBER(N48),N48,0)</f>
        <v>501100</v>
      </c>
      <c r="Q48" s="37" t="n">
        <f aca="false">IFERROR(P48/I48,"缺")</f>
        <v>5723.58652198744</v>
      </c>
      <c r="R48" s="38" t="n">
        <f aca="false">P48-'A_物調表候選(22案)'!$C$28</f>
        <v>101100</v>
      </c>
      <c r="S48" s="35" t="n">
        <v>2</v>
      </c>
      <c r="T48" s="4" t="s">
        <v>31</v>
      </c>
      <c r="U48" s="7" t="s">
        <v>181</v>
      </c>
      <c r="V48" s="39" t="s">
        <v>507</v>
      </c>
      <c r="W48" s="7" t="s">
        <v>100</v>
      </c>
      <c r="X48" s="7" t="s">
        <v>191</v>
      </c>
      <c r="Y48" s="7" t="s">
        <v>192</v>
      </c>
      <c r="Z48" s="7" t="s">
        <v>193</v>
      </c>
      <c r="AA48" s="14" t="s">
        <v>194</v>
      </c>
      <c r="AB48" s="40" t="s">
        <v>508</v>
      </c>
      <c r="AC48" s="40" t="s">
        <v>368</v>
      </c>
    </row>
    <row r="49" customFormat="false" ht="72" hidden="false" customHeight="true" outlineLevel="0" collapsed="false">
      <c r="A49" s="32" t="n">
        <v>45</v>
      </c>
      <c r="B49" s="33" t="s">
        <v>449</v>
      </c>
      <c r="C49" s="32" t="s">
        <v>509</v>
      </c>
      <c r="D49" s="34" t="s">
        <v>510</v>
      </c>
      <c r="E49" s="35" t="s">
        <v>51</v>
      </c>
      <c r="F49" s="7" t="s">
        <v>149</v>
      </c>
      <c r="G49" s="4" t="s">
        <v>511</v>
      </c>
      <c r="H49" s="8" t="n">
        <v>211</v>
      </c>
      <c r="I49" s="36" t="s">
        <v>83</v>
      </c>
      <c r="J49" s="36" t="s">
        <v>83</v>
      </c>
      <c r="K49" s="10" t="n">
        <v>400000</v>
      </c>
      <c r="L49" s="7" t="s">
        <v>512</v>
      </c>
      <c r="M49" s="36" t="s">
        <v>83</v>
      </c>
      <c r="N49" s="36" t="s">
        <v>83</v>
      </c>
      <c r="O49" s="7" t="s">
        <v>401</v>
      </c>
      <c r="P49" s="37" t="n">
        <f aca="false">K49+IF(ISNUMBER(M49),M49,0)+IF(ISNUMBER(N49),N49,0)</f>
        <v>400000</v>
      </c>
      <c r="Q49" s="37" t="str">
        <f aca="false">IFERROR(P49/I49,"缺")</f>
        <v>缺</v>
      </c>
      <c r="R49" s="38" t="n">
        <f aca="false">P49-'A_物調表候選(22案)'!$C$28</f>
        <v>0</v>
      </c>
      <c r="S49" s="36" t="s">
        <v>83</v>
      </c>
      <c r="T49" s="36" t="s">
        <v>83</v>
      </c>
      <c r="U49" s="7" t="s">
        <v>513</v>
      </c>
      <c r="V49" s="41" t="s">
        <v>83</v>
      </c>
      <c r="W49" s="36" t="s">
        <v>83</v>
      </c>
      <c r="X49" s="7" t="s">
        <v>434</v>
      </c>
      <c r="Y49" s="12" t="s">
        <v>514</v>
      </c>
      <c r="Z49" s="7" t="s">
        <v>515</v>
      </c>
      <c r="AA49" s="13" t="s">
        <v>516</v>
      </c>
      <c r="AB49" s="40" t="s">
        <v>517</v>
      </c>
      <c r="AC49" s="42" t="s">
        <v>292</v>
      </c>
    </row>
    <row r="50" customFormat="false" ht="72" hidden="false" customHeight="true" outlineLevel="0" collapsed="false">
      <c r="A50" s="32" t="n">
        <v>46</v>
      </c>
      <c r="B50" s="33" t="s">
        <v>449</v>
      </c>
      <c r="C50" s="32" t="s">
        <v>518</v>
      </c>
      <c r="D50" s="34" t="s">
        <v>519</v>
      </c>
      <c r="E50" s="35" t="s">
        <v>159</v>
      </c>
      <c r="F50" s="7" t="s">
        <v>520</v>
      </c>
      <c r="G50" s="4" t="s">
        <v>468</v>
      </c>
      <c r="H50" s="8" t="n">
        <v>210</v>
      </c>
      <c r="I50" s="36" t="s">
        <v>83</v>
      </c>
      <c r="J50" s="36" t="s">
        <v>83</v>
      </c>
      <c r="K50" s="10" t="n">
        <v>507150</v>
      </c>
      <c r="L50" s="7" t="s">
        <v>303</v>
      </c>
      <c r="M50" s="36" t="s">
        <v>83</v>
      </c>
      <c r="N50" s="36" t="s">
        <v>83</v>
      </c>
      <c r="O50" s="7" t="s">
        <v>83</v>
      </c>
      <c r="P50" s="37" t="n">
        <f aca="false">K50+IF(ISNUMBER(M50),M50,0)+IF(ISNUMBER(N50),N50,0)</f>
        <v>507150</v>
      </c>
      <c r="Q50" s="37" t="str">
        <f aca="false">IFERROR(P50/I50,"缺")</f>
        <v>缺</v>
      </c>
      <c r="R50" s="38" t="n">
        <f aca="false">P50-'A_物調表候選(22案)'!$C$28</f>
        <v>107150</v>
      </c>
      <c r="S50" s="35" t="n">
        <v>3</v>
      </c>
      <c r="T50" s="36" t="s">
        <v>83</v>
      </c>
      <c r="U50" s="36" t="s">
        <v>83</v>
      </c>
      <c r="V50" s="41" t="s">
        <v>83</v>
      </c>
      <c r="W50" s="36" t="s">
        <v>83</v>
      </c>
      <c r="X50" s="7" t="s">
        <v>304</v>
      </c>
      <c r="Y50" s="7" t="s">
        <v>305</v>
      </c>
      <c r="Z50" s="12" t="s">
        <v>521</v>
      </c>
      <c r="AA50" s="14" t="s">
        <v>343</v>
      </c>
      <c r="AB50" s="40" t="s">
        <v>522</v>
      </c>
      <c r="AC50" s="40" t="s">
        <v>318</v>
      </c>
    </row>
    <row r="51" customFormat="false" ht="72" hidden="false" customHeight="true" outlineLevel="0" collapsed="false">
      <c r="A51" s="32" t="n">
        <v>47</v>
      </c>
      <c r="B51" s="33" t="s">
        <v>449</v>
      </c>
      <c r="C51" s="32" t="s">
        <v>523</v>
      </c>
      <c r="D51" s="34" t="s">
        <v>524</v>
      </c>
      <c r="E51" s="35" t="s">
        <v>51</v>
      </c>
      <c r="F51" s="7" t="s">
        <v>525</v>
      </c>
      <c r="G51" s="4" t="s">
        <v>526</v>
      </c>
      <c r="H51" s="8" t="n">
        <v>205</v>
      </c>
      <c r="I51" s="36" t="s">
        <v>83</v>
      </c>
      <c r="J51" s="36" t="s">
        <v>83</v>
      </c>
      <c r="K51" s="10" t="n">
        <v>486465</v>
      </c>
      <c r="L51" s="7" t="s">
        <v>303</v>
      </c>
      <c r="M51" s="36" t="s">
        <v>83</v>
      </c>
      <c r="N51" s="36" t="s">
        <v>83</v>
      </c>
      <c r="O51" s="7" t="s">
        <v>83</v>
      </c>
      <c r="P51" s="37" t="n">
        <f aca="false">K51+IF(ISNUMBER(M51),M51,0)+IF(ISNUMBER(N51),N51,0)</f>
        <v>486465</v>
      </c>
      <c r="Q51" s="37" t="str">
        <f aca="false">IFERROR(P51/I51,"缺")</f>
        <v>缺</v>
      </c>
      <c r="R51" s="38" t="n">
        <f aca="false">P51-'A_物調表候選(22案)'!$C$28</f>
        <v>86465</v>
      </c>
      <c r="S51" s="35" t="n">
        <v>4</v>
      </c>
      <c r="T51" s="36" t="s">
        <v>83</v>
      </c>
      <c r="U51" s="36" t="s">
        <v>83</v>
      </c>
      <c r="V51" s="41" t="s">
        <v>83</v>
      </c>
      <c r="W51" s="36" t="s">
        <v>83</v>
      </c>
      <c r="X51" s="7" t="s">
        <v>304</v>
      </c>
      <c r="Y51" s="7" t="s">
        <v>305</v>
      </c>
      <c r="Z51" s="7" t="s">
        <v>527</v>
      </c>
      <c r="AA51" s="14" t="s">
        <v>361</v>
      </c>
      <c r="AB51" s="40" t="s">
        <v>528</v>
      </c>
      <c r="AC51" s="40" t="s">
        <v>318</v>
      </c>
    </row>
    <row r="52" customFormat="false" ht="72" hidden="false" customHeight="true" outlineLevel="0" collapsed="false">
      <c r="A52" s="32" t="n">
        <v>48</v>
      </c>
      <c r="B52" s="33" t="s">
        <v>449</v>
      </c>
      <c r="C52" s="32" t="s">
        <v>529</v>
      </c>
      <c r="D52" s="34" t="s">
        <v>530</v>
      </c>
      <c r="E52" s="35" t="s">
        <v>51</v>
      </c>
      <c r="F52" s="7" t="s">
        <v>525</v>
      </c>
      <c r="G52" s="4" t="s">
        <v>531</v>
      </c>
      <c r="H52" s="8" t="n">
        <v>205</v>
      </c>
      <c r="I52" s="36" t="s">
        <v>83</v>
      </c>
      <c r="J52" s="36" t="s">
        <v>83</v>
      </c>
      <c r="K52" s="10" t="n">
        <v>486465</v>
      </c>
      <c r="L52" s="7" t="s">
        <v>303</v>
      </c>
      <c r="M52" s="36" t="s">
        <v>83</v>
      </c>
      <c r="N52" s="36" t="s">
        <v>83</v>
      </c>
      <c r="O52" s="7" t="s">
        <v>83</v>
      </c>
      <c r="P52" s="37" t="n">
        <f aca="false">K52+IF(ISNUMBER(M52),M52,0)+IF(ISNUMBER(N52),N52,0)</f>
        <v>486465</v>
      </c>
      <c r="Q52" s="37" t="str">
        <f aca="false">IFERROR(P52/I52,"缺")</f>
        <v>缺</v>
      </c>
      <c r="R52" s="38" t="n">
        <f aca="false">P52-'A_物調表候選(22案)'!$C$28</f>
        <v>86465</v>
      </c>
      <c r="S52" s="35" t="n">
        <v>4</v>
      </c>
      <c r="T52" s="36" t="s">
        <v>83</v>
      </c>
      <c r="U52" s="36" t="s">
        <v>83</v>
      </c>
      <c r="V52" s="41" t="s">
        <v>83</v>
      </c>
      <c r="W52" s="36" t="s">
        <v>83</v>
      </c>
      <c r="X52" s="7" t="s">
        <v>304</v>
      </c>
      <c r="Y52" s="7" t="s">
        <v>305</v>
      </c>
      <c r="Z52" s="7" t="s">
        <v>532</v>
      </c>
      <c r="AA52" s="14" t="s">
        <v>361</v>
      </c>
      <c r="AB52" s="40" t="s">
        <v>528</v>
      </c>
      <c r="AC52" s="40" t="s">
        <v>318</v>
      </c>
    </row>
    <row r="53" customFormat="false" ht="72" hidden="false" customHeight="true" outlineLevel="0" collapsed="false">
      <c r="A53" s="32" t="n">
        <v>49</v>
      </c>
      <c r="B53" s="33" t="s">
        <v>449</v>
      </c>
      <c r="C53" s="32" t="s">
        <v>533</v>
      </c>
      <c r="D53" s="34" t="s">
        <v>534</v>
      </c>
      <c r="E53" s="35" t="s">
        <v>159</v>
      </c>
      <c r="F53" s="7" t="s">
        <v>535</v>
      </c>
      <c r="G53" s="4" t="s">
        <v>501</v>
      </c>
      <c r="H53" s="8" t="n">
        <v>204</v>
      </c>
      <c r="I53" s="36" t="s">
        <v>83</v>
      </c>
      <c r="J53" s="36" t="s">
        <v>83</v>
      </c>
      <c r="K53" s="10" t="n">
        <v>490245</v>
      </c>
      <c r="L53" s="7" t="s">
        <v>303</v>
      </c>
      <c r="M53" s="10" t="n">
        <v>22330</v>
      </c>
      <c r="N53" s="36" t="s">
        <v>83</v>
      </c>
      <c r="O53" s="7" t="s">
        <v>83</v>
      </c>
      <c r="P53" s="37" t="n">
        <f aca="false">K53+IF(ISNUMBER(M53),M53,0)+IF(ISNUMBER(N53),N53,0)</f>
        <v>512575</v>
      </c>
      <c r="Q53" s="37" t="str">
        <f aca="false">IFERROR(P53/I53,"缺")</f>
        <v>缺</v>
      </c>
      <c r="R53" s="38" t="n">
        <f aca="false">P53-'A_物調表候選(22案)'!$C$28</f>
        <v>112575</v>
      </c>
      <c r="S53" s="35" t="n">
        <v>4</v>
      </c>
      <c r="T53" s="36" t="s">
        <v>83</v>
      </c>
      <c r="U53" s="7" t="s">
        <v>536</v>
      </c>
      <c r="V53" s="39" t="s">
        <v>537</v>
      </c>
      <c r="W53" s="7" t="s">
        <v>538</v>
      </c>
      <c r="X53" s="7" t="s">
        <v>304</v>
      </c>
      <c r="Y53" s="7" t="s">
        <v>305</v>
      </c>
      <c r="Z53" s="7" t="s">
        <v>539</v>
      </c>
      <c r="AA53" s="14" t="s">
        <v>540</v>
      </c>
      <c r="AB53" s="40" t="s">
        <v>541</v>
      </c>
      <c r="AC53" s="40" t="s">
        <v>318</v>
      </c>
    </row>
    <row r="54" customFormat="false" ht="72" hidden="false" customHeight="true" outlineLevel="0" collapsed="false">
      <c r="A54" s="32" t="n">
        <v>50</v>
      </c>
      <c r="B54" s="33" t="s">
        <v>449</v>
      </c>
      <c r="C54" s="32" t="s">
        <v>542</v>
      </c>
      <c r="D54" s="43" t="s">
        <v>543</v>
      </c>
      <c r="E54" s="35" t="s">
        <v>159</v>
      </c>
      <c r="F54" s="7" t="s">
        <v>544</v>
      </c>
      <c r="G54" s="4" t="s">
        <v>545</v>
      </c>
      <c r="H54" s="8" t="n">
        <v>203</v>
      </c>
      <c r="I54" s="36" t="s">
        <v>83</v>
      </c>
      <c r="J54" s="36" t="s">
        <v>83</v>
      </c>
      <c r="K54" s="10" t="n">
        <v>490245</v>
      </c>
      <c r="L54" s="7" t="s">
        <v>303</v>
      </c>
      <c r="M54" s="10" t="n">
        <v>22330</v>
      </c>
      <c r="N54" s="36" t="s">
        <v>83</v>
      </c>
      <c r="O54" s="7" t="s">
        <v>92</v>
      </c>
      <c r="P54" s="37" t="n">
        <f aca="false">K54+IF(ISNUMBER(M54),M54,0)+IF(ISNUMBER(N54),N54,0)</f>
        <v>512575</v>
      </c>
      <c r="Q54" s="37" t="str">
        <f aca="false">IFERROR(P54/I54,"缺")</f>
        <v>缺</v>
      </c>
      <c r="R54" s="38" t="n">
        <f aca="false">P54-'A_物調表候選(22案)'!$C$28</f>
        <v>112575</v>
      </c>
      <c r="S54" s="36" t="s">
        <v>83</v>
      </c>
      <c r="T54" s="36" t="s">
        <v>83</v>
      </c>
      <c r="U54" s="7" t="s">
        <v>536</v>
      </c>
      <c r="V54" s="39" t="s">
        <v>537</v>
      </c>
      <c r="W54" s="7" t="s">
        <v>546</v>
      </c>
      <c r="X54" s="7" t="s">
        <v>547</v>
      </c>
      <c r="Y54" s="12" t="s">
        <v>548</v>
      </c>
      <c r="Z54" s="7" t="s">
        <v>549</v>
      </c>
      <c r="AA54" s="13" t="s">
        <v>550</v>
      </c>
      <c r="AB54" s="40" t="s">
        <v>551</v>
      </c>
      <c r="AC54" s="40" t="s">
        <v>318</v>
      </c>
    </row>
    <row r="56" customFormat="false" ht="15" hidden="false" customHeight="false" outlineLevel="0" collapsed="false">
      <c r="A56" s="2" t="s">
        <v>552</v>
      </c>
    </row>
  </sheetData>
  <hyperlinks>
    <hyperlink ref="D5" r:id="rId1" display="信義 雙捷核心八德經典商辦 5F ↗"/>
    <hyperlink ref="AA5" r:id="rId2" display="信義 本戶（CZ05585）"/>
    <hyperlink ref="D6" r:id="rId3" display="信義 中山區大辦公室＋大倉儲 10F ↗"/>
    <hyperlink ref="AA6" r:id="rId4" display="信義 本戶·16張照片（C905199）"/>
    <hyperlink ref="D7" r:id="rId5" display="【大直辦公室出租】空間大好規劃、採光佳 ↗"/>
    <hyperlink ref="AA7" r:id="rId6" display="HouseWeb·27張"/>
    <hyperlink ref="D8" r:id="rId7" display="信義 八德正核心大辦公室 7F ↗"/>
    <hyperlink ref="AA8" r:id="rId8" display="信義 本戶·9張照片（CZ05587）"/>
    <hyperlink ref="D9" r:id="rId9" display="信義 明水路營業用商辦 4F ↗"/>
    <hyperlink ref="AA9" r:id="rId10" display="信義 本戶·12張照片（CZ03701）"/>
    <hyperlink ref="D10" r:id="rId11" display="【大直辦公室出租】優質辦公室、採光佳 ↗"/>
    <hyperlink ref="AA10" r:id="rId12" display="HouseWeb·37張"/>
    <hyperlink ref="D11" r:id="rId13" location="page=3" display="八德路vs龍江路 2F 220坪 ↗"/>
    <hyperlink ref="AA11" r:id="rId14" location="page=3" display="傑森愛華原始PDF 第3頁（此列無照片）"/>
    <hyperlink ref="D12" r:id="rId15" location="page=4" display="民生東路VS建國北路 2*F 225坪 ↗"/>
    <hyperlink ref="AA12" r:id="rId16" location="page=4" display="傑森愛華原始PDF 第4頁（含照片）"/>
    <hyperlink ref="D13" r:id="rId17" display="永慶 安敦國際大樓 14F ↗"/>
    <hyperlink ref="AA13" r:id="rId18" display="永慶 本戶14F·15張照片"/>
    <hyperlink ref="D14" r:id="rId19" display="敦化南路2段 (中鼎大樓 77號2樓) 2F 222坪 ↗"/>
    <hyperlink ref="AA14" r:id="rId20" display="傑森愛華單筆報表PDF（中鼎2F·2頁，含照片）"/>
    <hyperlink ref="D15" r:id="rId21" display="安敦國際大樓 7F ↗"/>
    <hyperlink ref="AA15" r:id="rId22" display="591 本戶7F·14張照片"/>
    <hyperlink ref="D16" r:id="rId23" display="信義 光復南路大坪數辦公 6F ↗"/>
    <hyperlink ref="AA16" r:id="rId24" display="信義 本戶·19張照片（C328671）"/>
    <hyperlink ref="D17" r:id="rId25" display="591 光復南路 7F ↗"/>
    <hyperlink ref="AA17" r:id="rId26" display="HouseWeb 本戶·40張照片"/>
    <hyperlink ref="D18" r:id="rId27" location="page=3" display="敦化北路VS民生東路 2F 211坪 ↗"/>
    <hyperlink ref="AA18" r:id="rId28" location="page=3" display="傑森愛華原始PDF 第3頁（含照片）"/>
    <hyperlink ref="D19" r:id="rId29" display="仁愛路4段近復興南路 (鴻霖大樓 25號10樓之2) 10F 210坪 ↗"/>
    <hyperlink ref="AA19" r:id="rId30" display="傑森愛華單筆報表PDF（鴻霖10F之2·3頁，含照片）"/>
    <hyperlink ref="D20" r:id="rId31" location="page=2" display="中山北路1段近市民大道 9F 209坪 ↗"/>
    <hyperlink ref="AA20" r:id="rId32" location="page=2" display="傑森愛華原始PDF 第2頁（含照片）"/>
    <hyperlink ref="D21" r:id="rId33" display="永慶／信義 家美金融大樓 15F ↗"/>
    <hyperlink ref="AA21" r:id="rId34" display="永慶 本戶15F·14張照片"/>
    <hyperlink ref="D22" r:id="rId35" display="白宮企業大樓 5F ↗"/>
    <hyperlink ref="AA22" r:id="rId36" display="好房網大樓頁·10張照片（本戶207坪整層無公開頁）"/>
    <hyperlink ref="D23" r:id="rId37" display="【松山區辦公室出租】漂亮裝潢隔間、高樓層 ↗"/>
    <hyperlink ref="AA23" r:id="rId38" display="HouseWeb·38張"/>
    <hyperlink ref="D24" r:id="rId39" display="【信義區辦公室出租】全空好規劃、採光佳、高樓層 ↗"/>
    <hyperlink ref="AA24" r:id="rId40" display="HouseWeb·20張"/>
    <hyperlink ref="D25" r:id="rId41" location="page=1" display="南京東路5段近三民站 5F 204坪 ↗"/>
    <hyperlink ref="AA25" r:id="rId42" location="page=1" display="傑森愛華原始PDF 第1頁（含照片）"/>
    <hyperlink ref="D26" r:id="rId43" display="▲敦南商圈【氣派純辦】【裝潢新】 ↗"/>
    <hyperlink ref="AA26" r:id="rId44" display="HouseWeb·26張"/>
    <hyperlink ref="D27" r:id="rId45" display="信義 光復北路新大樓 5F ↗"/>
    <hyperlink ref="AA27" r:id="rId46" display="信義國際站 本戶·14張照片（備用：www.sinyi.com.tw/rent/houseno/C355686）"/>
    <hyperlink ref="D28" r:id="rId47" display="友聯大樓 5F ↗"/>
    <hyperlink ref="AA28" r:id="rId48" display="友聯5F 現況室內8張照片（591刊登圖·使用者提供）"/>
    <hyperlink ref="D29" r:id="rId49" display="【大直辦公室出租】大直氣派門面、管理佳、現成裝潢 ↗"/>
    <hyperlink ref="AA29" r:id="rId50" display="HouseWeb·43張"/>
    <hyperlink ref="D30" r:id="rId51" location="page=1" display="信義路5段(環球) 18F 201坪 ↗"/>
    <hyperlink ref="AA30" r:id="rId52" location="page=1" display="傑森愛華原始PDF 第1頁（含照片）"/>
    <hyperlink ref="D31" r:id="rId53" display="中山區辦公室出租 ↗"/>
    <hyperlink ref="AA31" r:id="rId54" display="HouseWeb·27張"/>
    <hyperlink ref="D32" r:id="rId55" display="八德路近復興北路 (中影八德大樓 八德路二段260號2樓全層) 2F 200坪 ↗"/>
    <hyperlink ref="AA32" r:id="rId56" display="傑森愛華單筆報表PDF（中影八德2F·11頁，含照片/使照）"/>
    <hyperlink ref="D33" r:id="rId57" display="旭寶大樓 5F ↗"/>
    <hyperlink ref="AA33" r:id="rId58" display="好房網大樓頁·19張照片(本戶無公開頁)"/>
    <hyperlink ref="D34" r:id="rId59" display="信義 復興南路稀有大空間地下室 B1 ↗"/>
    <hyperlink ref="AA34" r:id="rId60" display="信義 本戶·5張照片（C348029）"/>
    <hyperlink ref="D35" r:id="rId61" location="page=6" display="忠孝東路4段VS延吉街 4F 276坪 ↗"/>
    <hyperlink ref="AA35" r:id="rId62" location="page=6" display="傑森愛華原始PDF 第6頁（含照片）"/>
    <hyperlink ref="D36" r:id="rId63" display="信義 環球世貿 10F ↗"/>
    <hyperlink ref="AA36" r:id="rId64" display="信義 本戶（C360646）"/>
    <hyperlink ref="D37" r:id="rId65" display="信義 信義大樓 21F ↗"/>
    <hyperlink ref="AA37" r:id="rId66" display="信義 本戶（C904707）"/>
    <hyperlink ref="D38" r:id="rId67" display="國泰世華銀行大樓 6F ↗"/>
    <hyperlink ref="AA38" r:id="rId68" display="信義社區頁·4張外觀照(本戶無公開頁)"/>
    <hyperlink ref="D39" r:id="rId69" location="page=5" display="市民大道3段近復興南路 8F 257坪 ↗"/>
    <hyperlink ref="AA39" r:id="rId70" location="page=5" display="傑森愛華原始PDF 第5頁（此列無照片）"/>
    <hyperlink ref="D40" r:id="rId71" display="【大直辦公室出租】空間大好規劃、優質美辦 ↗"/>
    <hyperlink ref="AA40" r:id="rId72" display="HouseWeb·27張"/>
    <hyperlink ref="D41" r:id="rId73" display="中鼎大樓 15F之1 ↗"/>
    <hyperlink ref="AA41" r:id="rId74" display="信義 本戶15F·15張照片（CZ05572）"/>
    <hyperlink ref="D42" r:id="rId75" display="敦化南路2段(中鼎大樓 77號22樓) 22F 230坪 ↗"/>
    <hyperlink ref="AA42" r:id="rId76" display="傑森愛華單筆報表PDF（中鼎22F·3頁，含照片）"/>
    <hyperlink ref="D43" r:id="rId77" location="page=4" display="民生東路近敦化北路 8F 226坪 ↗"/>
    <hyperlink ref="AA43" r:id="rId78" location="page=4" display="傑森愛華原始PDF 第4頁（含照片）"/>
    <hyperlink ref="D44" r:id="rId79" display="信義 敦北長城大樓 3F ↗"/>
    <hyperlink ref="AA44" r:id="rId80" display="信義 本戶·21張照片（CZ05326）"/>
    <hyperlink ref="D45" r:id="rId81" display="敦化財經大樓 4F之1 ↗"/>
    <hyperlink ref="AA45" r:id="rId82" display="591 疑同戶4F 220坪·星辰地產"/>
    <hyperlink ref="D46" r:id="rId83" location="page=3" display="安和路一段 (即安敦國際大樓17F) 17F 214坪 ↗"/>
    <hyperlink ref="AA46" r:id="rId84" location="page=3" display="傑森愛華原始PDF 第3頁（含照片）；同戶另見信義CZ05290"/>
    <hyperlink ref="D47" r:id="rId85" display="信義 永春地下大空間店商辦 B1 ↗"/>
    <hyperlink ref="AA47" r:id="rId86" display="信義 本戶·18張照片（C360351）"/>
    <hyperlink ref="D48" r:id="rId87" display="信義 國票大樓 15F C ↗"/>
    <hyperlink ref="AA48" r:id="rId88" display="信義 本戶·12張照片（C346398）"/>
    <hyperlink ref="D49" r:id="rId89" display="松山區辦公室出租 ↗"/>
    <hyperlink ref="AA49" r:id="rId90" display="HouseWeb·40張"/>
    <hyperlink ref="D50" r:id="rId91" location="page=3" display="南京東路近龍江路 8F 210坪 ↗"/>
    <hyperlink ref="AA50" r:id="rId92" location="page=3" display="傑森愛華原始PDF 第3頁（含照片）"/>
    <hyperlink ref="D51" r:id="rId93" location="page=2" display="民生東路3段vs復興北路 11F 205坪 ↗"/>
    <hyperlink ref="AA51" r:id="rId94" location="page=2" display="傑森愛華原始PDF 第2頁（含照片）"/>
    <hyperlink ref="D52" r:id="rId95" location="page=2" display="民生東路3段vs復興北路 3F 205坪 ↗"/>
    <hyperlink ref="AA52" r:id="rId96" location="page=2" display="傑森愛華原始PDF 第2頁（含照片）"/>
    <hyperlink ref="D53" r:id="rId97" location="page=1" display="中山北路近市民大道 17F 204坪 ↗"/>
    <hyperlink ref="AA53" r:id="rId98" location="page=1" display="傑森愛華原始PDF 第1頁（此列無照片）；同戶照片見W08 HouseWeb"/>
    <hyperlink ref="D54" r:id="rId99" display="☆捷運台北車站☆漂亮商辦、一層一戶、高樓層 ↗"/>
    <hyperlink ref="AA54" r:id="rId100" display="HouseWeb·35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7"/>
    <col collapsed="false" customWidth="true" hidden="false" outlineLevel="0" max="4" min="4" style="0" width="26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2" min="12" style="0" width="9"/>
    <col collapsed="false" customWidth="true" hidden="false" outlineLevel="0" max="17" min="13" style="0" width="7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7"/>
    <col collapsed="false" customWidth="true" hidden="false" outlineLevel="0" max="26" min="21" style="0" width="30"/>
  </cols>
  <sheetData>
    <row r="1" customFormat="false" ht="20.1" hidden="false" customHeight="false" outlineLevel="0" collapsed="false">
      <c r="A1" s="1" t="s">
        <v>553</v>
      </c>
    </row>
    <row r="2" customFormat="false" ht="15" hidden="false" customHeight="false" outlineLevel="0" collapsed="false">
      <c r="A2" s="2" t="s">
        <v>554</v>
      </c>
    </row>
    <row r="3" customFormat="false" ht="15" hidden="false" customHeight="false" outlineLevel="0" collapsed="false">
      <c r="B3" s="2" t="s">
        <v>555</v>
      </c>
      <c r="C3" s="2" t="s">
        <v>556</v>
      </c>
      <c r="D3" s="2" t="s">
        <v>557</v>
      </c>
      <c r="E3" s="2" t="s">
        <v>558</v>
      </c>
    </row>
    <row r="4" customFormat="false" ht="15" hidden="false" customHeight="false" outlineLevel="0" collapsed="false">
      <c r="A4" s="22" t="s">
        <v>559</v>
      </c>
      <c r="B4" s="44" t="n">
        <v>0.35</v>
      </c>
      <c r="C4" s="44" t="n">
        <v>0.25</v>
      </c>
      <c r="D4" s="44" t="n">
        <v>0.2</v>
      </c>
      <c r="E4" s="44" t="n">
        <v>0.2</v>
      </c>
    </row>
    <row r="6" customFormat="false" ht="31.5" hidden="false" customHeight="true" outlineLevel="0" collapsed="false">
      <c r="A6" s="3" t="s">
        <v>560</v>
      </c>
      <c r="B6" s="3" t="s">
        <v>561</v>
      </c>
      <c r="C6" s="3" t="s">
        <v>2</v>
      </c>
      <c r="D6" s="3" t="s">
        <v>3</v>
      </c>
      <c r="E6" s="3" t="s">
        <v>562</v>
      </c>
      <c r="F6" s="3" t="s">
        <v>563</v>
      </c>
      <c r="G6" s="24" t="s">
        <v>564</v>
      </c>
      <c r="H6" s="3" t="s">
        <v>565</v>
      </c>
      <c r="I6" s="3" t="s">
        <v>566</v>
      </c>
      <c r="J6" s="3" t="s">
        <v>567</v>
      </c>
      <c r="K6" s="3" t="s">
        <v>568</v>
      </c>
      <c r="L6" s="3" t="s">
        <v>569</v>
      </c>
      <c r="M6" s="3" t="s">
        <v>264</v>
      </c>
      <c r="N6" s="3" t="s">
        <v>555</v>
      </c>
      <c r="O6" s="3" t="s">
        <v>556</v>
      </c>
      <c r="P6" s="3" t="s">
        <v>557</v>
      </c>
      <c r="Q6" s="3" t="s">
        <v>558</v>
      </c>
      <c r="R6" s="3" t="s">
        <v>570</v>
      </c>
      <c r="S6" s="3" t="s">
        <v>571</v>
      </c>
      <c r="T6" s="3" t="s">
        <v>572</v>
      </c>
      <c r="U6" s="3" t="s">
        <v>573</v>
      </c>
      <c r="V6" s="3" t="s">
        <v>574</v>
      </c>
      <c r="W6" s="3" t="s">
        <v>575</v>
      </c>
      <c r="X6" s="3" t="s">
        <v>576</v>
      </c>
      <c r="Y6" s="3" t="s">
        <v>577</v>
      </c>
      <c r="Z6" s="3" t="s">
        <v>24</v>
      </c>
    </row>
    <row r="7" customFormat="false" ht="39.75" hidden="false" customHeight="true" outlineLevel="0" collapsed="false">
      <c r="A7" s="45"/>
      <c r="B7" s="45" t="n">
        <v>1</v>
      </c>
      <c r="C7" s="45" t="s">
        <v>25</v>
      </c>
      <c r="D7" s="46" t="s">
        <v>26</v>
      </c>
      <c r="E7" s="47" t="s">
        <v>27</v>
      </c>
      <c r="F7" s="47" t="s">
        <v>578</v>
      </c>
      <c r="G7" s="47" t="s">
        <v>310</v>
      </c>
      <c r="H7" s="48" t="n">
        <v>220.81</v>
      </c>
      <c r="I7" s="48" t="n">
        <v>189.32</v>
      </c>
      <c r="J7" s="49" t="n">
        <v>420000</v>
      </c>
      <c r="K7" s="49" t="n">
        <v>450913</v>
      </c>
      <c r="L7" s="49" t="n">
        <v>2382</v>
      </c>
      <c r="M7" s="45" t="s">
        <v>331</v>
      </c>
      <c r="N7" s="50" t="n">
        <v>3.5</v>
      </c>
      <c r="O7" s="50" t="n">
        <v>5</v>
      </c>
      <c r="P7" s="50" t="n">
        <v>3.5</v>
      </c>
      <c r="Q7" s="50" t="n">
        <v>3</v>
      </c>
      <c r="R7" s="50" t="n">
        <v>0</v>
      </c>
      <c r="S7" s="51" t="n">
        <f aca="false">ROUND((N7*$B$4+O7*$C$4+P7*$D$4+Q7*$E$4)*20-R7*4,1)</f>
        <v>75.5</v>
      </c>
      <c r="T7" s="47" t="s">
        <v>579</v>
      </c>
      <c r="U7" s="52" t="s">
        <v>580</v>
      </c>
      <c r="V7" s="52" t="s">
        <v>581</v>
      </c>
      <c r="W7" s="52" t="s">
        <v>582</v>
      </c>
      <c r="X7" s="52" t="s">
        <v>583</v>
      </c>
      <c r="Y7" s="53" t="s">
        <v>292</v>
      </c>
      <c r="Z7" s="13" t="s">
        <v>37</v>
      </c>
    </row>
    <row r="8" customFormat="false" ht="39.75" hidden="false" customHeight="true" outlineLevel="0" collapsed="false">
      <c r="A8" s="45"/>
      <c r="B8" s="45" t="n">
        <v>2</v>
      </c>
      <c r="C8" s="45" t="s">
        <v>79</v>
      </c>
      <c r="D8" s="46" t="s">
        <v>80</v>
      </c>
      <c r="E8" s="47" t="s">
        <v>51</v>
      </c>
      <c r="F8" s="47" t="s">
        <v>578</v>
      </c>
      <c r="G8" s="47" t="s">
        <v>310</v>
      </c>
      <c r="H8" s="48" t="n">
        <v>203.26</v>
      </c>
      <c r="I8" s="48" t="n">
        <v>189.91</v>
      </c>
      <c r="J8" s="49" t="n">
        <v>405504</v>
      </c>
      <c r="K8" s="49" t="n">
        <v>413004</v>
      </c>
      <c r="L8" s="54" t="s">
        <v>83</v>
      </c>
      <c r="M8" s="45" t="s">
        <v>411</v>
      </c>
      <c r="N8" s="50" t="n">
        <v>4</v>
      </c>
      <c r="O8" s="50" t="n">
        <v>4.5</v>
      </c>
      <c r="P8" s="50" t="n">
        <v>3</v>
      </c>
      <c r="Q8" s="50" t="n">
        <v>3</v>
      </c>
      <c r="R8" s="50" t="n">
        <v>0</v>
      </c>
      <c r="S8" s="51" t="n">
        <f aca="false">ROUND((N8*$B$4+O8*$C$4+P8*$D$4+Q8*$E$4)*20-R8*4,1)</f>
        <v>74.5</v>
      </c>
      <c r="T8" s="47" t="s">
        <v>579</v>
      </c>
      <c r="U8" s="52" t="s">
        <v>584</v>
      </c>
      <c r="V8" s="52" t="s">
        <v>585</v>
      </c>
      <c r="W8" s="52" t="s">
        <v>586</v>
      </c>
      <c r="X8" s="52" t="s">
        <v>587</v>
      </c>
      <c r="Y8" s="53" t="s">
        <v>292</v>
      </c>
      <c r="Z8" s="14" t="s">
        <v>87</v>
      </c>
    </row>
    <row r="9" customFormat="false" ht="39.75" hidden="false" customHeight="true" outlineLevel="0" collapsed="false">
      <c r="A9" s="45"/>
      <c r="B9" s="45" t="n">
        <v>3</v>
      </c>
      <c r="C9" s="45" t="s">
        <v>115</v>
      </c>
      <c r="D9" s="46" t="s">
        <v>116</v>
      </c>
      <c r="E9" s="47" t="s">
        <v>27</v>
      </c>
      <c r="F9" s="47" t="s">
        <v>588</v>
      </c>
      <c r="G9" s="47" t="s">
        <v>310</v>
      </c>
      <c r="H9" s="48" t="n">
        <v>224.18</v>
      </c>
      <c r="I9" s="55" t="s">
        <v>83</v>
      </c>
      <c r="J9" s="49" t="n">
        <v>448000</v>
      </c>
      <c r="K9" s="49" t="n">
        <v>480000</v>
      </c>
      <c r="L9" s="54" t="s">
        <v>83</v>
      </c>
      <c r="M9" s="45" t="s">
        <v>319</v>
      </c>
      <c r="N9" s="50" t="n">
        <v>3.5</v>
      </c>
      <c r="O9" s="50" t="n">
        <v>5</v>
      </c>
      <c r="P9" s="50" t="n">
        <v>3.5</v>
      </c>
      <c r="Q9" s="50" t="n">
        <v>3</v>
      </c>
      <c r="R9" s="50" t="n">
        <v>0.5</v>
      </c>
      <c r="S9" s="51" t="n">
        <f aca="false">ROUND((N9*$B$4+O9*$C$4+P9*$D$4+Q9*$E$4)*20-R9*4,1)</f>
        <v>73.5</v>
      </c>
      <c r="T9" s="47" t="s">
        <v>579</v>
      </c>
      <c r="U9" s="52" t="s">
        <v>589</v>
      </c>
      <c r="V9" s="52" t="s">
        <v>590</v>
      </c>
      <c r="W9" s="52" t="s">
        <v>591</v>
      </c>
      <c r="X9" s="52" t="s">
        <v>592</v>
      </c>
      <c r="Y9" s="52" t="s">
        <v>593</v>
      </c>
      <c r="Z9" s="14" t="s">
        <v>124</v>
      </c>
    </row>
    <row r="10" customFormat="false" ht="39.75" hidden="false" customHeight="true" outlineLevel="0" collapsed="false">
      <c r="A10" s="56" t="n">
        <v>7</v>
      </c>
      <c r="B10" s="56" t="n">
        <v>4</v>
      </c>
      <c r="C10" s="56" t="s">
        <v>299</v>
      </c>
      <c r="D10" s="57" t="s">
        <v>300</v>
      </c>
      <c r="E10" s="58" t="s">
        <v>51</v>
      </c>
      <c r="F10" s="58" t="s">
        <v>304</v>
      </c>
      <c r="G10" s="58" t="s">
        <v>267</v>
      </c>
      <c r="H10" s="59" t="n">
        <v>220</v>
      </c>
      <c r="I10" s="60" t="s">
        <v>83</v>
      </c>
      <c r="J10" s="61" t="n">
        <v>369600</v>
      </c>
      <c r="K10" s="61" t="n">
        <v>369600</v>
      </c>
      <c r="L10" s="62" t="s">
        <v>83</v>
      </c>
      <c r="M10" s="58" t="s">
        <v>83</v>
      </c>
      <c r="N10" s="63" t="n">
        <v>4.5</v>
      </c>
      <c r="O10" s="63" t="n">
        <v>3.5</v>
      </c>
      <c r="P10" s="63" t="n">
        <v>2.5</v>
      </c>
      <c r="Q10" s="63" t="n">
        <v>3.5</v>
      </c>
      <c r="R10" s="63" t="n">
        <v>0</v>
      </c>
      <c r="S10" s="64" t="n">
        <f aca="false">ROUND((N10*$B$4+O10*$C$4+P10*$D$4+Q10*$E$4)*20-R10*4,1)</f>
        <v>73</v>
      </c>
      <c r="T10" s="58" t="s">
        <v>579</v>
      </c>
      <c r="U10" s="65" t="s">
        <v>594</v>
      </c>
      <c r="V10" s="65" t="s">
        <v>595</v>
      </c>
      <c r="W10" s="65" t="s">
        <v>596</v>
      </c>
      <c r="X10" s="65" t="s">
        <v>597</v>
      </c>
      <c r="Y10" s="66" t="s">
        <v>292</v>
      </c>
      <c r="Z10" s="67" t="s">
        <v>307</v>
      </c>
    </row>
    <row r="11" customFormat="false" ht="39.75" hidden="false" customHeight="true" outlineLevel="0" collapsed="false">
      <c r="A11" s="45"/>
      <c r="B11" s="45" t="n">
        <v>5</v>
      </c>
      <c r="C11" s="45" t="s">
        <v>105</v>
      </c>
      <c r="D11" s="46" t="s">
        <v>106</v>
      </c>
      <c r="E11" s="47" t="s">
        <v>51</v>
      </c>
      <c r="F11" s="47" t="s">
        <v>598</v>
      </c>
      <c r="G11" s="47" t="s">
        <v>310</v>
      </c>
      <c r="H11" s="48" t="n">
        <v>203.56</v>
      </c>
      <c r="I11" s="48" t="n">
        <v>119.66</v>
      </c>
      <c r="J11" s="49" t="n">
        <v>305340</v>
      </c>
      <c r="K11" s="49" t="n">
        <v>337910</v>
      </c>
      <c r="L11" s="49" t="n">
        <v>2824</v>
      </c>
      <c r="M11" s="45" t="s">
        <v>408</v>
      </c>
      <c r="N11" s="50" t="n">
        <v>5</v>
      </c>
      <c r="O11" s="50" t="n">
        <v>3.5</v>
      </c>
      <c r="P11" s="50" t="n">
        <v>5</v>
      </c>
      <c r="Q11" s="50" t="n">
        <v>1</v>
      </c>
      <c r="R11" s="50" t="n">
        <v>1</v>
      </c>
      <c r="S11" s="51" t="n">
        <f aca="false">ROUND((N11*$B$4+O11*$C$4+P11*$D$4+Q11*$E$4)*20-R11*4,1)</f>
        <v>72.5</v>
      </c>
      <c r="T11" s="47" t="s">
        <v>579</v>
      </c>
      <c r="U11" s="52" t="s">
        <v>599</v>
      </c>
      <c r="V11" s="52" t="s">
        <v>595</v>
      </c>
      <c r="W11" s="52" t="s">
        <v>600</v>
      </c>
      <c r="X11" s="52" t="s">
        <v>601</v>
      </c>
      <c r="Y11" s="52" t="s">
        <v>602</v>
      </c>
      <c r="Z11" s="14" t="s">
        <v>114</v>
      </c>
    </row>
    <row r="12" customFormat="false" ht="39.75" hidden="false" customHeight="true" outlineLevel="0" collapsed="false">
      <c r="A12" s="56" t="n">
        <v>4</v>
      </c>
      <c r="B12" s="56" t="n">
        <v>6</v>
      </c>
      <c r="C12" s="56" t="s">
        <v>168</v>
      </c>
      <c r="D12" s="57" t="s">
        <v>169</v>
      </c>
      <c r="E12" s="58" t="s">
        <v>159</v>
      </c>
      <c r="F12" s="58" t="s">
        <v>598</v>
      </c>
      <c r="G12" s="58" t="s">
        <v>267</v>
      </c>
      <c r="H12" s="59" t="n">
        <v>254.06</v>
      </c>
      <c r="I12" s="60" t="s">
        <v>83</v>
      </c>
      <c r="J12" s="61" t="n">
        <v>381090</v>
      </c>
      <c r="K12" s="61" t="n">
        <v>423010</v>
      </c>
      <c r="L12" s="62" t="s">
        <v>83</v>
      </c>
      <c r="M12" s="56" t="s">
        <v>269</v>
      </c>
      <c r="N12" s="63" t="n">
        <v>3.5</v>
      </c>
      <c r="O12" s="63" t="n">
        <v>3.5</v>
      </c>
      <c r="P12" s="63" t="n">
        <v>3.5</v>
      </c>
      <c r="Q12" s="63" t="n">
        <v>4</v>
      </c>
      <c r="R12" s="63" t="n">
        <v>0.5</v>
      </c>
      <c r="S12" s="64" t="n">
        <f aca="false">ROUND((N12*$B$4+O12*$C$4+P12*$D$4+Q12*$E$4)*20-R12*4,1)</f>
        <v>70</v>
      </c>
      <c r="T12" s="58" t="s">
        <v>579</v>
      </c>
      <c r="U12" s="65" t="s">
        <v>603</v>
      </c>
      <c r="V12" s="65" t="s">
        <v>595</v>
      </c>
      <c r="W12" s="65" t="s">
        <v>604</v>
      </c>
      <c r="X12" s="65" t="s">
        <v>605</v>
      </c>
      <c r="Y12" s="65" t="s">
        <v>606</v>
      </c>
      <c r="Z12" s="67" t="s">
        <v>175</v>
      </c>
    </row>
    <row r="13" customFormat="false" ht="39.75" hidden="false" customHeight="true" outlineLevel="0" collapsed="false">
      <c r="A13" s="45"/>
      <c r="B13" s="45" t="n">
        <v>7</v>
      </c>
      <c r="C13" s="45" t="s">
        <v>421</v>
      </c>
      <c r="D13" s="46" t="s">
        <v>422</v>
      </c>
      <c r="E13" s="47" t="s">
        <v>127</v>
      </c>
      <c r="F13" s="47" t="s">
        <v>304</v>
      </c>
      <c r="G13" s="47" t="s">
        <v>310</v>
      </c>
      <c r="H13" s="48" t="n">
        <v>201</v>
      </c>
      <c r="I13" s="55" t="s">
        <v>83</v>
      </c>
      <c r="J13" s="49" t="n">
        <v>401100</v>
      </c>
      <c r="K13" s="49" t="n">
        <v>401100</v>
      </c>
      <c r="L13" s="54" t="s">
        <v>83</v>
      </c>
      <c r="M13" s="47" t="s">
        <v>83</v>
      </c>
      <c r="N13" s="50" t="n">
        <v>4</v>
      </c>
      <c r="O13" s="50" t="n">
        <v>4</v>
      </c>
      <c r="P13" s="50" t="n">
        <v>2.5</v>
      </c>
      <c r="Q13" s="50" t="n">
        <v>3</v>
      </c>
      <c r="R13" s="50" t="n">
        <v>0</v>
      </c>
      <c r="S13" s="51" t="n">
        <f aca="false">ROUND((N13*$B$4+O13*$C$4+P13*$D$4+Q13*$E$4)*20-R13*4,1)</f>
        <v>70</v>
      </c>
      <c r="T13" s="47" t="s">
        <v>579</v>
      </c>
      <c r="U13" s="52" t="s">
        <v>607</v>
      </c>
      <c r="V13" s="52" t="s">
        <v>608</v>
      </c>
      <c r="W13" s="52" t="s">
        <v>609</v>
      </c>
      <c r="X13" s="52" t="s">
        <v>610</v>
      </c>
      <c r="Y13" s="53" t="s">
        <v>292</v>
      </c>
      <c r="Z13" s="14" t="s">
        <v>394</v>
      </c>
    </row>
    <row r="14" customFormat="false" ht="39.75" hidden="false" customHeight="true" outlineLevel="0" collapsed="false">
      <c r="A14" s="45"/>
      <c r="B14" s="45" t="n">
        <v>8</v>
      </c>
      <c r="C14" s="45" t="s">
        <v>125</v>
      </c>
      <c r="D14" s="46" t="s">
        <v>126</v>
      </c>
      <c r="E14" s="47" t="s">
        <v>127</v>
      </c>
      <c r="F14" s="47" t="s">
        <v>588</v>
      </c>
      <c r="G14" s="47" t="s">
        <v>310</v>
      </c>
      <c r="H14" s="48" t="n">
        <v>208.96</v>
      </c>
      <c r="I14" s="48" t="n">
        <v>164.05</v>
      </c>
      <c r="J14" s="49" t="n">
        <v>398000</v>
      </c>
      <c r="K14" s="49" t="n">
        <v>434435</v>
      </c>
      <c r="L14" s="49" t="n">
        <v>2648</v>
      </c>
      <c r="M14" s="45" t="s">
        <v>363</v>
      </c>
      <c r="N14" s="50" t="n">
        <v>4.5</v>
      </c>
      <c r="O14" s="50" t="n">
        <v>4</v>
      </c>
      <c r="P14" s="50" t="n">
        <v>3</v>
      </c>
      <c r="Q14" s="50" t="n">
        <v>2</v>
      </c>
      <c r="R14" s="50" t="n">
        <v>0.5</v>
      </c>
      <c r="S14" s="51" t="n">
        <f aca="false">ROUND((N14*$B$4+O14*$C$4+P14*$D$4+Q14*$E$4)*20-R14*4,1)</f>
        <v>69.5</v>
      </c>
      <c r="T14" s="47" t="s">
        <v>579</v>
      </c>
      <c r="U14" s="52" t="s">
        <v>611</v>
      </c>
      <c r="V14" s="52" t="s">
        <v>612</v>
      </c>
      <c r="W14" s="52" t="s">
        <v>613</v>
      </c>
      <c r="X14" s="52" t="s">
        <v>614</v>
      </c>
      <c r="Y14" s="52" t="s">
        <v>615</v>
      </c>
      <c r="Z14" s="14" t="s">
        <v>136</v>
      </c>
    </row>
    <row r="15" customFormat="false" ht="39.75" hidden="false" customHeight="true" outlineLevel="0" collapsed="false">
      <c r="A15" s="45"/>
      <c r="B15" s="45" t="n">
        <v>9</v>
      </c>
      <c r="C15" s="45" t="s">
        <v>438</v>
      </c>
      <c r="D15" s="46" t="s">
        <v>439</v>
      </c>
      <c r="E15" s="47" t="s">
        <v>159</v>
      </c>
      <c r="F15" s="47" t="s">
        <v>304</v>
      </c>
      <c r="G15" s="47" t="s">
        <v>310</v>
      </c>
      <c r="H15" s="48" t="n">
        <v>200</v>
      </c>
      <c r="I15" s="48" t="n">
        <v>150</v>
      </c>
      <c r="J15" s="49" t="n">
        <v>308700</v>
      </c>
      <c r="K15" s="49" t="n">
        <v>346050</v>
      </c>
      <c r="L15" s="49" t="n">
        <v>2307</v>
      </c>
      <c r="M15" s="45" t="s">
        <v>444</v>
      </c>
      <c r="N15" s="50" t="n">
        <v>5</v>
      </c>
      <c r="O15" s="50" t="n">
        <v>3.2</v>
      </c>
      <c r="P15" s="50" t="n">
        <v>2.5</v>
      </c>
      <c r="Q15" s="50" t="n">
        <v>3</v>
      </c>
      <c r="R15" s="50" t="n">
        <v>1</v>
      </c>
      <c r="S15" s="51" t="n">
        <f aca="false">ROUND((N15*$B$4+O15*$C$4+P15*$D$4+Q15*$E$4)*20-R15*4,1)</f>
        <v>69</v>
      </c>
      <c r="T15" s="47" t="s">
        <v>579</v>
      </c>
      <c r="U15" s="52" t="s">
        <v>616</v>
      </c>
      <c r="V15" s="52" t="s">
        <v>617</v>
      </c>
      <c r="W15" s="52" t="s">
        <v>618</v>
      </c>
      <c r="X15" s="52" t="s">
        <v>619</v>
      </c>
      <c r="Y15" s="52" t="s">
        <v>620</v>
      </c>
      <c r="Z15" s="14" t="s">
        <v>446</v>
      </c>
    </row>
    <row r="16" customFormat="false" ht="39.75" hidden="false" customHeight="true" outlineLevel="0" collapsed="false">
      <c r="A16" s="45"/>
      <c r="B16" s="45" t="n">
        <v>10</v>
      </c>
      <c r="C16" s="45" t="s">
        <v>369</v>
      </c>
      <c r="D16" s="46" t="s">
        <v>370</v>
      </c>
      <c r="E16" s="47" t="s">
        <v>51</v>
      </c>
      <c r="F16" s="45" t="s">
        <v>621</v>
      </c>
      <c r="G16" s="47" t="s">
        <v>310</v>
      </c>
      <c r="H16" s="48" t="n">
        <v>206</v>
      </c>
      <c r="I16" s="55" t="s">
        <v>83</v>
      </c>
      <c r="J16" s="49" t="n">
        <v>350900</v>
      </c>
      <c r="K16" s="49" t="n">
        <v>350900</v>
      </c>
      <c r="L16" s="54" t="s">
        <v>83</v>
      </c>
      <c r="M16" s="47" t="s">
        <v>83</v>
      </c>
      <c r="N16" s="50" t="n">
        <v>4.5</v>
      </c>
      <c r="O16" s="50" t="n">
        <v>2.5</v>
      </c>
      <c r="P16" s="50" t="n">
        <v>2.5</v>
      </c>
      <c r="Q16" s="50" t="n">
        <v>3.5</v>
      </c>
      <c r="R16" s="50" t="n">
        <v>0</v>
      </c>
      <c r="S16" s="51" t="n">
        <f aca="false">ROUND((N16*$B$4+O16*$C$4+P16*$D$4+Q16*$E$4)*20-R16*4,1)</f>
        <v>68</v>
      </c>
      <c r="T16" s="47" t="s">
        <v>579</v>
      </c>
      <c r="U16" s="52" t="s">
        <v>622</v>
      </c>
      <c r="V16" s="52" t="s">
        <v>623</v>
      </c>
      <c r="W16" s="52" t="s">
        <v>624</v>
      </c>
      <c r="X16" s="52" t="s">
        <v>625</v>
      </c>
      <c r="Y16" s="53" t="s">
        <v>292</v>
      </c>
      <c r="Z16" s="13" t="s">
        <v>376</v>
      </c>
    </row>
    <row r="17" customFormat="false" ht="39.75" hidden="false" customHeight="true" outlineLevel="0" collapsed="false">
      <c r="A17" s="45"/>
      <c r="B17" s="45" t="n">
        <v>11</v>
      </c>
      <c r="C17" s="45" t="s">
        <v>88</v>
      </c>
      <c r="D17" s="46" t="s">
        <v>89</v>
      </c>
      <c r="E17" s="47" t="s">
        <v>51</v>
      </c>
      <c r="F17" s="47" t="s">
        <v>578</v>
      </c>
      <c r="G17" s="47" t="s">
        <v>310</v>
      </c>
      <c r="H17" s="48" t="n">
        <v>207.04</v>
      </c>
      <c r="I17" s="48" t="n">
        <v>156.93</v>
      </c>
      <c r="J17" s="49" t="n">
        <v>360150</v>
      </c>
      <c r="K17" s="49" t="n">
        <v>389134</v>
      </c>
      <c r="L17" s="49" t="n">
        <v>2480</v>
      </c>
      <c r="M17" s="45" t="s">
        <v>366</v>
      </c>
      <c r="N17" s="50" t="n">
        <v>5</v>
      </c>
      <c r="O17" s="50" t="n">
        <v>4.5</v>
      </c>
      <c r="P17" s="50" t="n">
        <v>1</v>
      </c>
      <c r="Q17" s="50" t="n">
        <v>3</v>
      </c>
      <c r="R17" s="50" t="n">
        <v>1.5</v>
      </c>
      <c r="S17" s="51" t="n">
        <f aca="false">ROUND((N17*$B$4+O17*$C$4+P17*$D$4+Q17*$E$4)*20-R17*4,1)</f>
        <v>67.5</v>
      </c>
      <c r="T17" s="47" t="s">
        <v>579</v>
      </c>
      <c r="U17" s="52" t="s">
        <v>626</v>
      </c>
      <c r="V17" s="52" t="s">
        <v>627</v>
      </c>
      <c r="W17" s="52" t="s">
        <v>628</v>
      </c>
      <c r="X17" s="52" t="s">
        <v>629</v>
      </c>
      <c r="Y17" s="52" t="s">
        <v>630</v>
      </c>
      <c r="Z17" s="14" t="s">
        <v>95</v>
      </c>
    </row>
    <row r="18" customFormat="false" ht="39.75" hidden="false" customHeight="true" outlineLevel="0" collapsed="false">
      <c r="A18" s="45"/>
      <c r="B18" s="45" t="n">
        <v>12</v>
      </c>
      <c r="C18" s="45" t="s">
        <v>388</v>
      </c>
      <c r="D18" s="46" t="s">
        <v>389</v>
      </c>
      <c r="E18" s="47" t="s">
        <v>51</v>
      </c>
      <c r="F18" s="47" t="s">
        <v>304</v>
      </c>
      <c r="G18" s="47" t="s">
        <v>310</v>
      </c>
      <c r="H18" s="48" t="n">
        <v>204</v>
      </c>
      <c r="I18" s="55" t="s">
        <v>83</v>
      </c>
      <c r="J18" s="49" t="n">
        <v>404985</v>
      </c>
      <c r="K18" s="49" t="n">
        <v>404985</v>
      </c>
      <c r="L18" s="54" t="s">
        <v>83</v>
      </c>
      <c r="M18" s="47" t="s">
        <v>83</v>
      </c>
      <c r="N18" s="50" t="n">
        <v>4</v>
      </c>
      <c r="O18" s="50" t="n">
        <v>3.5</v>
      </c>
      <c r="P18" s="50" t="n">
        <v>2.5</v>
      </c>
      <c r="Q18" s="50" t="n">
        <v>3</v>
      </c>
      <c r="R18" s="50" t="n">
        <v>0</v>
      </c>
      <c r="S18" s="51" t="n">
        <f aca="false">ROUND((N18*$B$4+O18*$C$4+P18*$D$4+Q18*$E$4)*20-R18*4,1)</f>
        <v>67.5</v>
      </c>
      <c r="T18" s="47" t="s">
        <v>579</v>
      </c>
      <c r="U18" s="52" t="s">
        <v>631</v>
      </c>
      <c r="V18" s="52" t="s">
        <v>595</v>
      </c>
      <c r="W18" s="52" t="s">
        <v>632</v>
      </c>
      <c r="X18" s="52" t="s">
        <v>633</v>
      </c>
      <c r="Y18" s="53" t="s">
        <v>292</v>
      </c>
      <c r="Z18" s="14" t="s">
        <v>394</v>
      </c>
    </row>
    <row r="19" customFormat="false" ht="39.75" hidden="false" customHeight="true" outlineLevel="0" collapsed="false">
      <c r="A19" s="45"/>
      <c r="B19" s="45" t="n">
        <v>13</v>
      </c>
      <c r="C19" s="45" t="s">
        <v>509</v>
      </c>
      <c r="D19" s="46" t="s">
        <v>510</v>
      </c>
      <c r="E19" s="47" t="s">
        <v>51</v>
      </c>
      <c r="F19" s="45" t="s">
        <v>621</v>
      </c>
      <c r="G19" s="47" t="s">
        <v>449</v>
      </c>
      <c r="H19" s="48" t="n">
        <v>211</v>
      </c>
      <c r="I19" s="55" t="s">
        <v>83</v>
      </c>
      <c r="J19" s="49" t="n">
        <v>400000</v>
      </c>
      <c r="K19" s="49" t="n">
        <v>400000</v>
      </c>
      <c r="L19" s="54" t="s">
        <v>83</v>
      </c>
      <c r="M19" s="47" t="s">
        <v>83</v>
      </c>
      <c r="N19" s="50" t="n">
        <v>4</v>
      </c>
      <c r="O19" s="50" t="n">
        <v>3.8</v>
      </c>
      <c r="P19" s="50" t="n">
        <v>2</v>
      </c>
      <c r="Q19" s="50" t="n">
        <v>3</v>
      </c>
      <c r="R19" s="50" t="n">
        <v>0</v>
      </c>
      <c r="S19" s="51" t="n">
        <f aca="false">ROUND((N19*$B$4+O19*$C$4+P19*$D$4+Q19*$E$4)*20-R19*4,1)</f>
        <v>67</v>
      </c>
      <c r="T19" s="47" t="s">
        <v>579</v>
      </c>
      <c r="U19" s="52" t="s">
        <v>634</v>
      </c>
      <c r="V19" s="52" t="s">
        <v>635</v>
      </c>
      <c r="W19" s="52" t="s">
        <v>636</v>
      </c>
      <c r="X19" s="52" t="s">
        <v>637</v>
      </c>
      <c r="Y19" s="53" t="s">
        <v>292</v>
      </c>
      <c r="Z19" s="13" t="s">
        <v>516</v>
      </c>
    </row>
    <row r="20" customFormat="false" ht="39.75" hidden="false" customHeight="true" outlineLevel="0" collapsed="false">
      <c r="A20" s="45"/>
      <c r="B20" s="45" t="n">
        <v>14</v>
      </c>
      <c r="C20" s="45" t="s">
        <v>96</v>
      </c>
      <c r="D20" s="68" t="s">
        <v>97</v>
      </c>
      <c r="E20" s="47" t="s">
        <v>51</v>
      </c>
      <c r="F20" s="45" t="s">
        <v>638</v>
      </c>
      <c r="G20" s="47" t="s">
        <v>310</v>
      </c>
      <c r="H20" s="48" t="n">
        <v>211</v>
      </c>
      <c r="I20" s="55" t="s">
        <v>83</v>
      </c>
      <c r="J20" s="49" t="n">
        <v>400000</v>
      </c>
      <c r="K20" s="49" t="n">
        <v>417935</v>
      </c>
      <c r="L20" s="54" t="s">
        <v>83</v>
      </c>
      <c r="M20" s="47" t="s">
        <v>83</v>
      </c>
      <c r="N20" s="50" t="n">
        <v>4.5</v>
      </c>
      <c r="O20" s="50" t="n">
        <v>3.8</v>
      </c>
      <c r="P20" s="50" t="n">
        <v>2</v>
      </c>
      <c r="Q20" s="50" t="n">
        <v>3</v>
      </c>
      <c r="R20" s="50" t="n">
        <v>1</v>
      </c>
      <c r="S20" s="51" t="n">
        <f aca="false">ROUND((N20*$B$4+O20*$C$4+P20*$D$4+Q20*$E$4)*20-R20*4,1)</f>
        <v>66.5</v>
      </c>
      <c r="T20" s="47" t="s">
        <v>579</v>
      </c>
      <c r="U20" s="52" t="s">
        <v>639</v>
      </c>
      <c r="V20" s="52" t="s">
        <v>635</v>
      </c>
      <c r="W20" s="52" t="s">
        <v>636</v>
      </c>
      <c r="X20" s="52" t="s">
        <v>637</v>
      </c>
      <c r="Y20" s="52" t="s">
        <v>640</v>
      </c>
      <c r="Z20" s="13" t="s">
        <v>104</v>
      </c>
    </row>
    <row r="21" customFormat="false" ht="39.75" hidden="false" customHeight="true" outlineLevel="0" collapsed="false">
      <c r="A21" s="45"/>
      <c r="B21" s="45" t="n">
        <v>15</v>
      </c>
      <c r="C21" s="45" t="s">
        <v>137</v>
      </c>
      <c r="D21" s="46" t="s">
        <v>138</v>
      </c>
      <c r="E21" s="47" t="s">
        <v>51</v>
      </c>
      <c r="F21" s="47" t="s">
        <v>598</v>
      </c>
      <c r="G21" s="47" t="s">
        <v>449</v>
      </c>
      <c r="H21" s="48" t="n">
        <v>225.83</v>
      </c>
      <c r="I21" s="48" t="n">
        <v>201.29</v>
      </c>
      <c r="J21" s="49" t="n">
        <v>474500</v>
      </c>
      <c r="K21" s="49" t="n">
        <v>501600</v>
      </c>
      <c r="L21" s="49" t="n">
        <v>2492</v>
      </c>
      <c r="M21" s="45" t="s">
        <v>492</v>
      </c>
      <c r="N21" s="50" t="n">
        <v>3</v>
      </c>
      <c r="O21" s="50" t="n">
        <v>3.5</v>
      </c>
      <c r="P21" s="50" t="n">
        <v>3.5</v>
      </c>
      <c r="Q21" s="50" t="n">
        <v>3</v>
      </c>
      <c r="R21" s="50" t="n">
        <v>0</v>
      </c>
      <c r="S21" s="51" t="n">
        <f aca="false">ROUND((N21*$B$4+O21*$C$4+P21*$D$4+Q21*$E$4)*20-R21*4,1)</f>
        <v>64.5</v>
      </c>
      <c r="T21" s="47" t="s">
        <v>579</v>
      </c>
      <c r="U21" s="52" t="s">
        <v>641</v>
      </c>
      <c r="V21" s="52" t="s">
        <v>595</v>
      </c>
      <c r="W21" s="52" t="s">
        <v>642</v>
      </c>
      <c r="X21" s="52" t="s">
        <v>643</v>
      </c>
      <c r="Y21" s="53" t="s">
        <v>292</v>
      </c>
      <c r="Z21" s="14" t="s">
        <v>146</v>
      </c>
    </row>
    <row r="22" customFormat="false" ht="39.75" hidden="false" customHeight="true" outlineLevel="0" collapsed="false">
      <c r="A22" s="56" t="n">
        <v>2</v>
      </c>
      <c r="B22" s="56" t="n">
        <v>16</v>
      </c>
      <c r="C22" s="56" t="s">
        <v>157</v>
      </c>
      <c r="D22" s="57" t="s">
        <v>158</v>
      </c>
      <c r="E22" s="58" t="s">
        <v>159</v>
      </c>
      <c r="F22" s="58" t="s">
        <v>598</v>
      </c>
      <c r="G22" s="58" t="s">
        <v>267</v>
      </c>
      <c r="H22" s="59" t="n">
        <v>278.04</v>
      </c>
      <c r="I22" s="59" t="n">
        <v>262.5</v>
      </c>
      <c r="J22" s="61" t="n">
        <v>388500</v>
      </c>
      <c r="K22" s="61" t="n">
        <v>431000</v>
      </c>
      <c r="L22" s="61" t="n">
        <v>1642</v>
      </c>
      <c r="M22" s="56" t="s">
        <v>272</v>
      </c>
      <c r="N22" s="63" t="n">
        <v>3</v>
      </c>
      <c r="O22" s="63" t="n">
        <v>3.5</v>
      </c>
      <c r="P22" s="63" t="n">
        <v>2</v>
      </c>
      <c r="Q22" s="63" t="n">
        <v>5</v>
      </c>
      <c r="R22" s="63" t="n">
        <v>0.5</v>
      </c>
      <c r="S22" s="64" t="n">
        <f aca="false">ROUND((N22*$B$4+O22*$C$4+P22*$D$4+Q22*$E$4)*20-R22*4,1)</f>
        <v>64.5</v>
      </c>
      <c r="T22" s="58" t="s">
        <v>579</v>
      </c>
      <c r="U22" s="65" t="s">
        <v>644</v>
      </c>
      <c r="V22" s="65" t="s">
        <v>595</v>
      </c>
      <c r="W22" s="65" t="s">
        <v>645</v>
      </c>
      <c r="X22" s="65" t="s">
        <v>646</v>
      </c>
      <c r="Y22" s="65" t="s">
        <v>647</v>
      </c>
      <c r="Z22" s="67" t="s">
        <v>167</v>
      </c>
    </row>
    <row r="23" customFormat="false" ht="39.75" hidden="false" customHeight="true" outlineLevel="0" collapsed="false">
      <c r="A23" s="45"/>
      <c r="B23" s="45" t="n">
        <v>17</v>
      </c>
      <c r="C23" s="45" t="s">
        <v>498</v>
      </c>
      <c r="D23" s="46" t="s">
        <v>499</v>
      </c>
      <c r="E23" s="47" t="s">
        <v>27</v>
      </c>
      <c r="F23" s="47" t="s">
        <v>304</v>
      </c>
      <c r="G23" s="47" t="s">
        <v>449</v>
      </c>
      <c r="H23" s="48" t="n">
        <v>214</v>
      </c>
      <c r="I23" s="55" t="s">
        <v>83</v>
      </c>
      <c r="J23" s="49" t="n">
        <v>494340</v>
      </c>
      <c r="K23" s="49" t="n">
        <v>494340</v>
      </c>
      <c r="L23" s="54" t="s">
        <v>83</v>
      </c>
      <c r="M23" s="45" t="s">
        <v>331</v>
      </c>
      <c r="N23" s="50" t="n">
        <v>3</v>
      </c>
      <c r="O23" s="50" t="n">
        <v>5</v>
      </c>
      <c r="P23" s="50" t="n">
        <v>3.5</v>
      </c>
      <c r="Q23" s="50" t="n">
        <v>1</v>
      </c>
      <c r="R23" s="50" t="n">
        <v>0</v>
      </c>
      <c r="S23" s="51" t="n">
        <f aca="false">ROUND((N23*$B$4+O23*$C$4+P23*$D$4+Q23*$E$4)*20-R23*4,1)</f>
        <v>64</v>
      </c>
      <c r="T23" s="47" t="s">
        <v>579</v>
      </c>
      <c r="U23" s="52" t="s">
        <v>648</v>
      </c>
      <c r="V23" s="52" t="s">
        <v>581</v>
      </c>
      <c r="W23" s="52" t="s">
        <v>649</v>
      </c>
      <c r="X23" s="52" t="s">
        <v>650</v>
      </c>
      <c r="Y23" s="53" t="s">
        <v>292</v>
      </c>
      <c r="Z23" s="14" t="s">
        <v>504</v>
      </c>
    </row>
    <row r="24" customFormat="false" ht="39.75" hidden="false" customHeight="true" outlineLevel="0" collapsed="false">
      <c r="A24" s="45"/>
      <c r="B24" s="45" t="n">
        <v>18</v>
      </c>
      <c r="C24" s="45" t="s">
        <v>229</v>
      </c>
      <c r="D24" s="46" t="s">
        <v>230</v>
      </c>
      <c r="E24" s="47" t="s">
        <v>127</v>
      </c>
      <c r="F24" s="47" t="s">
        <v>598</v>
      </c>
      <c r="G24" s="47" t="s">
        <v>449</v>
      </c>
      <c r="H24" s="48" t="n">
        <v>213.56</v>
      </c>
      <c r="I24" s="48" t="n">
        <v>204.08</v>
      </c>
      <c r="J24" s="49" t="n">
        <v>218000</v>
      </c>
      <c r="K24" s="49" t="n">
        <v>236980</v>
      </c>
      <c r="L24" s="49" t="n">
        <v>1161</v>
      </c>
      <c r="M24" s="45" t="s">
        <v>411</v>
      </c>
      <c r="N24" s="50" t="n">
        <v>5</v>
      </c>
      <c r="O24" s="50" t="n">
        <v>2.5</v>
      </c>
      <c r="P24" s="50" t="n">
        <v>2</v>
      </c>
      <c r="Q24" s="50" t="n">
        <v>5</v>
      </c>
      <c r="R24" s="50" t="n">
        <v>3</v>
      </c>
      <c r="S24" s="51" t="n">
        <f aca="false">ROUND((N24*$B$4+O24*$C$4+P24*$D$4+Q24*$E$4)*20-R24*4,1)</f>
        <v>63.5</v>
      </c>
      <c r="T24" s="47" t="s">
        <v>651</v>
      </c>
      <c r="U24" s="52" t="s">
        <v>652</v>
      </c>
      <c r="V24" s="52" t="s">
        <v>623</v>
      </c>
      <c r="W24" s="52" t="s">
        <v>653</v>
      </c>
      <c r="X24" s="52" t="s">
        <v>654</v>
      </c>
      <c r="Y24" s="52" t="s">
        <v>655</v>
      </c>
      <c r="Z24" s="14" t="s">
        <v>237</v>
      </c>
    </row>
    <row r="25" customFormat="false" ht="39.75" hidden="false" customHeight="true" outlineLevel="0" collapsed="false">
      <c r="A25" s="45"/>
      <c r="B25" s="45" t="n">
        <v>19</v>
      </c>
      <c r="C25" s="45" t="s">
        <v>379</v>
      </c>
      <c r="D25" s="46" t="s">
        <v>380</v>
      </c>
      <c r="E25" s="47" t="s">
        <v>127</v>
      </c>
      <c r="F25" s="45" t="s">
        <v>621</v>
      </c>
      <c r="G25" s="47" t="s">
        <v>310</v>
      </c>
      <c r="H25" s="48" t="n">
        <v>205</v>
      </c>
      <c r="I25" s="55" t="s">
        <v>83</v>
      </c>
      <c r="J25" s="49" t="n">
        <v>300000</v>
      </c>
      <c r="K25" s="49" t="n">
        <v>300000</v>
      </c>
      <c r="L25" s="54" t="s">
        <v>83</v>
      </c>
      <c r="M25" s="47" t="s">
        <v>83</v>
      </c>
      <c r="N25" s="50" t="n">
        <v>4.5</v>
      </c>
      <c r="O25" s="50" t="n">
        <v>2</v>
      </c>
      <c r="P25" s="50" t="n">
        <v>1.5</v>
      </c>
      <c r="Q25" s="50" t="n">
        <v>4</v>
      </c>
      <c r="R25" s="50" t="n">
        <v>0.5</v>
      </c>
      <c r="S25" s="51" t="n">
        <f aca="false">ROUND((N25*$B$4+O25*$C$4+P25*$D$4+Q25*$E$4)*20-R25*4,1)</f>
        <v>61.5</v>
      </c>
      <c r="T25" s="47" t="s">
        <v>579</v>
      </c>
      <c r="U25" s="52" t="s">
        <v>656</v>
      </c>
      <c r="V25" s="52" t="s">
        <v>657</v>
      </c>
      <c r="W25" s="52" t="s">
        <v>658</v>
      </c>
      <c r="X25" s="52" t="s">
        <v>659</v>
      </c>
      <c r="Y25" s="52" t="s">
        <v>660</v>
      </c>
      <c r="Z25" s="13" t="s">
        <v>385</v>
      </c>
    </row>
    <row r="26" customFormat="false" ht="39.75" hidden="false" customHeight="true" outlineLevel="0" collapsed="false">
      <c r="A26" s="45"/>
      <c r="B26" s="45" t="n">
        <v>20</v>
      </c>
      <c r="C26" s="45" t="s">
        <v>429</v>
      </c>
      <c r="D26" s="46" t="s">
        <v>430</v>
      </c>
      <c r="E26" s="47" t="s">
        <v>159</v>
      </c>
      <c r="F26" s="45" t="s">
        <v>621</v>
      </c>
      <c r="G26" s="47" t="s">
        <v>310</v>
      </c>
      <c r="H26" s="48" t="n">
        <v>200.79</v>
      </c>
      <c r="I26" s="55" t="s">
        <v>83</v>
      </c>
      <c r="J26" s="49" t="n">
        <v>320000</v>
      </c>
      <c r="K26" s="49" t="n">
        <v>320000</v>
      </c>
      <c r="L26" s="54" t="s">
        <v>83</v>
      </c>
      <c r="M26" s="47" t="s">
        <v>83</v>
      </c>
      <c r="N26" s="50" t="n">
        <v>4.5</v>
      </c>
      <c r="O26" s="50" t="n">
        <v>2</v>
      </c>
      <c r="P26" s="50" t="n">
        <v>1.5</v>
      </c>
      <c r="Q26" s="50" t="n">
        <v>4</v>
      </c>
      <c r="R26" s="50" t="n">
        <v>0.5</v>
      </c>
      <c r="S26" s="51" t="n">
        <f aca="false">ROUND((N26*$B$4+O26*$C$4+P26*$D$4+Q26*$E$4)*20-R26*4,1)</f>
        <v>61.5</v>
      </c>
      <c r="T26" s="47" t="s">
        <v>579</v>
      </c>
      <c r="U26" s="52" t="s">
        <v>661</v>
      </c>
      <c r="V26" s="52" t="s">
        <v>657</v>
      </c>
      <c r="W26" s="52" t="s">
        <v>662</v>
      </c>
      <c r="X26" s="52" t="s">
        <v>663</v>
      </c>
      <c r="Y26" s="52" t="s">
        <v>92</v>
      </c>
      <c r="Z26" s="13" t="s">
        <v>285</v>
      </c>
    </row>
    <row r="27" customFormat="false" ht="39.75" hidden="false" customHeight="true" outlineLevel="0" collapsed="false">
      <c r="A27" s="45"/>
      <c r="B27" s="45" t="n">
        <v>21</v>
      </c>
      <c r="C27" s="45" t="s">
        <v>147</v>
      </c>
      <c r="D27" s="46" t="s">
        <v>148</v>
      </c>
      <c r="E27" s="47" t="s">
        <v>51</v>
      </c>
      <c r="F27" s="47" t="s">
        <v>598</v>
      </c>
      <c r="G27" s="47" t="s">
        <v>310</v>
      </c>
      <c r="H27" s="48" t="n">
        <v>211.38</v>
      </c>
      <c r="I27" s="55" t="s">
        <v>83</v>
      </c>
      <c r="J27" s="49" t="n">
        <v>388500</v>
      </c>
      <c r="K27" s="49" t="n">
        <v>405500</v>
      </c>
      <c r="L27" s="54" t="s">
        <v>83</v>
      </c>
      <c r="M27" s="45" t="s">
        <v>334</v>
      </c>
      <c r="N27" s="50" t="n">
        <v>4.5</v>
      </c>
      <c r="O27" s="50" t="n">
        <v>3.5</v>
      </c>
      <c r="P27" s="50" t="n">
        <v>1</v>
      </c>
      <c r="Q27" s="50" t="n">
        <v>3</v>
      </c>
      <c r="R27" s="50" t="n">
        <v>1</v>
      </c>
      <c r="S27" s="51" t="n">
        <f aca="false">ROUND((N27*$B$4+O27*$C$4+P27*$D$4+Q27*$E$4)*20-R27*4,1)</f>
        <v>61</v>
      </c>
      <c r="T27" s="47" t="s">
        <v>579</v>
      </c>
      <c r="U27" s="52" t="s">
        <v>664</v>
      </c>
      <c r="V27" s="52" t="s">
        <v>595</v>
      </c>
      <c r="W27" s="52" t="s">
        <v>665</v>
      </c>
      <c r="X27" s="52" t="s">
        <v>666</v>
      </c>
      <c r="Y27" s="52" t="s">
        <v>667</v>
      </c>
      <c r="Z27" s="14" t="s">
        <v>156</v>
      </c>
    </row>
    <row r="28" customFormat="false" ht="39.75" hidden="false" customHeight="true" outlineLevel="0" collapsed="false">
      <c r="A28" s="45"/>
      <c r="B28" s="45" t="n">
        <v>22</v>
      </c>
      <c r="C28" s="45" t="s">
        <v>38</v>
      </c>
      <c r="D28" s="46" t="s">
        <v>39</v>
      </c>
      <c r="E28" s="47" t="s">
        <v>27</v>
      </c>
      <c r="F28" s="47" t="s">
        <v>578</v>
      </c>
      <c r="G28" s="47" t="s">
        <v>449</v>
      </c>
      <c r="H28" s="48" t="n">
        <v>232.22</v>
      </c>
      <c r="I28" s="48" t="n">
        <v>183.22</v>
      </c>
      <c r="J28" s="49" t="n">
        <v>451087</v>
      </c>
      <c r="K28" s="49" t="n">
        <v>494098</v>
      </c>
      <c r="L28" s="49" t="n">
        <v>2697</v>
      </c>
      <c r="M28" s="45" t="s">
        <v>272</v>
      </c>
      <c r="N28" s="50" t="n">
        <v>3</v>
      </c>
      <c r="O28" s="50" t="n">
        <v>4.2</v>
      </c>
      <c r="P28" s="50" t="n">
        <v>3</v>
      </c>
      <c r="Q28" s="50" t="n">
        <v>2</v>
      </c>
      <c r="R28" s="50" t="n">
        <v>0.5</v>
      </c>
      <c r="S28" s="51" t="n">
        <f aca="false">ROUND((N28*$B$4+O28*$C$4+P28*$D$4+Q28*$E$4)*20-R28*4,1)</f>
        <v>60</v>
      </c>
      <c r="T28" s="47" t="s">
        <v>579</v>
      </c>
      <c r="U28" s="52" t="s">
        <v>668</v>
      </c>
      <c r="V28" s="52" t="s">
        <v>669</v>
      </c>
      <c r="W28" s="52" t="s">
        <v>670</v>
      </c>
      <c r="X28" s="52" t="s">
        <v>671</v>
      </c>
      <c r="Y28" s="52" t="s">
        <v>672</v>
      </c>
      <c r="Z28" s="14" t="s">
        <v>48</v>
      </c>
    </row>
    <row r="29" customFormat="false" ht="39.75" hidden="false" customHeight="true" outlineLevel="0" collapsed="false">
      <c r="A29" s="56" t="n">
        <v>5</v>
      </c>
      <c r="B29" s="56" t="n">
        <v>23</v>
      </c>
      <c r="C29" s="56" t="s">
        <v>176</v>
      </c>
      <c r="D29" s="57" t="s">
        <v>177</v>
      </c>
      <c r="E29" s="58" t="s">
        <v>159</v>
      </c>
      <c r="F29" s="58" t="s">
        <v>598</v>
      </c>
      <c r="G29" s="58" t="s">
        <v>267</v>
      </c>
      <c r="H29" s="59" t="n">
        <v>253.16</v>
      </c>
      <c r="I29" s="59" t="n">
        <v>166.77</v>
      </c>
      <c r="J29" s="61" t="n">
        <v>350000</v>
      </c>
      <c r="K29" s="61" t="n">
        <v>386676</v>
      </c>
      <c r="L29" s="61" t="n">
        <v>2319</v>
      </c>
      <c r="M29" s="56" t="s">
        <v>290</v>
      </c>
      <c r="N29" s="63" t="n">
        <v>4</v>
      </c>
      <c r="O29" s="63" t="n">
        <v>2</v>
      </c>
      <c r="P29" s="63" t="n">
        <v>3</v>
      </c>
      <c r="Q29" s="63" t="n">
        <v>3</v>
      </c>
      <c r="R29" s="63" t="n">
        <v>0.5</v>
      </c>
      <c r="S29" s="64" t="n">
        <f aca="false">ROUND((N29*$B$4+O29*$C$4+P29*$D$4+Q29*$E$4)*20-R29*4,1)</f>
        <v>60</v>
      </c>
      <c r="T29" s="58" t="s">
        <v>579</v>
      </c>
      <c r="U29" s="65" t="s">
        <v>673</v>
      </c>
      <c r="V29" s="65" t="s">
        <v>657</v>
      </c>
      <c r="W29" s="65" t="s">
        <v>674</v>
      </c>
      <c r="X29" s="65" t="s">
        <v>675</v>
      </c>
      <c r="Y29" s="65" t="s">
        <v>676</v>
      </c>
      <c r="Z29" s="67" t="s">
        <v>185</v>
      </c>
    </row>
    <row r="30" customFormat="false" ht="39.75" hidden="false" customHeight="true" outlineLevel="0" collapsed="false">
      <c r="A30" s="56" t="n">
        <v>1</v>
      </c>
      <c r="B30" s="56" t="n">
        <v>24</v>
      </c>
      <c r="C30" s="56" t="s">
        <v>195</v>
      </c>
      <c r="D30" s="57" t="s">
        <v>196</v>
      </c>
      <c r="E30" s="58" t="s">
        <v>159</v>
      </c>
      <c r="F30" s="58" t="s">
        <v>598</v>
      </c>
      <c r="G30" s="58" t="s">
        <v>267</v>
      </c>
      <c r="H30" s="59" t="n">
        <v>285.67</v>
      </c>
      <c r="I30" s="60" t="s">
        <v>83</v>
      </c>
      <c r="J30" s="61" t="n">
        <v>428505</v>
      </c>
      <c r="K30" s="61" t="n">
        <v>428505</v>
      </c>
      <c r="L30" s="62" t="s">
        <v>83</v>
      </c>
      <c r="M30" s="56" t="s">
        <v>269</v>
      </c>
      <c r="N30" s="63" t="n">
        <v>2</v>
      </c>
      <c r="O30" s="63" t="n">
        <v>3.5</v>
      </c>
      <c r="P30" s="63" t="n">
        <v>3</v>
      </c>
      <c r="Q30" s="63" t="n">
        <v>4</v>
      </c>
      <c r="R30" s="63" t="n">
        <v>0</v>
      </c>
      <c r="S30" s="64" t="n">
        <f aca="false">ROUND((N30*$B$4+O30*$C$4+P30*$D$4+Q30*$E$4)*20-R30*4,1)</f>
        <v>59.5</v>
      </c>
      <c r="T30" s="58" t="s">
        <v>579</v>
      </c>
      <c r="U30" s="65" t="s">
        <v>677</v>
      </c>
      <c r="V30" s="65" t="s">
        <v>595</v>
      </c>
      <c r="W30" s="65" t="s">
        <v>678</v>
      </c>
      <c r="X30" s="65" t="s">
        <v>605</v>
      </c>
      <c r="Y30" s="66" t="s">
        <v>292</v>
      </c>
      <c r="Z30" s="67" t="s">
        <v>201</v>
      </c>
    </row>
    <row r="31" customFormat="false" ht="39.75" hidden="false" customHeight="true" outlineLevel="0" collapsed="false">
      <c r="A31" s="45"/>
      <c r="B31" s="45" t="n">
        <v>25</v>
      </c>
      <c r="C31" s="45" t="s">
        <v>322</v>
      </c>
      <c r="D31" s="46" t="s">
        <v>323</v>
      </c>
      <c r="E31" s="47" t="s">
        <v>27</v>
      </c>
      <c r="F31" s="47" t="s">
        <v>304</v>
      </c>
      <c r="G31" s="47" t="s">
        <v>310</v>
      </c>
      <c r="H31" s="48" t="n">
        <v>222</v>
      </c>
      <c r="I31" s="48" t="n">
        <v>173</v>
      </c>
      <c r="J31" s="49" t="n">
        <v>420000</v>
      </c>
      <c r="K31" s="49" t="n">
        <v>474300</v>
      </c>
      <c r="L31" s="49" t="n">
        <v>2742</v>
      </c>
      <c r="M31" s="45" t="s">
        <v>272</v>
      </c>
      <c r="N31" s="50" t="n">
        <v>3.5</v>
      </c>
      <c r="O31" s="50" t="n">
        <v>4.2</v>
      </c>
      <c r="P31" s="50" t="n">
        <v>3</v>
      </c>
      <c r="Q31" s="50" t="n">
        <v>1</v>
      </c>
      <c r="R31" s="50" t="n">
        <v>0.5</v>
      </c>
      <c r="S31" s="51" t="n">
        <f aca="false">ROUND((N31*$B$4+O31*$C$4+P31*$D$4+Q31*$E$4)*20-R31*4,1)</f>
        <v>59.5</v>
      </c>
      <c r="T31" s="47" t="s">
        <v>579</v>
      </c>
      <c r="U31" s="52" t="s">
        <v>679</v>
      </c>
      <c r="V31" s="52" t="s">
        <v>669</v>
      </c>
      <c r="W31" s="52" t="s">
        <v>680</v>
      </c>
      <c r="X31" s="52" t="s">
        <v>681</v>
      </c>
      <c r="Y31" s="52" t="s">
        <v>682</v>
      </c>
      <c r="Z31" s="14" t="s">
        <v>328</v>
      </c>
    </row>
    <row r="32" customFormat="false" ht="39.75" hidden="false" customHeight="true" outlineLevel="0" collapsed="false">
      <c r="A32" s="45"/>
      <c r="B32" s="45" t="n">
        <v>26</v>
      </c>
      <c r="C32" s="45" t="s">
        <v>58</v>
      </c>
      <c r="D32" s="46" t="s">
        <v>59</v>
      </c>
      <c r="E32" s="47" t="s">
        <v>51</v>
      </c>
      <c r="F32" s="47" t="s">
        <v>578</v>
      </c>
      <c r="G32" s="47" t="s">
        <v>449</v>
      </c>
      <c r="H32" s="48" t="n">
        <v>220.07</v>
      </c>
      <c r="I32" s="48" t="n">
        <v>207.21</v>
      </c>
      <c r="J32" s="49" t="n">
        <v>440140</v>
      </c>
      <c r="K32" s="49" t="n">
        <v>496555</v>
      </c>
      <c r="L32" s="49" t="n">
        <v>2396</v>
      </c>
      <c r="M32" s="45" t="s">
        <v>495</v>
      </c>
      <c r="N32" s="50" t="n">
        <v>3</v>
      </c>
      <c r="O32" s="50" t="n">
        <v>3.2</v>
      </c>
      <c r="P32" s="50" t="n">
        <v>3</v>
      </c>
      <c r="Q32" s="50" t="n">
        <v>3</v>
      </c>
      <c r="R32" s="50" t="n">
        <v>0.5</v>
      </c>
      <c r="S32" s="51" t="n">
        <f aca="false">ROUND((N32*$B$4+O32*$C$4+P32*$D$4+Q32*$E$4)*20-R32*4,1)</f>
        <v>59</v>
      </c>
      <c r="T32" s="47" t="s">
        <v>579</v>
      </c>
      <c r="U32" s="52" t="s">
        <v>683</v>
      </c>
      <c r="V32" s="52" t="s">
        <v>617</v>
      </c>
      <c r="W32" s="52" t="s">
        <v>684</v>
      </c>
      <c r="X32" s="52" t="s">
        <v>685</v>
      </c>
      <c r="Y32" s="52" t="s">
        <v>686</v>
      </c>
      <c r="Z32" s="13" t="s">
        <v>68</v>
      </c>
    </row>
    <row r="33" customFormat="false" ht="39.75" hidden="false" customHeight="true" outlineLevel="0" collapsed="false">
      <c r="A33" s="45"/>
      <c r="B33" s="45" t="n">
        <v>27</v>
      </c>
      <c r="C33" s="45" t="s">
        <v>356</v>
      </c>
      <c r="D33" s="46" t="s">
        <v>357</v>
      </c>
      <c r="E33" s="47" t="s">
        <v>159</v>
      </c>
      <c r="F33" s="47" t="s">
        <v>304</v>
      </c>
      <c r="G33" s="47" t="s">
        <v>310</v>
      </c>
      <c r="H33" s="48" t="n">
        <v>209</v>
      </c>
      <c r="I33" s="55" t="s">
        <v>83</v>
      </c>
      <c r="J33" s="49" t="n">
        <v>438900</v>
      </c>
      <c r="K33" s="49" t="n">
        <v>438900</v>
      </c>
      <c r="L33" s="54" t="s">
        <v>83</v>
      </c>
      <c r="M33" s="47" t="s">
        <v>83</v>
      </c>
      <c r="N33" s="50" t="n">
        <v>3.5</v>
      </c>
      <c r="O33" s="50" t="n">
        <v>3.5</v>
      </c>
      <c r="P33" s="50" t="n">
        <v>2</v>
      </c>
      <c r="Q33" s="50" t="n">
        <v>2</v>
      </c>
      <c r="R33" s="50" t="n">
        <v>0</v>
      </c>
      <c r="S33" s="51" t="n">
        <f aca="false">ROUND((N33*$B$4+O33*$C$4+P33*$D$4+Q33*$E$4)*20-R33*4,1)</f>
        <v>58</v>
      </c>
      <c r="T33" s="47" t="s">
        <v>579</v>
      </c>
      <c r="U33" s="52" t="s">
        <v>687</v>
      </c>
      <c r="V33" s="52" t="s">
        <v>595</v>
      </c>
      <c r="W33" s="52" t="s">
        <v>636</v>
      </c>
      <c r="X33" s="52" t="s">
        <v>688</v>
      </c>
      <c r="Y33" s="53" t="s">
        <v>292</v>
      </c>
      <c r="Z33" s="14" t="s">
        <v>361</v>
      </c>
    </row>
    <row r="34" customFormat="false" ht="39.75" hidden="false" customHeight="true" outlineLevel="0" collapsed="false">
      <c r="A34" s="45"/>
      <c r="B34" s="45" t="n">
        <v>28</v>
      </c>
      <c r="C34" s="45" t="s">
        <v>339</v>
      </c>
      <c r="D34" s="46" t="s">
        <v>340</v>
      </c>
      <c r="E34" s="47" t="s">
        <v>51</v>
      </c>
      <c r="F34" s="47" t="s">
        <v>304</v>
      </c>
      <c r="G34" s="47" t="s">
        <v>310</v>
      </c>
      <c r="H34" s="48" t="n">
        <v>211</v>
      </c>
      <c r="I34" s="55" t="s">
        <v>83</v>
      </c>
      <c r="J34" s="49" t="n">
        <v>436800</v>
      </c>
      <c r="K34" s="49" t="n">
        <v>436800</v>
      </c>
      <c r="L34" s="54" t="s">
        <v>83</v>
      </c>
      <c r="M34" s="47" t="s">
        <v>83</v>
      </c>
      <c r="N34" s="50" t="n">
        <v>3.5</v>
      </c>
      <c r="O34" s="50" t="n">
        <v>3.5</v>
      </c>
      <c r="P34" s="50" t="n">
        <v>2</v>
      </c>
      <c r="Q34" s="50" t="n">
        <v>2</v>
      </c>
      <c r="R34" s="50" t="n">
        <v>0</v>
      </c>
      <c r="S34" s="51" t="n">
        <f aca="false">ROUND((N34*$B$4+O34*$C$4+P34*$D$4+Q34*$E$4)*20-R34*4,1)</f>
        <v>58</v>
      </c>
      <c r="T34" s="47" t="s">
        <v>579</v>
      </c>
      <c r="U34" s="52" t="s">
        <v>689</v>
      </c>
      <c r="V34" s="52" t="s">
        <v>595</v>
      </c>
      <c r="W34" s="52" t="s">
        <v>636</v>
      </c>
      <c r="X34" s="52" t="s">
        <v>690</v>
      </c>
      <c r="Y34" s="53" t="s">
        <v>292</v>
      </c>
      <c r="Z34" s="14" t="s">
        <v>343</v>
      </c>
    </row>
    <row r="35" customFormat="false" ht="39.75" hidden="false" customHeight="true" outlineLevel="0" collapsed="false">
      <c r="A35" s="45"/>
      <c r="B35" s="45" t="n">
        <v>29</v>
      </c>
      <c r="C35" s="45" t="s">
        <v>345</v>
      </c>
      <c r="D35" s="46" t="s">
        <v>346</v>
      </c>
      <c r="E35" s="47" t="s">
        <v>27</v>
      </c>
      <c r="F35" s="47" t="s">
        <v>304</v>
      </c>
      <c r="G35" s="47" t="s">
        <v>310</v>
      </c>
      <c r="H35" s="48" t="n">
        <v>210</v>
      </c>
      <c r="I35" s="48" t="n">
        <v>153</v>
      </c>
      <c r="J35" s="49" t="n">
        <v>367500</v>
      </c>
      <c r="K35" s="49" t="n">
        <v>407400</v>
      </c>
      <c r="L35" s="49" t="n">
        <v>2663</v>
      </c>
      <c r="M35" s="45" t="s">
        <v>351</v>
      </c>
      <c r="N35" s="50" t="n">
        <v>4.5</v>
      </c>
      <c r="O35" s="50" t="n">
        <v>4</v>
      </c>
      <c r="P35" s="50" t="n">
        <v>0.5</v>
      </c>
      <c r="Q35" s="50" t="n">
        <v>2</v>
      </c>
      <c r="R35" s="50" t="n">
        <v>1</v>
      </c>
      <c r="S35" s="51" t="n">
        <f aca="false">ROUND((N35*$B$4+O35*$C$4+P35*$D$4+Q35*$E$4)*20-R35*4,1)</f>
        <v>57.5</v>
      </c>
      <c r="T35" s="47" t="s">
        <v>579</v>
      </c>
      <c r="U35" s="52" t="s">
        <v>691</v>
      </c>
      <c r="V35" s="52" t="s">
        <v>608</v>
      </c>
      <c r="W35" s="52" t="s">
        <v>692</v>
      </c>
      <c r="X35" s="52" t="s">
        <v>693</v>
      </c>
      <c r="Y35" s="52" t="s">
        <v>694</v>
      </c>
      <c r="Z35" s="14" t="s">
        <v>353</v>
      </c>
    </row>
    <row r="36" customFormat="false" ht="39.75" hidden="false" customHeight="true" outlineLevel="0" collapsed="false">
      <c r="A36" s="45"/>
      <c r="B36" s="45" t="n">
        <v>30</v>
      </c>
      <c r="C36" s="45" t="s">
        <v>397</v>
      </c>
      <c r="D36" s="68" t="s">
        <v>398</v>
      </c>
      <c r="E36" s="47" t="s">
        <v>27</v>
      </c>
      <c r="F36" s="45" t="s">
        <v>621</v>
      </c>
      <c r="G36" s="47" t="s">
        <v>310</v>
      </c>
      <c r="H36" s="48" t="n">
        <v>204</v>
      </c>
      <c r="I36" s="55" t="s">
        <v>83</v>
      </c>
      <c r="J36" s="49" t="n">
        <v>469000</v>
      </c>
      <c r="K36" s="49" t="n">
        <v>469000</v>
      </c>
      <c r="L36" s="54" t="s">
        <v>83</v>
      </c>
      <c r="M36" s="45" t="s">
        <v>363</v>
      </c>
      <c r="N36" s="50" t="n">
        <v>3</v>
      </c>
      <c r="O36" s="50" t="n">
        <v>4</v>
      </c>
      <c r="P36" s="50" t="n">
        <v>3</v>
      </c>
      <c r="Q36" s="50" t="n">
        <v>1</v>
      </c>
      <c r="R36" s="50" t="n">
        <v>0</v>
      </c>
      <c r="S36" s="51" t="n">
        <f aca="false">ROUND((N36*$B$4+O36*$C$4+P36*$D$4+Q36*$E$4)*20-R36*4,1)</f>
        <v>57</v>
      </c>
      <c r="T36" s="47" t="s">
        <v>579</v>
      </c>
      <c r="U36" s="52" t="s">
        <v>695</v>
      </c>
      <c r="V36" s="52" t="s">
        <v>608</v>
      </c>
      <c r="W36" s="52" t="s">
        <v>613</v>
      </c>
      <c r="X36" s="52" t="s">
        <v>696</v>
      </c>
      <c r="Y36" s="53" t="s">
        <v>292</v>
      </c>
      <c r="Z36" s="13" t="s">
        <v>406</v>
      </c>
    </row>
    <row r="37" customFormat="false" ht="39.75" hidden="false" customHeight="true" outlineLevel="0" collapsed="false">
      <c r="A37" s="45"/>
      <c r="B37" s="45" t="n">
        <v>31</v>
      </c>
      <c r="C37" s="45" t="s">
        <v>472</v>
      </c>
      <c r="D37" s="46" t="s">
        <v>473</v>
      </c>
      <c r="E37" s="47" t="s">
        <v>159</v>
      </c>
      <c r="F37" s="45" t="s">
        <v>621</v>
      </c>
      <c r="G37" s="47" t="s">
        <v>449</v>
      </c>
      <c r="H37" s="48" t="n">
        <v>253</v>
      </c>
      <c r="I37" s="55" t="s">
        <v>83</v>
      </c>
      <c r="J37" s="49" t="n">
        <v>350000</v>
      </c>
      <c r="K37" s="49" t="n">
        <v>350000</v>
      </c>
      <c r="L37" s="54" t="s">
        <v>83</v>
      </c>
      <c r="M37" s="47" t="s">
        <v>83</v>
      </c>
      <c r="N37" s="50" t="n">
        <v>3.5</v>
      </c>
      <c r="O37" s="50" t="n">
        <v>2</v>
      </c>
      <c r="P37" s="50" t="n">
        <v>2</v>
      </c>
      <c r="Q37" s="50" t="n">
        <v>4</v>
      </c>
      <c r="R37" s="50" t="n">
        <v>0.5</v>
      </c>
      <c r="S37" s="51" t="n">
        <f aca="false">ROUND((N37*$B$4+O37*$C$4+P37*$D$4+Q37*$E$4)*20-R37*4,1)</f>
        <v>56.5</v>
      </c>
      <c r="T37" s="47" t="s">
        <v>579</v>
      </c>
      <c r="U37" s="52" t="s">
        <v>697</v>
      </c>
      <c r="V37" s="52" t="s">
        <v>657</v>
      </c>
      <c r="W37" s="52" t="s">
        <v>636</v>
      </c>
      <c r="X37" s="52" t="s">
        <v>698</v>
      </c>
      <c r="Y37" s="52" t="s">
        <v>676</v>
      </c>
      <c r="Z37" s="13" t="s">
        <v>285</v>
      </c>
    </row>
    <row r="38" customFormat="false" ht="39.75" hidden="false" customHeight="true" outlineLevel="0" collapsed="false">
      <c r="A38" s="56" t="n">
        <v>6</v>
      </c>
      <c r="B38" s="56" t="n">
        <v>32</v>
      </c>
      <c r="C38" s="56" t="s">
        <v>293</v>
      </c>
      <c r="D38" s="57" t="s">
        <v>294</v>
      </c>
      <c r="E38" s="58" t="s">
        <v>159</v>
      </c>
      <c r="F38" s="56" t="s">
        <v>621</v>
      </c>
      <c r="G38" s="58" t="s">
        <v>267</v>
      </c>
      <c r="H38" s="59" t="n">
        <v>252</v>
      </c>
      <c r="I38" s="60" t="s">
        <v>83</v>
      </c>
      <c r="J38" s="61" t="n">
        <v>380000</v>
      </c>
      <c r="K38" s="61" t="n">
        <v>380000</v>
      </c>
      <c r="L38" s="62" t="s">
        <v>83</v>
      </c>
      <c r="M38" s="58" t="s">
        <v>83</v>
      </c>
      <c r="N38" s="63" t="n">
        <v>3.5</v>
      </c>
      <c r="O38" s="63" t="n">
        <v>2</v>
      </c>
      <c r="P38" s="63" t="n">
        <v>2</v>
      </c>
      <c r="Q38" s="63" t="n">
        <v>4</v>
      </c>
      <c r="R38" s="63" t="n">
        <v>0.5</v>
      </c>
      <c r="S38" s="64" t="n">
        <f aca="false">ROUND((N38*$B$4+O38*$C$4+P38*$D$4+Q38*$E$4)*20-R38*4,1)</f>
        <v>56.5</v>
      </c>
      <c r="T38" s="58" t="s">
        <v>579</v>
      </c>
      <c r="U38" s="65" t="s">
        <v>699</v>
      </c>
      <c r="V38" s="65" t="s">
        <v>657</v>
      </c>
      <c r="W38" s="65" t="s">
        <v>636</v>
      </c>
      <c r="X38" s="65" t="s">
        <v>700</v>
      </c>
      <c r="Y38" s="65" t="s">
        <v>676</v>
      </c>
      <c r="Z38" s="69" t="s">
        <v>297</v>
      </c>
    </row>
    <row r="39" customFormat="false" ht="39.75" hidden="false" customHeight="true" outlineLevel="0" collapsed="false">
      <c r="A39" s="45"/>
      <c r="B39" s="45" t="n">
        <v>33</v>
      </c>
      <c r="C39" s="45" t="s">
        <v>479</v>
      </c>
      <c r="D39" s="46" t="s">
        <v>480</v>
      </c>
      <c r="E39" s="47" t="s">
        <v>27</v>
      </c>
      <c r="F39" s="47" t="s">
        <v>304</v>
      </c>
      <c r="G39" s="47" t="s">
        <v>449</v>
      </c>
      <c r="H39" s="48" t="n">
        <v>230</v>
      </c>
      <c r="I39" s="48" t="n">
        <v>179</v>
      </c>
      <c r="J39" s="49" t="n">
        <v>478170</v>
      </c>
      <c r="K39" s="49" t="n">
        <v>526970</v>
      </c>
      <c r="L39" s="49" t="n">
        <v>2944</v>
      </c>
      <c r="M39" s="45" t="s">
        <v>272</v>
      </c>
      <c r="N39" s="50" t="n">
        <v>3</v>
      </c>
      <c r="O39" s="50" t="n">
        <v>4.2</v>
      </c>
      <c r="P39" s="50" t="n">
        <v>3</v>
      </c>
      <c r="Q39" s="50" t="n">
        <v>1</v>
      </c>
      <c r="R39" s="50" t="n">
        <v>0.5</v>
      </c>
      <c r="S39" s="51" t="n">
        <f aca="false">ROUND((N39*$B$4+O39*$C$4+P39*$D$4+Q39*$E$4)*20-R39*4,1)</f>
        <v>56</v>
      </c>
      <c r="T39" s="47" t="s">
        <v>579</v>
      </c>
      <c r="U39" s="52" t="s">
        <v>701</v>
      </c>
      <c r="V39" s="52" t="s">
        <v>669</v>
      </c>
      <c r="W39" s="52" t="s">
        <v>702</v>
      </c>
      <c r="X39" s="52" t="s">
        <v>703</v>
      </c>
      <c r="Y39" s="52" t="s">
        <v>704</v>
      </c>
      <c r="Z39" s="14" t="s">
        <v>485</v>
      </c>
    </row>
    <row r="40" customFormat="false" ht="39.75" hidden="false" customHeight="true" outlineLevel="0" collapsed="false">
      <c r="A40" s="45"/>
      <c r="B40" s="45" t="n">
        <v>34</v>
      </c>
      <c r="C40" s="45" t="s">
        <v>533</v>
      </c>
      <c r="D40" s="46" t="s">
        <v>534</v>
      </c>
      <c r="E40" s="47" t="s">
        <v>159</v>
      </c>
      <c r="F40" s="47" t="s">
        <v>304</v>
      </c>
      <c r="G40" s="47" t="s">
        <v>449</v>
      </c>
      <c r="H40" s="48" t="n">
        <v>204</v>
      </c>
      <c r="I40" s="55" t="s">
        <v>83</v>
      </c>
      <c r="J40" s="49" t="n">
        <v>490245</v>
      </c>
      <c r="K40" s="49" t="n">
        <v>512575</v>
      </c>
      <c r="L40" s="54" t="s">
        <v>83</v>
      </c>
      <c r="M40" s="45" t="s">
        <v>537</v>
      </c>
      <c r="N40" s="50" t="n">
        <v>3</v>
      </c>
      <c r="O40" s="50" t="n">
        <v>3.5</v>
      </c>
      <c r="P40" s="50" t="n">
        <v>3</v>
      </c>
      <c r="Q40" s="50" t="n">
        <v>1</v>
      </c>
      <c r="R40" s="50" t="n">
        <v>0</v>
      </c>
      <c r="S40" s="51" t="n">
        <f aca="false">ROUND((N40*$B$4+O40*$C$4+P40*$D$4+Q40*$E$4)*20-R40*4,1)</f>
        <v>54.5</v>
      </c>
      <c r="T40" s="47" t="s">
        <v>579</v>
      </c>
      <c r="U40" s="52" t="s">
        <v>705</v>
      </c>
      <c r="V40" s="52" t="s">
        <v>595</v>
      </c>
      <c r="W40" s="52" t="s">
        <v>706</v>
      </c>
      <c r="X40" s="52" t="s">
        <v>707</v>
      </c>
      <c r="Y40" s="53" t="s">
        <v>292</v>
      </c>
      <c r="Z40" s="14" t="s">
        <v>540</v>
      </c>
    </row>
    <row r="41" customFormat="false" ht="39.75" hidden="false" customHeight="true" outlineLevel="0" collapsed="false">
      <c r="A41" s="45"/>
      <c r="B41" s="45" t="n">
        <v>35</v>
      </c>
      <c r="C41" s="45" t="s">
        <v>311</v>
      </c>
      <c r="D41" s="46" t="s">
        <v>312</v>
      </c>
      <c r="E41" s="47" t="s">
        <v>159</v>
      </c>
      <c r="F41" s="47" t="s">
        <v>304</v>
      </c>
      <c r="G41" s="47" t="s">
        <v>310</v>
      </c>
      <c r="H41" s="48" t="n">
        <v>225</v>
      </c>
      <c r="I41" s="55" t="s">
        <v>83</v>
      </c>
      <c r="J41" s="49" t="n">
        <v>472500</v>
      </c>
      <c r="K41" s="49" t="n">
        <v>472500</v>
      </c>
      <c r="L41" s="54" t="s">
        <v>83</v>
      </c>
      <c r="M41" s="47" t="s">
        <v>83</v>
      </c>
      <c r="N41" s="50" t="n">
        <v>3</v>
      </c>
      <c r="O41" s="50" t="n">
        <v>3.5</v>
      </c>
      <c r="P41" s="50" t="n">
        <v>2</v>
      </c>
      <c r="Q41" s="50" t="n">
        <v>2</v>
      </c>
      <c r="R41" s="50" t="n">
        <v>0</v>
      </c>
      <c r="S41" s="51" t="n">
        <f aca="false">ROUND((N41*$B$4+O41*$C$4+P41*$D$4+Q41*$E$4)*20-R41*4,1)</f>
        <v>54.5</v>
      </c>
      <c r="T41" s="47" t="s">
        <v>579</v>
      </c>
      <c r="U41" s="52" t="s">
        <v>708</v>
      </c>
      <c r="V41" s="52" t="s">
        <v>595</v>
      </c>
      <c r="W41" s="52" t="s">
        <v>636</v>
      </c>
      <c r="X41" s="52" t="s">
        <v>688</v>
      </c>
      <c r="Y41" s="53" t="s">
        <v>292</v>
      </c>
      <c r="Z41" s="14" t="s">
        <v>316</v>
      </c>
    </row>
    <row r="42" customFormat="false" ht="39.75" hidden="false" customHeight="true" outlineLevel="0" collapsed="false">
      <c r="A42" s="45"/>
      <c r="B42" s="45" t="n">
        <v>36</v>
      </c>
      <c r="C42" s="45" t="s">
        <v>542</v>
      </c>
      <c r="D42" s="68" t="s">
        <v>543</v>
      </c>
      <c r="E42" s="47" t="s">
        <v>159</v>
      </c>
      <c r="F42" s="45" t="s">
        <v>621</v>
      </c>
      <c r="G42" s="47" t="s">
        <v>449</v>
      </c>
      <c r="H42" s="48" t="n">
        <v>203</v>
      </c>
      <c r="I42" s="55" t="s">
        <v>83</v>
      </c>
      <c r="J42" s="49" t="n">
        <v>490245</v>
      </c>
      <c r="K42" s="49" t="n">
        <v>512575</v>
      </c>
      <c r="L42" s="54" t="s">
        <v>83</v>
      </c>
      <c r="M42" s="45" t="s">
        <v>537</v>
      </c>
      <c r="N42" s="50" t="n">
        <v>3</v>
      </c>
      <c r="O42" s="50" t="n">
        <v>3.5</v>
      </c>
      <c r="P42" s="50" t="n">
        <v>3</v>
      </c>
      <c r="Q42" s="50" t="n">
        <v>1</v>
      </c>
      <c r="R42" s="50" t="n">
        <v>0</v>
      </c>
      <c r="S42" s="51" t="n">
        <f aca="false">ROUND((N42*$B$4+O42*$C$4+P42*$D$4+Q42*$E$4)*20-R42*4,1)</f>
        <v>54.5</v>
      </c>
      <c r="T42" s="47" t="s">
        <v>579</v>
      </c>
      <c r="U42" s="52" t="s">
        <v>705</v>
      </c>
      <c r="V42" s="52" t="s">
        <v>595</v>
      </c>
      <c r="W42" s="52" t="s">
        <v>706</v>
      </c>
      <c r="X42" s="52" t="s">
        <v>709</v>
      </c>
      <c r="Y42" s="53" t="s">
        <v>292</v>
      </c>
      <c r="Z42" s="13" t="s">
        <v>550</v>
      </c>
    </row>
    <row r="43" customFormat="false" ht="39.75" hidden="false" customHeight="true" outlineLevel="0" collapsed="false">
      <c r="A43" s="45"/>
      <c r="B43" s="45" t="n">
        <v>37</v>
      </c>
      <c r="C43" s="45" t="s">
        <v>49</v>
      </c>
      <c r="D43" s="46" t="s">
        <v>50</v>
      </c>
      <c r="E43" s="47" t="s">
        <v>51</v>
      </c>
      <c r="F43" s="47" t="s">
        <v>578</v>
      </c>
      <c r="G43" s="47" t="s">
        <v>449</v>
      </c>
      <c r="H43" s="48" t="n">
        <v>282.06</v>
      </c>
      <c r="I43" s="48" t="n">
        <v>255.38</v>
      </c>
      <c r="J43" s="49" t="n">
        <v>472500</v>
      </c>
      <c r="K43" s="49" t="n">
        <v>506347</v>
      </c>
      <c r="L43" s="49" t="n">
        <v>1983</v>
      </c>
      <c r="M43" s="45" t="s">
        <v>450</v>
      </c>
      <c r="N43" s="50" t="n">
        <v>1.5</v>
      </c>
      <c r="O43" s="50" t="n">
        <v>3.2</v>
      </c>
      <c r="P43" s="50" t="n">
        <v>2</v>
      </c>
      <c r="Q43" s="50" t="n">
        <v>5</v>
      </c>
      <c r="R43" s="50" t="n">
        <v>0.5</v>
      </c>
      <c r="S43" s="51" t="n">
        <f aca="false">ROUND((N43*$B$4+O43*$C$4+P43*$D$4+Q43*$E$4)*20-R43*4,1)</f>
        <v>52.5</v>
      </c>
      <c r="T43" s="47" t="s">
        <v>579</v>
      </c>
      <c r="U43" s="52" t="s">
        <v>710</v>
      </c>
      <c r="V43" s="52" t="s">
        <v>617</v>
      </c>
      <c r="W43" s="52" t="s">
        <v>711</v>
      </c>
      <c r="X43" s="52" t="s">
        <v>712</v>
      </c>
      <c r="Y43" s="52" t="s">
        <v>713</v>
      </c>
      <c r="Z43" s="14" t="s">
        <v>57</v>
      </c>
    </row>
    <row r="44" customFormat="false" ht="39.75" hidden="false" customHeight="true" outlineLevel="0" collapsed="false">
      <c r="A44" s="45"/>
      <c r="B44" s="45" t="n">
        <v>38</v>
      </c>
      <c r="C44" s="45" t="s">
        <v>518</v>
      </c>
      <c r="D44" s="46" t="s">
        <v>519</v>
      </c>
      <c r="E44" s="47" t="s">
        <v>159</v>
      </c>
      <c r="F44" s="47" t="s">
        <v>304</v>
      </c>
      <c r="G44" s="47" t="s">
        <v>449</v>
      </c>
      <c r="H44" s="48" t="n">
        <v>210</v>
      </c>
      <c r="I44" s="55" t="s">
        <v>83</v>
      </c>
      <c r="J44" s="49" t="n">
        <v>507150</v>
      </c>
      <c r="K44" s="49" t="n">
        <v>507150</v>
      </c>
      <c r="L44" s="54" t="s">
        <v>83</v>
      </c>
      <c r="M44" s="47" t="s">
        <v>83</v>
      </c>
      <c r="N44" s="50" t="n">
        <v>3</v>
      </c>
      <c r="O44" s="50" t="n">
        <v>3.5</v>
      </c>
      <c r="P44" s="50" t="n">
        <v>2.5</v>
      </c>
      <c r="Q44" s="50" t="n">
        <v>1</v>
      </c>
      <c r="R44" s="50" t="n">
        <v>0</v>
      </c>
      <c r="S44" s="51" t="n">
        <f aca="false">ROUND((N44*$B$4+O44*$C$4+P44*$D$4+Q44*$E$4)*20-R44*4,1)</f>
        <v>52.5</v>
      </c>
      <c r="T44" s="47" t="s">
        <v>579</v>
      </c>
      <c r="U44" s="52" t="s">
        <v>714</v>
      </c>
      <c r="V44" s="52" t="s">
        <v>595</v>
      </c>
      <c r="W44" s="52" t="s">
        <v>715</v>
      </c>
      <c r="X44" s="52" t="s">
        <v>709</v>
      </c>
      <c r="Y44" s="53" t="s">
        <v>292</v>
      </c>
      <c r="Z44" s="14" t="s">
        <v>343</v>
      </c>
    </row>
    <row r="45" customFormat="false" ht="39.75" hidden="false" customHeight="true" outlineLevel="0" collapsed="false">
      <c r="A45" s="45"/>
      <c r="B45" s="45" t="n">
        <v>39</v>
      </c>
      <c r="C45" s="45" t="s">
        <v>487</v>
      </c>
      <c r="D45" s="46" t="s">
        <v>488</v>
      </c>
      <c r="E45" s="47" t="s">
        <v>51</v>
      </c>
      <c r="F45" s="47" t="s">
        <v>304</v>
      </c>
      <c r="G45" s="47" t="s">
        <v>449</v>
      </c>
      <c r="H45" s="48" t="n">
        <v>226</v>
      </c>
      <c r="I45" s="55" t="s">
        <v>83</v>
      </c>
      <c r="J45" s="49" t="n">
        <v>522375</v>
      </c>
      <c r="K45" s="49" t="n">
        <v>522375</v>
      </c>
      <c r="L45" s="54" t="s">
        <v>83</v>
      </c>
      <c r="M45" s="47" t="s">
        <v>83</v>
      </c>
      <c r="N45" s="50" t="n">
        <v>3</v>
      </c>
      <c r="O45" s="50" t="n">
        <v>3.5</v>
      </c>
      <c r="P45" s="50" t="n">
        <v>2.5</v>
      </c>
      <c r="Q45" s="50" t="n">
        <v>1</v>
      </c>
      <c r="R45" s="50" t="n">
        <v>0</v>
      </c>
      <c r="S45" s="51" t="n">
        <f aca="false">ROUND((N45*$B$4+O45*$C$4+P45*$D$4+Q45*$E$4)*20-R45*4,1)</f>
        <v>52.5</v>
      </c>
      <c r="T45" s="47" t="s">
        <v>579</v>
      </c>
      <c r="U45" s="52" t="s">
        <v>716</v>
      </c>
      <c r="V45" s="52" t="s">
        <v>595</v>
      </c>
      <c r="W45" s="52" t="s">
        <v>717</v>
      </c>
      <c r="X45" s="52" t="s">
        <v>718</v>
      </c>
      <c r="Y45" s="53" t="s">
        <v>292</v>
      </c>
      <c r="Z45" s="14" t="s">
        <v>316</v>
      </c>
    </row>
    <row r="46" customFormat="false" ht="39.75" hidden="false" customHeight="true" outlineLevel="0" collapsed="false">
      <c r="A46" s="45"/>
      <c r="B46" s="45" t="n">
        <v>40</v>
      </c>
      <c r="C46" s="45" t="s">
        <v>69</v>
      </c>
      <c r="D46" s="46" t="s">
        <v>70</v>
      </c>
      <c r="E46" s="47" t="s">
        <v>27</v>
      </c>
      <c r="F46" s="47" t="s">
        <v>578</v>
      </c>
      <c r="G46" s="47" t="s">
        <v>449</v>
      </c>
      <c r="H46" s="48" t="n">
        <v>265.72</v>
      </c>
      <c r="I46" s="48" t="n">
        <v>203.79</v>
      </c>
      <c r="J46" s="49" t="n">
        <v>502211</v>
      </c>
      <c r="K46" s="49" t="n">
        <v>502211</v>
      </c>
      <c r="L46" s="54" t="s">
        <v>83</v>
      </c>
      <c r="M46" s="45" t="s">
        <v>450</v>
      </c>
      <c r="N46" s="50" t="n">
        <v>1.5</v>
      </c>
      <c r="O46" s="50" t="n">
        <v>5</v>
      </c>
      <c r="P46" s="50" t="n">
        <v>3</v>
      </c>
      <c r="Q46" s="50" t="n">
        <v>3</v>
      </c>
      <c r="R46" s="50" t="n">
        <v>2</v>
      </c>
      <c r="S46" s="51" t="n">
        <f aca="false">ROUND((N46*$B$4+O46*$C$4+P46*$D$4+Q46*$E$4)*20-R46*4,1)</f>
        <v>51.5</v>
      </c>
      <c r="T46" s="47" t="s">
        <v>579</v>
      </c>
      <c r="U46" s="52" t="s">
        <v>719</v>
      </c>
      <c r="V46" s="52" t="s">
        <v>581</v>
      </c>
      <c r="W46" s="52" t="s">
        <v>720</v>
      </c>
      <c r="X46" s="52" t="s">
        <v>721</v>
      </c>
      <c r="Y46" s="52" t="s">
        <v>722</v>
      </c>
      <c r="Z46" s="14" t="s">
        <v>78</v>
      </c>
    </row>
    <row r="47" customFormat="false" ht="39.75" hidden="false" customHeight="true" outlineLevel="0" collapsed="false">
      <c r="A47" s="45"/>
      <c r="B47" s="45" t="n">
        <v>41</v>
      </c>
      <c r="C47" s="45" t="s">
        <v>202</v>
      </c>
      <c r="D47" s="46" t="s">
        <v>203</v>
      </c>
      <c r="E47" s="47" t="s">
        <v>127</v>
      </c>
      <c r="F47" s="47" t="s">
        <v>598</v>
      </c>
      <c r="G47" s="47" t="s">
        <v>449</v>
      </c>
      <c r="H47" s="48" t="n">
        <v>265.82</v>
      </c>
      <c r="I47" s="55" t="s">
        <v>83</v>
      </c>
      <c r="J47" s="49" t="n">
        <v>544931</v>
      </c>
      <c r="K47" s="49" t="n">
        <v>544931</v>
      </c>
      <c r="L47" s="54" t="s">
        <v>83</v>
      </c>
      <c r="M47" s="47" t="s">
        <v>83</v>
      </c>
      <c r="N47" s="50" t="n">
        <v>1.5</v>
      </c>
      <c r="O47" s="50" t="n">
        <v>4</v>
      </c>
      <c r="P47" s="50" t="n">
        <v>3</v>
      </c>
      <c r="Q47" s="50" t="n">
        <v>2</v>
      </c>
      <c r="R47" s="50" t="n">
        <v>0</v>
      </c>
      <c r="S47" s="51" t="n">
        <f aca="false">ROUND((N47*$B$4+O47*$C$4+P47*$D$4+Q47*$E$4)*20-R47*4,1)</f>
        <v>50.5</v>
      </c>
      <c r="T47" s="47" t="s">
        <v>579</v>
      </c>
      <c r="U47" s="52" t="s">
        <v>723</v>
      </c>
      <c r="V47" s="52" t="s">
        <v>608</v>
      </c>
      <c r="W47" s="52" t="s">
        <v>724</v>
      </c>
      <c r="X47" s="52" t="s">
        <v>725</v>
      </c>
      <c r="Y47" s="53" t="s">
        <v>292</v>
      </c>
      <c r="Z47" s="14" t="s">
        <v>211</v>
      </c>
    </row>
    <row r="48" customFormat="false" ht="39.75" hidden="false" customHeight="true" outlineLevel="0" collapsed="false">
      <c r="A48" s="45"/>
      <c r="B48" s="45" t="n">
        <v>42</v>
      </c>
      <c r="C48" s="45" t="s">
        <v>523</v>
      </c>
      <c r="D48" s="46" t="s">
        <v>524</v>
      </c>
      <c r="E48" s="47" t="s">
        <v>51</v>
      </c>
      <c r="F48" s="47" t="s">
        <v>304</v>
      </c>
      <c r="G48" s="47" t="s">
        <v>449</v>
      </c>
      <c r="H48" s="48" t="n">
        <v>205</v>
      </c>
      <c r="I48" s="55" t="s">
        <v>83</v>
      </c>
      <c r="J48" s="49" t="n">
        <v>486465</v>
      </c>
      <c r="K48" s="49" t="n">
        <v>486465</v>
      </c>
      <c r="L48" s="54" t="s">
        <v>83</v>
      </c>
      <c r="M48" s="47" t="s">
        <v>83</v>
      </c>
      <c r="N48" s="50" t="n">
        <v>3</v>
      </c>
      <c r="O48" s="50" t="n">
        <v>3.5</v>
      </c>
      <c r="P48" s="50" t="n">
        <v>2</v>
      </c>
      <c r="Q48" s="50" t="n">
        <v>1</v>
      </c>
      <c r="R48" s="50" t="n">
        <v>0</v>
      </c>
      <c r="S48" s="51" t="n">
        <f aca="false">ROUND((N48*$B$4+O48*$C$4+P48*$D$4+Q48*$E$4)*20-R48*4,1)</f>
        <v>50.5</v>
      </c>
      <c r="T48" s="47" t="s">
        <v>579</v>
      </c>
      <c r="U48" s="52" t="s">
        <v>726</v>
      </c>
      <c r="V48" s="52" t="s">
        <v>595</v>
      </c>
      <c r="W48" s="52" t="s">
        <v>636</v>
      </c>
      <c r="X48" s="52" t="s">
        <v>727</v>
      </c>
      <c r="Y48" s="53" t="s">
        <v>292</v>
      </c>
      <c r="Z48" s="14" t="s">
        <v>361</v>
      </c>
    </row>
    <row r="49" customFormat="false" ht="39.75" hidden="false" customHeight="true" outlineLevel="0" collapsed="false">
      <c r="A49" s="45"/>
      <c r="B49" s="45" t="n">
        <v>43</v>
      </c>
      <c r="C49" s="45" t="s">
        <v>529</v>
      </c>
      <c r="D49" s="46" t="s">
        <v>530</v>
      </c>
      <c r="E49" s="47" t="s">
        <v>51</v>
      </c>
      <c r="F49" s="47" t="s">
        <v>304</v>
      </c>
      <c r="G49" s="47" t="s">
        <v>449</v>
      </c>
      <c r="H49" s="48" t="n">
        <v>205</v>
      </c>
      <c r="I49" s="55" t="s">
        <v>83</v>
      </c>
      <c r="J49" s="49" t="n">
        <v>486465</v>
      </c>
      <c r="K49" s="49" t="n">
        <v>486465</v>
      </c>
      <c r="L49" s="54" t="s">
        <v>83</v>
      </c>
      <c r="M49" s="47" t="s">
        <v>83</v>
      </c>
      <c r="N49" s="50" t="n">
        <v>3</v>
      </c>
      <c r="O49" s="50" t="n">
        <v>3.5</v>
      </c>
      <c r="P49" s="50" t="n">
        <v>2</v>
      </c>
      <c r="Q49" s="50" t="n">
        <v>1</v>
      </c>
      <c r="R49" s="50" t="n">
        <v>0</v>
      </c>
      <c r="S49" s="51" t="n">
        <f aca="false">ROUND((N49*$B$4+O49*$C$4+P49*$D$4+Q49*$E$4)*20-R49*4,1)</f>
        <v>50.5</v>
      </c>
      <c r="T49" s="47" t="s">
        <v>579</v>
      </c>
      <c r="U49" s="52" t="s">
        <v>726</v>
      </c>
      <c r="V49" s="52" t="s">
        <v>595</v>
      </c>
      <c r="W49" s="52" t="s">
        <v>636</v>
      </c>
      <c r="X49" s="52" t="s">
        <v>727</v>
      </c>
      <c r="Y49" s="53" t="s">
        <v>292</v>
      </c>
      <c r="Z49" s="14" t="s">
        <v>361</v>
      </c>
    </row>
    <row r="50" customFormat="false" ht="39.75" hidden="false" customHeight="true" outlineLevel="0" collapsed="false">
      <c r="A50" s="45"/>
      <c r="B50" s="45" t="n">
        <v>44</v>
      </c>
      <c r="C50" s="45" t="s">
        <v>455</v>
      </c>
      <c r="D50" s="46" t="s">
        <v>456</v>
      </c>
      <c r="E50" s="47" t="s">
        <v>27</v>
      </c>
      <c r="F50" s="47" t="s">
        <v>304</v>
      </c>
      <c r="G50" s="47" t="s">
        <v>449</v>
      </c>
      <c r="H50" s="48" t="n">
        <v>276</v>
      </c>
      <c r="I50" s="55" t="s">
        <v>83</v>
      </c>
      <c r="J50" s="49" t="n">
        <v>504000</v>
      </c>
      <c r="K50" s="49" t="n">
        <v>504000</v>
      </c>
      <c r="L50" s="54" t="s">
        <v>83</v>
      </c>
      <c r="M50" s="47" t="s">
        <v>83</v>
      </c>
      <c r="N50" s="50" t="n">
        <v>1.5</v>
      </c>
      <c r="O50" s="50" t="n">
        <v>4</v>
      </c>
      <c r="P50" s="50" t="n">
        <v>2</v>
      </c>
      <c r="Q50" s="50" t="n">
        <v>3</v>
      </c>
      <c r="R50" s="50" t="n">
        <v>0</v>
      </c>
      <c r="S50" s="51" t="n">
        <f aca="false">ROUND((N50*$B$4+O50*$C$4+P50*$D$4+Q50*$E$4)*20-R50*4,1)</f>
        <v>50.5</v>
      </c>
      <c r="T50" s="47" t="s">
        <v>579</v>
      </c>
      <c r="U50" s="52" t="s">
        <v>728</v>
      </c>
      <c r="V50" s="52" t="s">
        <v>608</v>
      </c>
      <c r="W50" s="52" t="s">
        <v>636</v>
      </c>
      <c r="X50" s="52" t="s">
        <v>729</v>
      </c>
      <c r="Y50" s="53" t="s">
        <v>292</v>
      </c>
      <c r="Z50" s="14" t="s">
        <v>460</v>
      </c>
    </row>
    <row r="51" customFormat="false" ht="39.75" hidden="false" customHeight="true" outlineLevel="0" collapsed="false">
      <c r="A51" s="56" t="n">
        <v>3</v>
      </c>
      <c r="B51" s="56" t="n">
        <v>45</v>
      </c>
      <c r="C51" s="56" t="s">
        <v>275</v>
      </c>
      <c r="D51" s="57" t="s">
        <v>276</v>
      </c>
      <c r="E51" s="58" t="s">
        <v>159</v>
      </c>
      <c r="F51" s="56" t="s">
        <v>621</v>
      </c>
      <c r="G51" s="58" t="s">
        <v>267</v>
      </c>
      <c r="H51" s="59" t="n">
        <v>276</v>
      </c>
      <c r="I51" s="60" t="s">
        <v>83</v>
      </c>
      <c r="J51" s="61" t="n">
        <v>413800</v>
      </c>
      <c r="K51" s="61" t="n">
        <v>413800</v>
      </c>
      <c r="L51" s="62" t="s">
        <v>83</v>
      </c>
      <c r="M51" s="58" t="s">
        <v>83</v>
      </c>
      <c r="N51" s="63" t="n">
        <v>2.5</v>
      </c>
      <c r="O51" s="63" t="n">
        <v>2</v>
      </c>
      <c r="P51" s="63" t="n">
        <v>2</v>
      </c>
      <c r="Q51" s="63" t="n">
        <v>4</v>
      </c>
      <c r="R51" s="63" t="n">
        <v>0.5</v>
      </c>
      <c r="S51" s="64" t="n">
        <f aca="false">ROUND((N51*$B$4+O51*$C$4+P51*$D$4+Q51*$E$4)*20-R51*4,1)</f>
        <v>49.5</v>
      </c>
      <c r="T51" s="58" t="s">
        <v>579</v>
      </c>
      <c r="U51" s="65" t="s">
        <v>730</v>
      </c>
      <c r="V51" s="65" t="s">
        <v>657</v>
      </c>
      <c r="W51" s="65" t="s">
        <v>636</v>
      </c>
      <c r="X51" s="65" t="s">
        <v>731</v>
      </c>
      <c r="Y51" s="65" t="s">
        <v>676</v>
      </c>
      <c r="Z51" s="69" t="s">
        <v>285</v>
      </c>
    </row>
    <row r="52" customFormat="false" ht="39.75" hidden="false" customHeight="true" outlineLevel="0" collapsed="false">
      <c r="A52" s="45"/>
      <c r="B52" s="45" t="n">
        <v>46</v>
      </c>
      <c r="C52" s="45" t="s">
        <v>212</v>
      </c>
      <c r="D52" s="46" t="s">
        <v>213</v>
      </c>
      <c r="E52" s="47" t="s">
        <v>127</v>
      </c>
      <c r="F52" s="47" t="s">
        <v>598</v>
      </c>
      <c r="G52" s="47" t="s">
        <v>449</v>
      </c>
      <c r="H52" s="48" t="n">
        <v>266.36</v>
      </c>
      <c r="I52" s="55" t="s">
        <v>83</v>
      </c>
      <c r="J52" s="49" t="n">
        <v>560000</v>
      </c>
      <c r="K52" s="49" t="n">
        <v>560000</v>
      </c>
      <c r="L52" s="54" t="s">
        <v>83</v>
      </c>
      <c r="M52" s="47" t="s">
        <v>83</v>
      </c>
      <c r="N52" s="50" t="n">
        <v>1.5</v>
      </c>
      <c r="O52" s="50" t="n">
        <v>4</v>
      </c>
      <c r="P52" s="50" t="n">
        <v>2.5</v>
      </c>
      <c r="Q52" s="50" t="n">
        <v>2</v>
      </c>
      <c r="R52" s="50" t="n">
        <v>0</v>
      </c>
      <c r="S52" s="51" t="n">
        <f aca="false">ROUND((N52*$B$4+O52*$C$4+P52*$D$4+Q52*$E$4)*20-R52*4,1)</f>
        <v>48.5</v>
      </c>
      <c r="T52" s="47" t="s">
        <v>579</v>
      </c>
      <c r="U52" s="52" t="s">
        <v>732</v>
      </c>
      <c r="V52" s="52" t="s">
        <v>608</v>
      </c>
      <c r="W52" s="52" t="s">
        <v>733</v>
      </c>
      <c r="X52" s="52" t="s">
        <v>734</v>
      </c>
      <c r="Y52" s="53" t="s">
        <v>292</v>
      </c>
      <c r="Z52" s="14" t="s">
        <v>220</v>
      </c>
    </row>
    <row r="53" customFormat="false" ht="39.75" hidden="false" customHeight="true" outlineLevel="0" collapsed="false">
      <c r="A53" s="45"/>
      <c r="B53" s="45" t="n">
        <v>47</v>
      </c>
      <c r="C53" s="45" t="s">
        <v>186</v>
      </c>
      <c r="D53" s="46" t="s">
        <v>187</v>
      </c>
      <c r="E53" s="47" t="s">
        <v>159</v>
      </c>
      <c r="F53" s="47" t="s">
        <v>598</v>
      </c>
      <c r="G53" s="47" t="s">
        <v>449</v>
      </c>
      <c r="H53" s="48" t="n">
        <v>213.3</v>
      </c>
      <c r="I53" s="48" t="n">
        <v>87.55</v>
      </c>
      <c r="J53" s="49" t="n">
        <v>467500</v>
      </c>
      <c r="K53" s="49" t="n">
        <v>501100</v>
      </c>
      <c r="L53" s="49" t="n">
        <v>5724</v>
      </c>
      <c r="M53" s="45" t="s">
        <v>507</v>
      </c>
      <c r="N53" s="50" t="n">
        <v>3</v>
      </c>
      <c r="O53" s="50" t="n">
        <v>2</v>
      </c>
      <c r="P53" s="50" t="n">
        <v>4.5</v>
      </c>
      <c r="Q53" s="50" t="n">
        <v>1</v>
      </c>
      <c r="R53" s="50" t="n">
        <v>1.5</v>
      </c>
      <c r="S53" s="51" t="n">
        <f aca="false">ROUND((N53*$B$4+O53*$C$4+P53*$D$4+Q53*$E$4)*20-R53*4,1)</f>
        <v>47</v>
      </c>
      <c r="T53" s="47" t="s">
        <v>579</v>
      </c>
      <c r="U53" s="52" t="s">
        <v>735</v>
      </c>
      <c r="V53" s="52" t="s">
        <v>657</v>
      </c>
      <c r="W53" s="52" t="s">
        <v>736</v>
      </c>
      <c r="X53" s="52" t="s">
        <v>737</v>
      </c>
      <c r="Y53" s="52" t="s">
        <v>738</v>
      </c>
      <c r="Z53" s="14" t="s">
        <v>194</v>
      </c>
    </row>
    <row r="54" customFormat="false" ht="39.75" hidden="false" customHeight="true" outlineLevel="0" collapsed="false">
      <c r="A54" s="45"/>
      <c r="B54" s="45" t="n">
        <v>48</v>
      </c>
      <c r="C54" s="45" t="s">
        <v>465</v>
      </c>
      <c r="D54" s="46" t="s">
        <v>466</v>
      </c>
      <c r="E54" s="47" t="s">
        <v>27</v>
      </c>
      <c r="F54" s="47" t="s">
        <v>304</v>
      </c>
      <c r="G54" s="47" t="s">
        <v>449</v>
      </c>
      <c r="H54" s="48" t="n">
        <v>257</v>
      </c>
      <c r="I54" s="55" t="s">
        <v>83</v>
      </c>
      <c r="J54" s="49" t="n">
        <v>588000</v>
      </c>
      <c r="K54" s="49" t="n">
        <v>588000</v>
      </c>
      <c r="L54" s="54" t="s">
        <v>83</v>
      </c>
      <c r="M54" s="47" t="s">
        <v>83</v>
      </c>
      <c r="N54" s="50" t="n">
        <v>2</v>
      </c>
      <c r="O54" s="50" t="n">
        <v>3.5</v>
      </c>
      <c r="P54" s="50" t="n">
        <v>2.5</v>
      </c>
      <c r="Q54" s="50" t="n">
        <v>1</v>
      </c>
      <c r="R54" s="50" t="n">
        <v>0</v>
      </c>
      <c r="S54" s="51" t="n">
        <f aca="false">ROUND((N54*$B$4+O54*$C$4+P54*$D$4+Q54*$E$4)*20-R54*4,1)</f>
        <v>45.5</v>
      </c>
      <c r="T54" s="47" t="s">
        <v>579</v>
      </c>
      <c r="U54" s="52" t="s">
        <v>739</v>
      </c>
      <c r="V54" s="52" t="s">
        <v>595</v>
      </c>
      <c r="W54" s="52" t="s">
        <v>740</v>
      </c>
      <c r="X54" s="52" t="s">
        <v>741</v>
      </c>
      <c r="Y54" s="53" t="s">
        <v>292</v>
      </c>
      <c r="Z54" s="14" t="s">
        <v>470</v>
      </c>
    </row>
    <row r="55" customFormat="false" ht="39.75" hidden="false" customHeight="true" outlineLevel="0" collapsed="false">
      <c r="A55" s="45"/>
      <c r="B55" s="45" t="n">
        <v>49</v>
      </c>
      <c r="C55" s="45" t="s">
        <v>221</v>
      </c>
      <c r="D55" s="46" t="s">
        <v>222</v>
      </c>
      <c r="E55" s="47" t="s">
        <v>27</v>
      </c>
      <c r="F55" s="47" t="s">
        <v>598</v>
      </c>
      <c r="G55" s="47" t="s">
        <v>449</v>
      </c>
      <c r="H55" s="48" t="n">
        <v>277.81</v>
      </c>
      <c r="I55" s="48" t="n">
        <v>256.87</v>
      </c>
      <c r="J55" s="49" t="n">
        <v>300000</v>
      </c>
      <c r="K55" s="49" t="n">
        <v>300000</v>
      </c>
      <c r="L55" s="54" t="s">
        <v>83</v>
      </c>
      <c r="M55" s="45" t="s">
        <v>453</v>
      </c>
      <c r="N55" s="50" t="n">
        <v>3</v>
      </c>
      <c r="O55" s="50" t="n">
        <v>4</v>
      </c>
      <c r="P55" s="50" t="n">
        <v>0</v>
      </c>
      <c r="Q55" s="50" t="n">
        <v>4</v>
      </c>
      <c r="R55" s="50" t="n">
        <v>3</v>
      </c>
      <c r="S55" s="51" t="n">
        <f aca="false">ROUND((N55*$B$4+O55*$C$4+P55*$D$4+Q55*$E$4)*20-R55*4,1)</f>
        <v>45</v>
      </c>
      <c r="T55" s="47" t="s">
        <v>651</v>
      </c>
      <c r="U55" s="52" t="s">
        <v>742</v>
      </c>
      <c r="V55" s="52" t="s">
        <v>608</v>
      </c>
      <c r="W55" s="52" t="s">
        <v>743</v>
      </c>
      <c r="X55" s="52" t="s">
        <v>744</v>
      </c>
      <c r="Y55" s="52" t="s">
        <v>655</v>
      </c>
      <c r="Z55" s="14" t="s">
        <v>228</v>
      </c>
    </row>
    <row r="56" customFormat="false" ht="39.75" hidden="false" customHeight="true" outlineLevel="0" collapsed="false">
      <c r="A56" s="45"/>
      <c r="B56" s="45" t="n">
        <v>50</v>
      </c>
      <c r="C56" s="45" t="s">
        <v>414</v>
      </c>
      <c r="D56" s="46" t="s">
        <v>415</v>
      </c>
      <c r="E56" s="47" t="s">
        <v>159</v>
      </c>
      <c r="F56" s="45" t="s">
        <v>621</v>
      </c>
      <c r="G56" s="47" t="s">
        <v>310</v>
      </c>
      <c r="H56" s="48" t="n">
        <v>203</v>
      </c>
      <c r="I56" s="55" t="s">
        <v>83</v>
      </c>
      <c r="J56" s="49" t="n">
        <v>446800</v>
      </c>
      <c r="K56" s="49" t="n">
        <v>446800</v>
      </c>
      <c r="L56" s="54" t="s">
        <v>83</v>
      </c>
      <c r="M56" s="47" t="s">
        <v>83</v>
      </c>
      <c r="N56" s="50" t="n">
        <v>3.5</v>
      </c>
      <c r="O56" s="50" t="n">
        <v>2</v>
      </c>
      <c r="P56" s="50" t="n">
        <v>2</v>
      </c>
      <c r="Q56" s="50" t="n">
        <v>1</v>
      </c>
      <c r="R56" s="50" t="n">
        <v>0.5</v>
      </c>
      <c r="S56" s="51" t="n">
        <f aca="false">ROUND((N56*$B$4+O56*$C$4+P56*$D$4+Q56*$E$4)*20-R56*4,1)</f>
        <v>44.5</v>
      </c>
      <c r="T56" s="47" t="s">
        <v>579</v>
      </c>
      <c r="U56" s="52" t="s">
        <v>745</v>
      </c>
      <c r="V56" s="52" t="s">
        <v>657</v>
      </c>
      <c r="W56" s="52" t="s">
        <v>636</v>
      </c>
      <c r="X56" s="52" t="s">
        <v>746</v>
      </c>
      <c r="Y56" s="52" t="s">
        <v>676</v>
      </c>
      <c r="Z56" s="13" t="s">
        <v>419</v>
      </c>
    </row>
  </sheetData>
  <hyperlinks>
    <hyperlink ref="D7" r:id="rId1" display="安敦國際大樓 7F ↗"/>
    <hyperlink ref="Z7" r:id="rId2" display="591 本戶7F·14張照片"/>
    <hyperlink ref="D8" r:id="rId3" display="友聯大樓 5F ↗"/>
    <hyperlink ref="Z8" r:id="rId4" display="友聯5F 現況室內8張照片（591刊登圖·使用者提供）"/>
    <hyperlink ref="D9" r:id="rId5" display="永慶 安敦國際大樓 14F ↗"/>
    <hyperlink ref="Z9" r:id="rId6" display="永慶 本戶14F·15張照片"/>
    <hyperlink ref="D10" r:id="rId7" location="page=3" display="八德路vs龍江路 2F 220坪 ↗"/>
    <hyperlink ref="Z10" r:id="rId8" location="page=3" display="傑森愛華原始PDF 第3頁（此列無照片）"/>
    <hyperlink ref="D11" r:id="rId9" display="信義 光復北路新大樓 5F ↗"/>
    <hyperlink ref="Z11" r:id="rId10" display="信義國際站 本戶·14張照片（備用：www.sinyi.com.tw/rent/houseno/C355686）"/>
    <hyperlink ref="D12" r:id="rId11" display="信義 八德正核心大辦公室 7F ↗"/>
    <hyperlink ref="Z12" r:id="rId12" display="信義 本戶·9張照片（CZ05587）"/>
    <hyperlink ref="D13" r:id="rId13" location="page=1" display="信義路5段(環球) 18F 201坪 ↗"/>
    <hyperlink ref="Z13" r:id="rId14" location="page=1" display="傑森愛華原始PDF 第1頁（含照片）"/>
    <hyperlink ref="D14" r:id="rId15" display="永慶／信義 家美金融大樓 15F ↗"/>
    <hyperlink ref="Z14" r:id="rId16" display="永慶 本戶15F·14張照片"/>
    <hyperlink ref="D15" r:id="rId17" display="八德路近復興北路 (中影八德大樓 八德路二段260號2樓全層) 2F 200坪 ↗"/>
    <hyperlink ref="Z15" r:id="rId18" display="傑森愛華單筆報表PDF（中影八德2F·11頁，含照片/使照）"/>
    <hyperlink ref="D16" r:id="rId19" display="【松山區辦公室出租】漂亮裝潢隔間、高樓層 ↗"/>
    <hyperlink ref="Z16" r:id="rId20" display="HouseWeb·38張"/>
    <hyperlink ref="D17" r:id="rId21" display="白宮企業大樓 5F ↗"/>
    <hyperlink ref="Z17" r:id="rId22" display="好房網大樓頁·10張照片（本戶207坪整層無公開頁）"/>
    <hyperlink ref="D18" r:id="rId23" location="page=1" display="南京東路5段近三民站 5F 204坪 ↗"/>
    <hyperlink ref="Z18" r:id="rId24" location="page=1" display="傑森愛華原始PDF 第1頁（含照片）"/>
    <hyperlink ref="D19" r:id="rId25" display="松山區辦公室出租 ↗"/>
    <hyperlink ref="Z19" r:id="rId26" display="HouseWeb·40張"/>
    <hyperlink ref="D20" r:id="rId27" display="591 光復南路 7F ↗"/>
    <hyperlink ref="Z20" r:id="rId28" display="HouseWeb 本戶·40張照片"/>
    <hyperlink ref="D21" r:id="rId29" display="信義 敦北長城大樓 3F ↗"/>
    <hyperlink ref="Z21" r:id="rId30" display="信義 本戶·21張照片（CZ05326）"/>
    <hyperlink ref="D22" r:id="rId31" display="信義 中山區大辦公室＋大倉儲 10F ↗"/>
    <hyperlink ref="Z22" r:id="rId32" display="信義 本戶·16張照片（C905199）"/>
    <hyperlink ref="D23" r:id="rId33" location="page=3" display="安和路一段 (即安敦國際大樓17F) 17F 214坪 ↗"/>
    <hyperlink ref="Z23" r:id="rId34" location="page=3" display="傑森愛華原始PDF 第3頁（含照片）；同戶另見信義CZ05290"/>
    <hyperlink ref="D24" r:id="rId35" display="信義 永春地下大空間店商辦 B1 ↗"/>
    <hyperlink ref="Z24" r:id="rId36" display="信義 本戶·18張照片（C360351）"/>
    <hyperlink ref="D25" r:id="rId37" display="【信義區辦公室出租】全空好規劃、採光佳、高樓層 ↗"/>
    <hyperlink ref="Z25" r:id="rId38" display="HouseWeb·20張"/>
    <hyperlink ref="D26" r:id="rId39" display="中山區辦公室出租 ↗"/>
    <hyperlink ref="Z26" r:id="rId40" display="HouseWeb·27張"/>
    <hyperlink ref="D27" r:id="rId41" display="信義 光復南路大坪數辦公 6F ↗"/>
    <hyperlink ref="Z27" r:id="rId42" display="信義 本戶·19張照片（C328671）"/>
    <hyperlink ref="D28" r:id="rId43" display="中鼎大樓 15F之1 ↗"/>
    <hyperlink ref="Z28" r:id="rId44" display="信義 本戶15F·15張照片（CZ05572）"/>
    <hyperlink ref="D29" r:id="rId45" display="信義 明水路營業用商辦 4F ↗"/>
    <hyperlink ref="Z29" r:id="rId46" display="信義 本戶·12張照片（CZ03701）"/>
    <hyperlink ref="D30" r:id="rId47" display="信義 雙捷核心八德經典商辦 5F ↗"/>
    <hyperlink ref="Z30" r:id="rId48" display="信義 本戶（CZ05585）"/>
    <hyperlink ref="D31" r:id="rId49" display="敦化南路2段 (中鼎大樓 77號2樓) 2F 222坪 ↗"/>
    <hyperlink ref="Z31" r:id="rId50" display="傑森愛華單筆報表PDF（中鼎2F·2頁，含照片）"/>
    <hyperlink ref="D32" r:id="rId51" display="敦化財經大樓 4F之1 ↗"/>
    <hyperlink ref="Z32" r:id="rId52" display="591 疑同戶4F 220坪·星辰地產"/>
    <hyperlink ref="D33" r:id="rId53" location="page=2" display="中山北路1段近市民大道 9F 209坪 ↗"/>
    <hyperlink ref="Z33" r:id="rId54" location="page=2" display="傑森愛華原始PDF 第2頁（含照片）"/>
    <hyperlink ref="D34" r:id="rId55" location="page=3" display="敦化北路VS民生東路 2F 211坪 ↗"/>
    <hyperlink ref="Z34" r:id="rId56" location="page=3" display="傑森愛華原始PDF 第3頁（含照片）"/>
    <hyperlink ref="D35" r:id="rId57" display="仁愛路4段近復興南路 (鴻霖大樓 25號10樓之2) 10F 210坪 ↗"/>
    <hyperlink ref="Z35" r:id="rId58" display="傑森愛華單筆報表PDF（鴻霖10F之2·3頁，含照片）"/>
    <hyperlink ref="D36" r:id="rId59" display="▲敦南商圈【氣派純辦】【裝潢新】 ↗"/>
    <hyperlink ref="Z36" r:id="rId60" display="HouseWeb·26張"/>
    <hyperlink ref="D37" r:id="rId61" display="【大直辦公室出租】空間大好規劃、優質美辦 ↗"/>
    <hyperlink ref="Z37" r:id="rId62" display="HouseWeb·27張"/>
    <hyperlink ref="D38" r:id="rId63" display="【大直辦公室出租】優質辦公室、採光佳 ↗"/>
    <hyperlink ref="Z38" r:id="rId64" display="HouseWeb·37張"/>
    <hyperlink ref="D39" r:id="rId65" display="敦化南路2段(中鼎大樓 77號22樓) 22F 230坪 ↗"/>
    <hyperlink ref="Z39" r:id="rId66" display="傑森愛華單筆報表PDF（中鼎22F·3頁，含照片）"/>
    <hyperlink ref="D40" r:id="rId67" location="page=1" display="中山北路近市民大道 17F 204坪 ↗"/>
    <hyperlink ref="Z40" r:id="rId68" location="page=1" display="傑森愛華原始PDF 第1頁（此列無照片）；同戶照片見W08 HouseWeb"/>
    <hyperlink ref="D41" r:id="rId69" location="page=4" display="民生東路VS建國北路 2*F 225坪 ↗"/>
    <hyperlink ref="Z41" r:id="rId70" location="page=4" display="傑森愛華原始PDF 第4頁（含照片）"/>
    <hyperlink ref="D42" r:id="rId71" display="☆捷運台北車站☆漂亮商辦、一層一戶、高樓層 ↗"/>
    <hyperlink ref="Z42" r:id="rId72" display="HouseWeb·35張"/>
    <hyperlink ref="D43" r:id="rId73" display="旭寶大樓 5F ↗"/>
    <hyperlink ref="Z43" r:id="rId74" display="好房網大樓頁·19張照片(本戶無公開頁)"/>
    <hyperlink ref="D44" r:id="rId75" location="page=3" display="南京東路近龍江路 8F 210坪 ↗"/>
    <hyperlink ref="Z44" r:id="rId76" location="page=3" display="傑森愛華原始PDF 第3頁（含照片）"/>
    <hyperlink ref="D45" r:id="rId77" location="page=4" display="民生東路近敦化北路 8F 226坪 ↗"/>
    <hyperlink ref="Z45" r:id="rId78" location="page=4" display="傑森愛華原始PDF 第4頁（含照片）"/>
    <hyperlink ref="D46" r:id="rId79" display="國泰世華銀行大樓 6F ↗"/>
    <hyperlink ref="Z46" r:id="rId80" display="信義社區頁·4張外觀照(本戶無公開頁)"/>
    <hyperlink ref="D47" r:id="rId81" display="信義 信義大樓 21F ↗"/>
    <hyperlink ref="Z47" r:id="rId82" display="信義 本戶（C904707）"/>
    <hyperlink ref="D48" r:id="rId83" location="page=2" display="民生東路3段vs復興北路 11F 205坪 ↗"/>
    <hyperlink ref="Z48" r:id="rId84" location="page=2" display="傑森愛華原始PDF 第2頁（含照片）"/>
    <hyperlink ref="D49" r:id="rId85" location="page=2" display="民生東路3段vs復興北路 3F 205坪 ↗"/>
    <hyperlink ref="Z49" r:id="rId86" location="page=2" display="傑森愛華原始PDF 第2頁（含照片）"/>
    <hyperlink ref="D50" r:id="rId87" location="page=6" display="忠孝東路4段VS延吉街 4F 276坪 ↗"/>
    <hyperlink ref="Z50" r:id="rId88" location="page=6" display="傑森愛華原始PDF 第6頁（含照片）"/>
    <hyperlink ref="D51" r:id="rId89" display="【大直辦公室出租】空間大好規劃、採光佳 ↗"/>
    <hyperlink ref="Z51" r:id="rId90" display="HouseWeb·27張"/>
    <hyperlink ref="D52" r:id="rId91" display="信義 環球世貿 10F ↗"/>
    <hyperlink ref="Z52" r:id="rId92" display="信義 本戶（C360646）"/>
    <hyperlink ref="D53" r:id="rId93" display="信義 國票大樓 15F C ↗"/>
    <hyperlink ref="Z53" r:id="rId94" display="信義 本戶·12張照片（C346398）"/>
    <hyperlink ref="D54" r:id="rId95" location="page=5" display="市民大道3段近復興南路 8F 257坪 ↗"/>
    <hyperlink ref="Z54" r:id="rId96" location="page=5" display="傑森愛華原始PDF 第5頁（此列無照片）"/>
    <hyperlink ref="D55" r:id="rId97" display="信義 復興南路稀有大空間地下室 B1 ↗"/>
    <hyperlink ref="Z55" r:id="rId98" display="信義 本戶·5張照片（C348029）"/>
    <hyperlink ref="D56" r:id="rId99" display="【大直辦公室出租】大直氣派門面、管理佳、現成裝潢 ↗"/>
    <hyperlink ref="Z56" r:id="rId100" display="HouseWeb·43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6" min="5" style="0" width="44"/>
    <col collapsed="false" customWidth="true" hidden="false" outlineLevel="0" max="7" min="7" style="0" width="30"/>
    <col collapsed="false" customWidth="true" hidden="false" outlineLevel="0" max="9" min="8" style="0" width="34"/>
  </cols>
  <sheetData>
    <row r="1" customFormat="false" ht="16.15" hidden="false" customHeight="false" outlineLevel="0" collapsed="false">
      <c r="A1" s="1" t="s">
        <v>747</v>
      </c>
    </row>
    <row r="2" customFormat="false" ht="31.5" hidden="false" customHeight="true" outlineLevel="0" collapsed="false">
      <c r="A2" s="70" t="s">
        <v>748</v>
      </c>
      <c r="B2" s="70"/>
      <c r="C2" s="70"/>
      <c r="D2" s="70"/>
      <c r="E2" s="70"/>
      <c r="F2" s="70"/>
      <c r="G2" s="70"/>
      <c r="H2" s="70"/>
    </row>
    <row r="4" customFormat="false" ht="15" hidden="false" customHeight="false" outlineLevel="0" collapsed="false">
      <c r="A4" s="71" t="s">
        <v>749</v>
      </c>
      <c r="B4" s="71" t="s">
        <v>2</v>
      </c>
      <c r="C4" s="71" t="s">
        <v>3</v>
      </c>
      <c r="D4" s="71" t="s">
        <v>264</v>
      </c>
      <c r="E4" s="71" t="s">
        <v>750</v>
      </c>
      <c r="F4" s="71" t="s">
        <v>751</v>
      </c>
      <c r="G4" s="71" t="s">
        <v>752</v>
      </c>
      <c r="H4" s="71" t="s">
        <v>753</v>
      </c>
      <c r="I4" s="71" t="s">
        <v>24</v>
      </c>
    </row>
    <row r="5" customFormat="false" ht="57.75" hidden="false" customHeight="true" outlineLevel="0" collapsed="false">
      <c r="A5" s="66" t="n">
        <v>1</v>
      </c>
      <c r="B5" s="66" t="s">
        <v>105</v>
      </c>
      <c r="C5" s="72" t="s">
        <v>106</v>
      </c>
      <c r="D5" s="66" t="s">
        <v>408</v>
      </c>
      <c r="E5" s="65" t="s">
        <v>754</v>
      </c>
      <c r="F5" s="65" t="s">
        <v>755</v>
      </c>
      <c r="G5" s="65" t="s">
        <v>756</v>
      </c>
      <c r="H5" s="65" t="s">
        <v>757</v>
      </c>
      <c r="I5" s="67" t="s">
        <v>114</v>
      </c>
    </row>
    <row r="6" customFormat="false" ht="57.75" hidden="false" customHeight="true" outlineLevel="0" collapsed="false">
      <c r="A6" s="53" t="n">
        <v>2</v>
      </c>
      <c r="B6" s="53" t="s">
        <v>758</v>
      </c>
      <c r="C6" s="73" t="s">
        <v>759</v>
      </c>
      <c r="D6" s="53" t="s">
        <v>272</v>
      </c>
      <c r="E6" s="52" t="s">
        <v>760</v>
      </c>
      <c r="F6" s="53" t="s">
        <v>761</v>
      </c>
      <c r="G6" s="52" t="s">
        <v>762</v>
      </c>
      <c r="H6" s="52" t="s">
        <v>763</v>
      </c>
      <c r="I6" s="14" t="s">
        <v>48</v>
      </c>
    </row>
    <row r="7" customFormat="false" ht="57.75" hidden="false" customHeight="true" outlineLevel="0" collapsed="false">
      <c r="A7" s="53" t="n">
        <v>3</v>
      </c>
      <c r="B7" s="53" t="s">
        <v>69</v>
      </c>
      <c r="C7" s="73" t="s">
        <v>70</v>
      </c>
      <c r="D7" s="53" t="s">
        <v>450</v>
      </c>
      <c r="E7" s="52" t="s">
        <v>764</v>
      </c>
      <c r="F7" s="52" t="s">
        <v>765</v>
      </c>
      <c r="G7" s="52" t="s">
        <v>766</v>
      </c>
      <c r="H7" s="52" t="s">
        <v>767</v>
      </c>
      <c r="I7" s="14" t="s">
        <v>78</v>
      </c>
    </row>
    <row r="8" customFormat="false" ht="57.75" hidden="false" customHeight="true" outlineLevel="0" collapsed="false">
      <c r="A8" s="53" t="n">
        <v>4</v>
      </c>
      <c r="B8" s="53" t="s">
        <v>25</v>
      </c>
      <c r="C8" s="73" t="s">
        <v>26</v>
      </c>
      <c r="D8" s="53" t="s">
        <v>331</v>
      </c>
      <c r="E8" s="52" t="s">
        <v>768</v>
      </c>
      <c r="F8" s="52" t="s">
        <v>769</v>
      </c>
      <c r="G8" s="52" t="s">
        <v>770</v>
      </c>
      <c r="H8" s="53" t="s">
        <v>771</v>
      </c>
      <c r="I8" s="13" t="s">
        <v>37</v>
      </c>
    </row>
    <row r="9" customFormat="false" ht="57.75" hidden="false" customHeight="true" outlineLevel="0" collapsed="false">
      <c r="A9" s="53" t="n">
        <v>5</v>
      </c>
      <c r="B9" s="53" t="s">
        <v>772</v>
      </c>
      <c r="C9" s="73" t="s">
        <v>773</v>
      </c>
      <c r="D9" s="52" t="s">
        <v>100</v>
      </c>
      <c r="E9" s="52" t="s">
        <v>774</v>
      </c>
      <c r="F9" s="52" t="s">
        <v>100</v>
      </c>
      <c r="G9" s="52" t="s">
        <v>775</v>
      </c>
      <c r="H9" s="53" t="s">
        <v>776</v>
      </c>
      <c r="I9" s="14" t="s">
        <v>394</v>
      </c>
    </row>
    <row r="10" customFormat="false" ht="57.75" hidden="false" customHeight="true" outlineLevel="0" collapsed="false">
      <c r="A10" s="53" t="n">
        <v>7</v>
      </c>
      <c r="B10" s="53" t="s">
        <v>369</v>
      </c>
      <c r="C10" s="74" t="s">
        <v>777</v>
      </c>
      <c r="D10" s="52" t="s">
        <v>100</v>
      </c>
      <c r="E10" s="53" t="s">
        <v>778</v>
      </c>
      <c r="F10" s="52" t="s">
        <v>779</v>
      </c>
      <c r="G10" s="53" t="s">
        <v>780</v>
      </c>
      <c r="H10" s="52" t="s">
        <v>781</v>
      </c>
      <c r="I10" s="13" t="s">
        <v>376</v>
      </c>
    </row>
    <row r="11" customFormat="false" ht="57.75" hidden="false" customHeight="true" outlineLevel="0" collapsed="false">
      <c r="A11" s="53" t="n">
        <v>8</v>
      </c>
      <c r="B11" s="53" t="s">
        <v>379</v>
      </c>
      <c r="C11" s="74" t="s">
        <v>782</v>
      </c>
      <c r="D11" s="52" t="s">
        <v>100</v>
      </c>
      <c r="E11" s="53" t="s">
        <v>783</v>
      </c>
      <c r="F11" s="52" t="s">
        <v>784</v>
      </c>
      <c r="G11" s="53" t="s">
        <v>785</v>
      </c>
      <c r="H11" s="53" t="s">
        <v>786</v>
      </c>
      <c r="I11" s="13" t="s">
        <v>385</v>
      </c>
    </row>
    <row r="12" customFormat="false" ht="57.75" hidden="false" customHeight="true" outlineLevel="0" collapsed="false">
      <c r="A12" s="53" t="n">
        <v>9</v>
      </c>
      <c r="B12" s="53" t="s">
        <v>787</v>
      </c>
      <c r="C12" s="73" t="s">
        <v>788</v>
      </c>
      <c r="D12" s="53" t="s">
        <v>789</v>
      </c>
      <c r="E12" s="52" t="s">
        <v>790</v>
      </c>
      <c r="F12" s="52" t="s">
        <v>791</v>
      </c>
      <c r="G12" s="52" t="s">
        <v>792</v>
      </c>
      <c r="H12" s="53" t="s">
        <v>292</v>
      </c>
      <c r="I12" s="13" t="s">
        <v>68</v>
      </c>
    </row>
    <row r="13" customFormat="false" ht="57.75" hidden="false" customHeight="true" outlineLevel="0" collapsed="false">
      <c r="A13" s="53" t="n">
        <v>10</v>
      </c>
      <c r="B13" s="53" t="s">
        <v>345</v>
      </c>
      <c r="C13" s="73" t="s">
        <v>793</v>
      </c>
      <c r="D13" s="53" t="s">
        <v>351</v>
      </c>
      <c r="E13" s="52" t="s">
        <v>794</v>
      </c>
      <c r="F13" s="52" t="s">
        <v>795</v>
      </c>
      <c r="G13" s="52" t="s">
        <v>796</v>
      </c>
      <c r="H13" s="53" t="s">
        <v>292</v>
      </c>
      <c r="I13" s="14" t="s">
        <v>353</v>
      </c>
    </row>
    <row r="14" customFormat="false" ht="57.75" hidden="false" customHeight="true" outlineLevel="0" collapsed="false">
      <c r="A14" s="53" t="n">
        <v>11</v>
      </c>
      <c r="B14" s="53" t="s">
        <v>797</v>
      </c>
      <c r="C14" s="74" t="s">
        <v>798</v>
      </c>
      <c r="D14" s="52" t="s">
        <v>100</v>
      </c>
      <c r="E14" s="52" t="s">
        <v>799</v>
      </c>
      <c r="F14" s="52" t="s">
        <v>800</v>
      </c>
      <c r="G14" s="53" t="s">
        <v>801</v>
      </c>
      <c r="H14" s="52" t="s">
        <v>802</v>
      </c>
      <c r="I14" s="13" t="s">
        <v>285</v>
      </c>
    </row>
    <row r="15" customFormat="false" ht="57.75" hidden="false" customHeight="true" outlineLevel="0" collapsed="false">
      <c r="A15" s="53" t="n">
        <v>12</v>
      </c>
      <c r="B15" s="53" t="s">
        <v>803</v>
      </c>
      <c r="C15" s="73" t="s">
        <v>804</v>
      </c>
      <c r="D15" s="53" t="s">
        <v>805</v>
      </c>
      <c r="E15" s="52" t="s">
        <v>806</v>
      </c>
      <c r="F15" s="53" t="s">
        <v>292</v>
      </c>
      <c r="G15" s="52" t="s">
        <v>807</v>
      </c>
      <c r="H15" s="53" t="s">
        <v>292</v>
      </c>
      <c r="I15" s="14" t="s">
        <v>95</v>
      </c>
    </row>
    <row r="19" customFormat="false" ht="15" hidden="false" customHeight="true" outlineLevel="0" collapsed="false">
      <c r="A19" s="70" t="s">
        <v>808</v>
      </c>
      <c r="B19" s="70"/>
      <c r="C19" s="70"/>
      <c r="D19" s="70"/>
      <c r="E19" s="70"/>
      <c r="F19" s="70"/>
      <c r="G19" s="70"/>
      <c r="H19" s="70"/>
    </row>
    <row r="20" customFormat="false" ht="15" hidden="false" customHeight="false" outlineLevel="0" collapsed="false">
      <c r="A20" s="70"/>
      <c r="B20" s="70"/>
      <c r="C20" s="70"/>
      <c r="D20" s="70"/>
      <c r="E20" s="70"/>
      <c r="F20" s="70"/>
      <c r="G20" s="70"/>
      <c r="H20" s="70"/>
    </row>
  </sheetData>
  <mergeCells count="2">
    <mergeCell ref="A2:H2"/>
    <mergeCell ref="A19:H20"/>
  </mergeCells>
  <hyperlinks>
    <hyperlink ref="C5" r:id="rId1" display="信義 光復北路新大樓 5F ↗"/>
    <hyperlink ref="I5" r:id="rId2" display="信義國際站 本戶·14張照片（備用：www.sinyi.com.tw/rent/houseno/C355686）"/>
    <hyperlink ref="C6" r:id="rId3" display="中鼎大樓 15F / 2F / 22F ↗"/>
    <hyperlink ref="I6" r:id="rId4" display="信義 本戶15F·15張照片（CZ05572）"/>
    <hyperlink ref="C7" r:id="rId5" display="國泰世華銀行大樓 6F ↗"/>
    <hyperlink ref="I7" r:id="rId6" display="信義社區頁·4張外觀照(本戶無公開頁)"/>
    <hyperlink ref="C8" r:id="rId7" display="安敦國際大樓 7F ↗"/>
    <hyperlink ref="I8" r:id="rId8" display="591 本戶7F·14張照片"/>
    <hyperlink ref="C9" r:id="rId9" location="page=1" display="傑森愛華自述A級案（環球18F／八德×龍江2F／民生東路8F／市民大道8F） ↗"/>
    <hyperlink ref="I9" r:id="rId10" location="page=1" display="傑森愛華原始PDF 第1頁（含照片）"/>
    <hyperlink ref="C10" r:id="rId11" display="HouseWeb 八德路四段 9F ↗"/>
    <hyperlink ref="I10" r:id="rId12" display="HouseWeb·38張"/>
    <hyperlink ref="C11" r:id="rId13" display="HouseWeb 信義區松山路 7F ↗"/>
    <hyperlink ref="I11" r:id="rId14" display="HouseWeb·20張"/>
    <hyperlink ref="C12" r:id="rId15" display="敦化財經 4F、旭寶 5F、友聯 5F ↗"/>
    <hyperlink ref="I12" r:id="rId16" display="591 疑同戶4F 220坪·星辰地產"/>
    <hyperlink ref="C13" r:id="rId17" display="鴻霖大樓 10F之2 ↗"/>
    <hyperlink ref="I13" r:id="rId18" display="傑森愛華單筆報表PDF（鴻霖10F之2·3頁，含照片）"/>
    <hyperlink ref="C14" r:id="rId19" display="HouseWeb 大直明水路·植福路·敬業一路 ↗"/>
    <hyperlink ref="I14" r:id="rId20" display="HouseWeb·27張"/>
    <hyperlink ref="C15" r:id="rId21" display="白宮 5F、HouseWeb 林森北路 6F ↗"/>
    <hyperlink ref="I15" r:id="rId22" display="好房網大樓頁·10張照片（本戶207坪整層無公開頁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7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22"/>
    <col collapsed="false" customWidth="true" hidden="false" outlineLevel="0" max="14" min="14" style="0" width="60"/>
    <col collapsed="false" customWidth="true" hidden="false" outlineLevel="0" max="15" min="15" style="0" width="34"/>
    <col collapsed="false" customWidth="true" hidden="false" outlineLevel="0" max="16" min="16" style="0" width="8"/>
  </cols>
  <sheetData>
    <row r="1" customFormat="false" ht="20.1" hidden="false" customHeight="false" outlineLevel="0" collapsed="false">
      <c r="A1" s="1" t="s">
        <v>809</v>
      </c>
    </row>
    <row r="2" customFormat="false" ht="15" hidden="false" customHeight="false" outlineLevel="0" collapsed="false">
      <c r="A2" s="2" t="s">
        <v>810</v>
      </c>
    </row>
    <row r="4" customFormat="false" ht="33.75" hidden="false" customHeight="true" outlineLevel="0" collapsed="false">
      <c r="A4" s="3" t="s">
        <v>811</v>
      </c>
      <c r="B4" s="3" t="s">
        <v>812</v>
      </c>
      <c r="C4" s="3" t="s">
        <v>6</v>
      </c>
      <c r="D4" s="3" t="s">
        <v>813</v>
      </c>
      <c r="E4" s="3" t="s">
        <v>814</v>
      </c>
      <c r="F4" s="3" t="s">
        <v>815</v>
      </c>
      <c r="G4" s="3" t="s">
        <v>816</v>
      </c>
      <c r="H4" s="3" t="s">
        <v>817</v>
      </c>
      <c r="I4" s="3" t="s">
        <v>818</v>
      </c>
      <c r="J4" s="3" t="s">
        <v>14</v>
      </c>
      <c r="K4" s="3" t="s">
        <v>819</v>
      </c>
      <c r="L4" s="3" t="s">
        <v>820</v>
      </c>
      <c r="M4" s="3" t="s">
        <v>821</v>
      </c>
      <c r="N4" s="3" t="s">
        <v>822</v>
      </c>
      <c r="O4" s="3" t="s">
        <v>24</v>
      </c>
      <c r="P4" s="3" t="s">
        <v>264</v>
      </c>
    </row>
    <row r="5" customFormat="false" ht="30" hidden="false" customHeight="true" outlineLevel="0" collapsed="false">
      <c r="A5" s="45" t="s">
        <v>421</v>
      </c>
      <c r="B5" s="46" t="s">
        <v>823</v>
      </c>
      <c r="C5" s="50" t="s">
        <v>824</v>
      </c>
      <c r="D5" s="75" t="n">
        <v>201</v>
      </c>
      <c r="E5" s="49" t="n">
        <v>382000</v>
      </c>
      <c r="F5" s="49" t="n">
        <v>1900</v>
      </c>
      <c r="G5" s="76" t="n">
        <f aca="false">E5*1.05</f>
        <v>401100</v>
      </c>
      <c r="H5" s="76" t="n">
        <f aca="false">G5/D5</f>
        <v>1995.5223880597</v>
      </c>
      <c r="I5" s="77" t="n">
        <f aca="false">G5-400000</f>
        <v>1100</v>
      </c>
      <c r="J5" s="50" t="n">
        <v>3</v>
      </c>
      <c r="K5" s="78" t="s">
        <v>127</v>
      </c>
      <c r="L5" s="79" t="n">
        <f aca="false">D5-220</f>
        <v>-19</v>
      </c>
      <c r="M5" s="45" t="str">
        <f aca="false">IF(OR(K5="大同",D5&lt;200),"不符（地段或坪數）",IF(AND(G5&lt;=420000,ABS(L5)&lt;=25),"★ 優先索取物調表",IF(G5&lt;=420000,"合於預算，坪數偏離","超出預算")))</f>
        <v>★ 優先索取物調表</v>
      </c>
      <c r="N5" s="80" t="s">
        <v>426</v>
      </c>
      <c r="O5" s="14" t="s">
        <v>394</v>
      </c>
      <c r="P5" s="41" t="s">
        <v>83</v>
      </c>
    </row>
    <row r="6" customFormat="false" ht="30" hidden="false" customHeight="true" outlineLevel="0" collapsed="false">
      <c r="A6" s="45" t="s">
        <v>388</v>
      </c>
      <c r="B6" s="46" t="s">
        <v>825</v>
      </c>
      <c r="C6" s="50" t="s">
        <v>826</v>
      </c>
      <c r="D6" s="75" t="n">
        <v>204</v>
      </c>
      <c r="E6" s="49" t="n">
        <v>385700</v>
      </c>
      <c r="F6" s="49" t="n">
        <v>1900</v>
      </c>
      <c r="G6" s="76" t="n">
        <f aca="false">E6*1.05</f>
        <v>404985</v>
      </c>
      <c r="H6" s="76" t="n">
        <f aca="false">G6/D6</f>
        <v>1985.22058823529</v>
      </c>
      <c r="I6" s="77" t="n">
        <f aca="false">G6-400000</f>
        <v>4985</v>
      </c>
      <c r="J6" s="50" t="n">
        <v>3</v>
      </c>
      <c r="K6" s="78" t="s">
        <v>51</v>
      </c>
      <c r="L6" s="79" t="n">
        <f aca="false">D6-220</f>
        <v>-16</v>
      </c>
      <c r="M6" s="45" t="str">
        <f aca="false">IF(OR(K6="大同",D6&lt;200),"不符（地段或坪數）",IF(AND(G6&lt;=420000,ABS(L6)&lt;=25),"★ 優先索取物調表",IF(G6&lt;=420000,"合於預算，坪數偏離","超出預算")))</f>
        <v>★ 優先索取物調表</v>
      </c>
      <c r="N6" s="81" t="s">
        <v>393</v>
      </c>
      <c r="O6" s="14" t="s">
        <v>394</v>
      </c>
      <c r="P6" s="41" t="s">
        <v>83</v>
      </c>
    </row>
    <row r="7" customFormat="false" ht="30" hidden="false" customHeight="true" outlineLevel="0" collapsed="false">
      <c r="A7" s="45" t="s">
        <v>533</v>
      </c>
      <c r="B7" s="46" t="s">
        <v>827</v>
      </c>
      <c r="C7" s="50" t="s">
        <v>828</v>
      </c>
      <c r="D7" s="75" t="n">
        <v>204</v>
      </c>
      <c r="E7" s="49" t="n">
        <v>466900</v>
      </c>
      <c r="F7" s="49" t="n">
        <v>2288</v>
      </c>
      <c r="G7" s="76" t="n">
        <f aca="false">E7*1.05</f>
        <v>490245</v>
      </c>
      <c r="H7" s="76" t="n">
        <f aca="false">G7/D7</f>
        <v>2403.16176470588</v>
      </c>
      <c r="I7" s="77" t="n">
        <f aca="false">G7-400000</f>
        <v>90245</v>
      </c>
      <c r="J7" s="50" t="n">
        <v>4</v>
      </c>
      <c r="K7" s="78" t="s">
        <v>159</v>
      </c>
      <c r="L7" s="79" t="n">
        <f aca="false">D7-220</f>
        <v>-16</v>
      </c>
      <c r="M7" s="45" t="str">
        <f aca="false">IF(OR(K7="大同",D7&lt;200),"不符（地段或坪數）",IF(AND(G7&lt;=420000,ABS(L7)&lt;=25),"★ 優先索取物調表",IF(G7&lt;=420000,"合於預算，坪數偏離","超出預算")))</f>
        <v>超出預算</v>
      </c>
      <c r="N7" s="80" t="s">
        <v>539</v>
      </c>
      <c r="O7" s="14" t="s">
        <v>540</v>
      </c>
      <c r="P7" s="39" t="s">
        <v>537</v>
      </c>
    </row>
    <row r="8" customFormat="false" ht="30" hidden="false" customHeight="true" outlineLevel="0" collapsed="false">
      <c r="A8" s="45" t="s">
        <v>523</v>
      </c>
      <c r="B8" s="46" t="s">
        <v>829</v>
      </c>
      <c r="C8" s="50" t="s">
        <v>830</v>
      </c>
      <c r="D8" s="75" t="n">
        <v>205</v>
      </c>
      <c r="E8" s="49" t="n">
        <v>463300</v>
      </c>
      <c r="F8" s="49" t="n">
        <v>2260</v>
      </c>
      <c r="G8" s="76" t="n">
        <f aca="false">E8*1.05</f>
        <v>486465</v>
      </c>
      <c r="H8" s="76" t="n">
        <f aca="false">G8/D8</f>
        <v>2373</v>
      </c>
      <c r="I8" s="77" t="n">
        <f aca="false">G8-400000</f>
        <v>86465</v>
      </c>
      <c r="J8" s="50" t="n">
        <v>4</v>
      </c>
      <c r="K8" s="78" t="s">
        <v>51</v>
      </c>
      <c r="L8" s="79" t="n">
        <f aca="false">D8-220</f>
        <v>-15</v>
      </c>
      <c r="M8" s="45" t="str">
        <f aca="false">IF(OR(K8="大同",D8&lt;200),"不符（地段或坪數）",IF(AND(G8&lt;=420000,ABS(L8)&lt;=25),"★ 優先索取物調表",IF(G8&lt;=420000,"合於預算，坪數偏離","超出預算")))</f>
        <v>超出預算</v>
      </c>
      <c r="N8" s="80" t="s">
        <v>527</v>
      </c>
      <c r="O8" s="14" t="s">
        <v>361</v>
      </c>
      <c r="P8" s="41" t="s">
        <v>83</v>
      </c>
    </row>
    <row r="9" customFormat="false" ht="30" hidden="false" customHeight="true" outlineLevel="0" collapsed="false">
      <c r="A9" s="45" t="s">
        <v>529</v>
      </c>
      <c r="B9" s="46" t="s">
        <v>829</v>
      </c>
      <c r="C9" s="50" t="s">
        <v>831</v>
      </c>
      <c r="D9" s="75" t="n">
        <v>205</v>
      </c>
      <c r="E9" s="49" t="n">
        <v>463300</v>
      </c>
      <c r="F9" s="49" t="n">
        <v>2260</v>
      </c>
      <c r="G9" s="76" t="n">
        <f aca="false">E9*1.05</f>
        <v>486465</v>
      </c>
      <c r="H9" s="76" t="n">
        <f aca="false">G9/D9</f>
        <v>2373</v>
      </c>
      <c r="I9" s="77" t="n">
        <f aca="false">G9-400000</f>
        <v>86465</v>
      </c>
      <c r="J9" s="50" t="n">
        <v>4</v>
      </c>
      <c r="K9" s="78" t="s">
        <v>51</v>
      </c>
      <c r="L9" s="79" t="n">
        <f aca="false">D9-220</f>
        <v>-15</v>
      </c>
      <c r="M9" s="45" t="str">
        <f aca="false">IF(OR(K9="大同",D9&lt;200),"不符（地段或坪數）",IF(AND(G9&lt;=420000,ABS(L9)&lt;=25),"★ 優先索取物調表",IF(G9&lt;=420000,"合於預算，坪數偏離","超出預算")))</f>
        <v>超出預算</v>
      </c>
      <c r="N9" s="80" t="s">
        <v>532</v>
      </c>
      <c r="O9" s="14" t="s">
        <v>361</v>
      </c>
      <c r="P9" s="41" t="s">
        <v>83</v>
      </c>
    </row>
    <row r="10" customFormat="false" ht="30" hidden="false" customHeight="true" outlineLevel="0" collapsed="false">
      <c r="A10" s="45" t="s">
        <v>356</v>
      </c>
      <c r="B10" s="46" t="s">
        <v>832</v>
      </c>
      <c r="C10" s="50" t="s">
        <v>833</v>
      </c>
      <c r="D10" s="75" t="n">
        <v>209</v>
      </c>
      <c r="E10" s="49" t="n">
        <v>418000</v>
      </c>
      <c r="F10" s="49" t="n">
        <v>2000</v>
      </c>
      <c r="G10" s="76" t="n">
        <f aca="false">E10*1.05</f>
        <v>438900</v>
      </c>
      <c r="H10" s="76" t="n">
        <f aca="false">G10/D10</f>
        <v>2100</v>
      </c>
      <c r="I10" s="77" t="n">
        <f aca="false">G10-400000</f>
        <v>38900</v>
      </c>
      <c r="J10" s="50" t="n">
        <v>3</v>
      </c>
      <c r="K10" s="78" t="s">
        <v>159</v>
      </c>
      <c r="L10" s="79" t="n">
        <f aca="false">D10-220</f>
        <v>-11</v>
      </c>
      <c r="M10" s="45" t="str">
        <f aca="false">IF(OR(K10="大同",D10&lt;200),"不符（地段或坪數）",IF(AND(G10&lt;=420000,ABS(L10)&lt;=25),"★ 優先索取物調表",IF(G10&lt;=420000,"合於預算，坪數偏離","超出預算")))</f>
        <v>超出預算</v>
      </c>
      <c r="N10" s="80" t="s">
        <v>360</v>
      </c>
      <c r="O10" s="14" t="s">
        <v>361</v>
      </c>
      <c r="P10" s="41" t="s">
        <v>83</v>
      </c>
    </row>
    <row r="11" customFormat="false" ht="30" hidden="false" customHeight="true" outlineLevel="0" collapsed="false">
      <c r="A11" s="45" t="s">
        <v>345</v>
      </c>
      <c r="B11" s="46" t="s">
        <v>834</v>
      </c>
      <c r="C11" s="50" t="s">
        <v>835</v>
      </c>
      <c r="D11" s="75" t="n">
        <v>210</v>
      </c>
      <c r="E11" s="49" t="n">
        <v>350000</v>
      </c>
      <c r="F11" s="49" t="n">
        <v>1666</v>
      </c>
      <c r="G11" s="76" t="n">
        <f aca="false">E11*1.05</f>
        <v>367500</v>
      </c>
      <c r="H11" s="76" t="n">
        <f aca="false">G11/D11</f>
        <v>1750</v>
      </c>
      <c r="I11" s="77" t="n">
        <f aca="false">G11-400000</f>
        <v>-32500</v>
      </c>
      <c r="J11" s="50" t="n">
        <v>3</v>
      </c>
      <c r="K11" s="78" t="s">
        <v>27</v>
      </c>
      <c r="L11" s="79" t="n">
        <f aca="false">D11-220</f>
        <v>-10</v>
      </c>
      <c r="M11" s="45" t="str">
        <f aca="false">IF(OR(K11="大同",D11&lt;200),"不符（地段或坪數）",IF(AND(G11&lt;=420000,ABS(L11)&lt;=25),"★ 優先索取物調表",IF(G11&lt;=420000,"合於預算，坪數偏離","超出預算")))</f>
        <v>★ 優先索取物調表</v>
      </c>
      <c r="N11" s="80" t="s">
        <v>352</v>
      </c>
      <c r="O11" s="14" t="s">
        <v>353</v>
      </c>
      <c r="P11" s="39" t="s">
        <v>351</v>
      </c>
    </row>
    <row r="12" customFormat="false" ht="30" hidden="false" customHeight="true" outlineLevel="0" collapsed="false">
      <c r="A12" s="45" t="s">
        <v>518</v>
      </c>
      <c r="B12" s="46" t="s">
        <v>836</v>
      </c>
      <c r="C12" s="50" t="s">
        <v>837</v>
      </c>
      <c r="D12" s="75" t="n">
        <v>210</v>
      </c>
      <c r="E12" s="49" t="n">
        <v>483000</v>
      </c>
      <c r="F12" s="49" t="n">
        <v>2300</v>
      </c>
      <c r="G12" s="76" t="n">
        <f aca="false">E12*1.05</f>
        <v>507150</v>
      </c>
      <c r="H12" s="76" t="n">
        <f aca="false">G12/D12</f>
        <v>2415</v>
      </c>
      <c r="I12" s="77" t="n">
        <f aca="false">G12-400000</f>
        <v>107150</v>
      </c>
      <c r="J12" s="50" t="n">
        <v>3</v>
      </c>
      <c r="K12" s="78" t="s">
        <v>159</v>
      </c>
      <c r="L12" s="79" t="n">
        <f aca="false">D12-220</f>
        <v>-10</v>
      </c>
      <c r="M12" s="45" t="str">
        <f aca="false">IF(OR(K12="大同",D12&lt;200),"不符（地段或坪數）",IF(AND(G12&lt;=420000,ABS(L12)&lt;=25),"★ 優先索取物調表",IF(G12&lt;=420000,"合於預算，坪數偏離","超出預算")))</f>
        <v>超出預算</v>
      </c>
      <c r="N12" s="81" t="s">
        <v>521</v>
      </c>
      <c r="O12" s="14" t="s">
        <v>343</v>
      </c>
      <c r="P12" s="41" t="s">
        <v>83</v>
      </c>
    </row>
    <row r="13" customFormat="false" ht="30" hidden="false" customHeight="true" outlineLevel="0" collapsed="false">
      <c r="A13" s="45" t="s">
        <v>339</v>
      </c>
      <c r="B13" s="46" t="s">
        <v>838</v>
      </c>
      <c r="C13" s="50" t="s">
        <v>839</v>
      </c>
      <c r="D13" s="75" t="n">
        <v>211</v>
      </c>
      <c r="E13" s="49" t="n">
        <v>416000</v>
      </c>
      <c r="F13" s="49" t="n">
        <v>1971</v>
      </c>
      <c r="G13" s="76" t="n">
        <f aca="false">E13*1.05</f>
        <v>436800</v>
      </c>
      <c r="H13" s="76" t="n">
        <f aca="false">G13/D13</f>
        <v>2070.14218009479</v>
      </c>
      <c r="I13" s="77" t="n">
        <f aca="false">G13-400000</f>
        <v>36800</v>
      </c>
      <c r="J13" s="50" t="n">
        <v>3</v>
      </c>
      <c r="K13" s="78" t="s">
        <v>51</v>
      </c>
      <c r="L13" s="79" t="n">
        <f aca="false">D13-220</f>
        <v>-9</v>
      </c>
      <c r="M13" s="45" t="str">
        <f aca="false">IF(OR(K13="大同",D13&lt;200),"不符（地段或坪數）",IF(AND(G13&lt;=420000,ABS(L13)&lt;=25),"★ 優先索取物調表",IF(G13&lt;=420000,"合於預算，坪數偏離","超出預算")))</f>
        <v>超出預算</v>
      </c>
      <c r="N13" s="80" t="s">
        <v>342</v>
      </c>
      <c r="O13" s="14" t="s">
        <v>343</v>
      </c>
      <c r="P13" s="41" t="s">
        <v>83</v>
      </c>
    </row>
    <row r="14" customFormat="false" ht="30" hidden="false" customHeight="true" outlineLevel="0" collapsed="false">
      <c r="A14" s="45" t="s">
        <v>498</v>
      </c>
      <c r="B14" s="46" t="s">
        <v>840</v>
      </c>
      <c r="C14" s="50" t="s">
        <v>828</v>
      </c>
      <c r="D14" s="75" t="n">
        <v>214</v>
      </c>
      <c r="E14" s="49" t="n">
        <v>470800</v>
      </c>
      <c r="F14" s="49" t="n">
        <v>2200</v>
      </c>
      <c r="G14" s="76" t="n">
        <f aca="false">E14*1.05</f>
        <v>494340</v>
      </c>
      <c r="H14" s="76" t="n">
        <f aca="false">G14/D14</f>
        <v>2310</v>
      </c>
      <c r="I14" s="77" t="n">
        <f aca="false">G14-400000</f>
        <v>94340</v>
      </c>
      <c r="J14" s="50" t="n">
        <v>3</v>
      </c>
      <c r="K14" s="78" t="s">
        <v>27</v>
      </c>
      <c r="L14" s="79" t="n">
        <f aca="false">D14-220</f>
        <v>-6</v>
      </c>
      <c r="M14" s="45" t="str">
        <f aca="false">IF(OR(K14="大同",D14&lt;200),"不符（地段或坪數）",IF(AND(G14&lt;=420000,ABS(L14)&lt;=25),"★ 優先索取物調表",IF(G14&lt;=420000,"合於預算，坪數偏離","超出預算")))</f>
        <v>超出預算</v>
      </c>
      <c r="N14" s="80" t="s">
        <v>503</v>
      </c>
      <c r="O14" s="14" t="s">
        <v>504</v>
      </c>
      <c r="P14" s="39" t="s">
        <v>331</v>
      </c>
    </row>
    <row r="15" customFormat="false" ht="30" hidden="false" customHeight="true" outlineLevel="0" collapsed="false">
      <c r="A15" s="45" t="s">
        <v>299</v>
      </c>
      <c r="B15" s="46" t="s">
        <v>841</v>
      </c>
      <c r="C15" s="50" t="s">
        <v>839</v>
      </c>
      <c r="D15" s="75" t="n">
        <v>220</v>
      </c>
      <c r="E15" s="49" t="n">
        <v>352000</v>
      </c>
      <c r="F15" s="49" t="n">
        <v>1600</v>
      </c>
      <c r="G15" s="76" t="n">
        <f aca="false">E15*1.05</f>
        <v>369600</v>
      </c>
      <c r="H15" s="76" t="n">
        <f aca="false">G15/D15</f>
        <v>1680</v>
      </c>
      <c r="I15" s="77" t="n">
        <f aca="false">G15-400000</f>
        <v>-30400</v>
      </c>
      <c r="J15" s="50" t="n">
        <v>3</v>
      </c>
      <c r="K15" s="78" t="s">
        <v>51</v>
      </c>
      <c r="L15" s="79" t="n">
        <f aca="false">D15-220</f>
        <v>0</v>
      </c>
      <c r="M15" s="45" t="str">
        <f aca="false">IF(OR(K15="大同",D15&lt;200),"不符（地段或坪數）",IF(AND(G15&lt;=420000,ABS(L15)&lt;=25),"★ 優先索取物調表",IF(G15&lt;=420000,"合於預算，坪數偏離","超出預算")))</f>
        <v>★ 優先索取物調表</v>
      </c>
      <c r="N15" s="81" t="s">
        <v>306</v>
      </c>
      <c r="O15" s="14" t="s">
        <v>307</v>
      </c>
      <c r="P15" s="41" t="s">
        <v>83</v>
      </c>
    </row>
    <row r="16" customFormat="false" ht="30" hidden="false" customHeight="true" outlineLevel="0" collapsed="false">
      <c r="A16" s="45" t="s">
        <v>322</v>
      </c>
      <c r="B16" s="46" t="s">
        <v>842</v>
      </c>
      <c r="C16" s="50" t="s">
        <v>839</v>
      </c>
      <c r="D16" s="75" t="n">
        <v>222</v>
      </c>
      <c r="E16" s="49" t="n">
        <v>400000</v>
      </c>
      <c r="F16" s="49" t="n">
        <v>1801</v>
      </c>
      <c r="G16" s="76" t="n">
        <f aca="false">E16*1.05</f>
        <v>420000</v>
      </c>
      <c r="H16" s="76" t="n">
        <f aca="false">G16/D16</f>
        <v>1891.89189189189</v>
      </c>
      <c r="I16" s="77" t="n">
        <f aca="false">G16-400000</f>
        <v>20000</v>
      </c>
      <c r="J16" s="50" t="n">
        <v>3</v>
      </c>
      <c r="K16" s="78" t="s">
        <v>27</v>
      </c>
      <c r="L16" s="79" t="n">
        <f aca="false">D16-220</f>
        <v>2</v>
      </c>
      <c r="M16" s="45" t="str">
        <f aca="false">IF(OR(K16="大同",D16&lt;200),"不符（地段或坪數）",IF(AND(G16&lt;=420000,ABS(L16)&lt;=25),"★ 優先索取物調表",IF(G16&lt;=420000,"合於預算，坪數偏離","超出預算")))</f>
        <v>★ 優先索取物調表</v>
      </c>
      <c r="N16" s="80" t="s">
        <v>327</v>
      </c>
      <c r="O16" s="14" t="s">
        <v>328</v>
      </c>
      <c r="P16" s="39" t="s">
        <v>272</v>
      </c>
    </row>
    <row r="17" customFormat="false" ht="30" hidden="false" customHeight="true" outlineLevel="0" collapsed="false">
      <c r="A17" s="45" t="s">
        <v>311</v>
      </c>
      <c r="B17" s="46" t="s">
        <v>843</v>
      </c>
      <c r="C17" s="50" t="s">
        <v>844</v>
      </c>
      <c r="D17" s="75" t="n">
        <v>225</v>
      </c>
      <c r="E17" s="49" t="n">
        <v>450000</v>
      </c>
      <c r="F17" s="49" t="n">
        <v>2000</v>
      </c>
      <c r="G17" s="76" t="n">
        <f aca="false">E17*1.05</f>
        <v>472500</v>
      </c>
      <c r="H17" s="76" t="n">
        <f aca="false">G17/D17</f>
        <v>2100</v>
      </c>
      <c r="I17" s="77" t="n">
        <f aca="false">G17-400000</f>
        <v>72500</v>
      </c>
      <c r="J17" s="50" t="n">
        <v>3</v>
      </c>
      <c r="K17" s="78" t="s">
        <v>159</v>
      </c>
      <c r="L17" s="79" t="n">
        <f aca="false">D17-220</f>
        <v>5</v>
      </c>
      <c r="M17" s="45" t="str">
        <f aca="false">IF(OR(K17="大同",D17&lt;200),"不符（地段或坪數）",IF(AND(G17&lt;=420000,ABS(L17)&lt;=25),"★ 優先索取物調表",IF(G17&lt;=420000,"合於預算，坪數偏離","超出預算")))</f>
        <v>超出預算</v>
      </c>
      <c r="N17" s="80" t="s">
        <v>315</v>
      </c>
      <c r="O17" s="14" t="s">
        <v>316</v>
      </c>
      <c r="P17" s="41" t="s">
        <v>83</v>
      </c>
    </row>
    <row r="18" customFormat="false" ht="30" hidden="false" customHeight="true" outlineLevel="0" collapsed="false">
      <c r="A18" s="45" t="s">
        <v>487</v>
      </c>
      <c r="B18" s="46" t="s">
        <v>845</v>
      </c>
      <c r="C18" s="50" t="s">
        <v>837</v>
      </c>
      <c r="D18" s="75" t="n">
        <v>226</v>
      </c>
      <c r="E18" s="49" t="n">
        <v>497500</v>
      </c>
      <c r="F18" s="49" t="n">
        <v>2200</v>
      </c>
      <c r="G18" s="76" t="n">
        <f aca="false">E18*1.05</f>
        <v>522375</v>
      </c>
      <c r="H18" s="76" t="n">
        <f aca="false">G18/D18</f>
        <v>2311.39380530973</v>
      </c>
      <c r="I18" s="77" t="n">
        <f aca="false">G18-400000</f>
        <v>122375</v>
      </c>
      <c r="J18" s="50" t="n">
        <v>4</v>
      </c>
      <c r="K18" s="78" t="s">
        <v>51</v>
      </c>
      <c r="L18" s="79" t="n">
        <f aca="false">D18-220</f>
        <v>6</v>
      </c>
      <c r="M18" s="45" t="str">
        <f aca="false">IF(OR(K18="大同",D18&lt;200),"不符（地段或坪數）",IF(AND(G18&lt;=420000,ABS(L18)&lt;=25),"★ 優先索取物調表",IF(G18&lt;=420000,"合於預算，坪數偏離","超出預算")))</f>
        <v>超出預算</v>
      </c>
      <c r="N18" s="81" t="s">
        <v>490</v>
      </c>
      <c r="O18" s="14" t="s">
        <v>316</v>
      </c>
      <c r="P18" s="41" t="s">
        <v>83</v>
      </c>
    </row>
    <row r="19" customFormat="false" ht="30" hidden="false" customHeight="true" outlineLevel="0" collapsed="false">
      <c r="A19" s="45" t="s">
        <v>479</v>
      </c>
      <c r="B19" s="46" t="s">
        <v>846</v>
      </c>
      <c r="C19" s="50" t="s">
        <v>847</v>
      </c>
      <c r="D19" s="75" t="n">
        <v>230</v>
      </c>
      <c r="E19" s="49" t="n">
        <v>455400</v>
      </c>
      <c r="F19" s="49" t="n">
        <v>1980</v>
      </c>
      <c r="G19" s="76" t="n">
        <f aca="false">E19*1.05</f>
        <v>478170</v>
      </c>
      <c r="H19" s="76" t="n">
        <f aca="false">G19/D19</f>
        <v>2079</v>
      </c>
      <c r="I19" s="77" t="n">
        <f aca="false">G19-400000</f>
        <v>78170</v>
      </c>
      <c r="J19" s="50" t="n">
        <v>3</v>
      </c>
      <c r="K19" s="78" t="s">
        <v>27</v>
      </c>
      <c r="L19" s="79" t="n">
        <f aca="false">D19-220</f>
        <v>10</v>
      </c>
      <c r="M19" s="45" t="str">
        <f aca="false">IF(OR(K19="大同",D19&lt;200),"不符（地段或坪數）",IF(AND(G19&lt;=420000,ABS(L19)&lt;=25),"★ 優先索取物調表",IF(G19&lt;=420000,"合於預算，坪數偏離","超出預算")))</f>
        <v>超出預算</v>
      </c>
      <c r="N19" s="80" t="s">
        <v>484</v>
      </c>
      <c r="O19" s="14" t="s">
        <v>485</v>
      </c>
      <c r="P19" s="39" t="s">
        <v>272</v>
      </c>
    </row>
    <row r="20" customFormat="false" ht="30" hidden="false" customHeight="true" outlineLevel="0" collapsed="false">
      <c r="A20" s="45" t="s">
        <v>438</v>
      </c>
      <c r="B20" s="46" t="s">
        <v>848</v>
      </c>
      <c r="C20" s="50" t="s">
        <v>839</v>
      </c>
      <c r="D20" s="75" t="n">
        <v>200</v>
      </c>
      <c r="E20" s="49" t="n">
        <v>294000</v>
      </c>
      <c r="F20" s="49" t="n">
        <v>1470</v>
      </c>
      <c r="G20" s="76" t="n">
        <f aca="false">E20*1.05</f>
        <v>308700</v>
      </c>
      <c r="H20" s="76" t="n">
        <f aca="false">G20/D20</f>
        <v>1543.5</v>
      </c>
      <c r="I20" s="77" t="n">
        <f aca="false">G20-400000</f>
        <v>-91300</v>
      </c>
      <c r="J20" s="50" t="n">
        <v>3</v>
      </c>
      <c r="K20" s="78" t="s">
        <v>159</v>
      </c>
      <c r="L20" s="79" t="n">
        <f aca="false">D20-220</f>
        <v>-20</v>
      </c>
      <c r="M20" s="45" t="str">
        <f aca="false">IF(OR(K20="大同",D20&lt;200),"不符（地段或坪數）",IF(AND(G20&lt;=420000,ABS(L20)&lt;=25),"★ 優先索取物調表",IF(G20&lt;=420000,"合於預算，坪數偏離","超出預算")))</f>
        <v>★ 優先索取物調表</v>
      </c>
      <c r="N20" s="80" t="s">
        <v>445</v>
      </c>
      <c r="O20" s="14" t="s">
        <v>446</v>
      </c>
      <c r="P20" s="39" t="s">
        <v>444</v>
      </c>
    </row>
    <row r="21" customFormat="false" ht="30" hidden="false" customHeight="true" outlineLevel="0" collapsed="false">
      <c r="A21" s="45" t="s">
        <v>465</v>
      </c>
      <c r="B21" s="46" t="s">
        <v>849</v>
      </c>
      <c r="C21" s="50" t="s">
        <v>837</v>
      </c>
      <c r="D21" s="75" t="n">
        <v>257</v>
      </c>
      <c r="E21" s="49" t="n">
        <v>560000</v>
      </c>
      <c r="F21" s="49" t="n">
        <v>2178</v>
      </c>
      <c r="G21" s="76" t="n">
        <f aca="false">E21*1.05</f>
        <v>588000</v>
      </c>
      <c r="H21" s="76" t="n">
        <f aca="false">G21/D21</f>
        <v>2287.93774319066</v>
      </c>
      <c r="I21" s="77" t="n">
        <f aca="false">G21-400000</f>
        <v>188000</v>
      </c>
      <c r="J21" s="50" t="n">
        <v>3</v>
      </c>
      <c r="K21" s="78" t="s">
        <v>27</v>
      </c>
      <c r="L21" s="79" t="n">
        <f aca="false">D21-220</f>
        <v>37</v>
      </c>
      <c r="M21" s="45" t="str">
        <f aca="false">IF(OR(K21="大同",D21&lt;200),"不符（地段或坪數）",IF(AND(G21&lt;=420000,ABS(L21)&lt;=25),"★ 優先索取物調表",IF(G21&lt;=420000,"合於預算，坪數偏離","超出預算")))</f>
        <v>超出預算</v>
      </c>
      <c r="N21" s="81" t="s">
        <v>469</v>
      </c>
      <c r="O21" s="14" t="s">
        <v>470</v>
      </c>
      <c r="P21" s="41" t="s">
        <v>83</v>
      </c>
    </row>
    <row r="22" customFormat="false" ht="30" hidden="false" customHeight="true" outlineLevel="0" collapsed="false">
      <c r="A22" s="45" t="s">
        <v>455</v>
      </c>
      <c r="B22" s="46" t="s">
        <v>850</v>
      </c>
      <c r="C22" s="50" t="s">
        <v>851</v>
      </c>
      <c r="D22" s="75" t="n">
        <v>276</v>
      </c>
      <c r="E22" s="49" t="n">
        <v>480000</v>
      </c>
      <c r="F22" s="49" t="n">
        <v>1739</v>
      </c>
      <c r="G22" s="76" t="n">
        <f aca="false">E22*1.05</f>
        <v>504000</v>
      </c>
      <c r="H22" s="76" t="n">
        <f aca="false">G22/D22</f>
        <v>1826.08695652174</v>
      </c>
      <c r="I22" s="77" t="n">
        <f aca="false">G22-400000</f>
        <v>104000</v>
      </c>
      <c r="J22" s="50" t="n">
        <v>3</v>
      </c>
      <c r="K22" s="78" t="s">
        <v>27</v>
      </c>
      <c r="L22" s="79" t="n">
        <f aca="false">D22-220</f>
        <v>56</v>
      </c>
      <c r="M22" s="45" t="str">
        <f aca="false">IF(OR(K22="大同",D22&lt;200),"不符（地段或坪數）",IF(AND(G22&lt;=420000,ABS(L22)&lt;=25),"★ 優先索取物調表",IF(G22&lt;=420000,"合於預算，坪數偏離","超出預算")))</f>
        <v>超出預算</v>
      </c>
      <c r="N22" s="80" t="s">
        <v>459</v>
      </c>
      <c r="O22" s="14" t="s">
        <v>460</v>
      </c>
      <c r="P22" s="41" t="s">
        <v>83</v>
      </c>
    </row>
    <row r="31" customFormat="false" ht="15" hidden="false" customHeight="true" outlineLevel="0" collapsed="false">
      <c r="A31" s="70" t="s">
        <v>852</v>
      </c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</row>
    <row r="32" customFormat="false" ht="15" hidden="false" customHeight="false" outlineLevel="0" collapsed="false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</row>
  </sheetData>
  <mergeCells count="1">
    <mergeCell ref="A31:N32"/>
  </mergeCells>
  <hyperlinks>
    <hyperlink ref="B5" r:id="rId1" location="page=1" display="信義路5段(環球) ↗"/>
    <hyperlink ref="O5" r:id="rId2" location="page=1" display="傑森愛華原始PDF 第1頁（含照片）"/>
    <hyperlink ref="B6" r:id="rId3" location="page=1" display="南京東路5段近三民站 ↗"/>
    <hyperlink ref="O6" r:id="rId4" location="page=1" display="傑森愛華原始PDF 第1頁（含照片）"/>
    <hyperlink ref="B7" r:id="rId5" location="page=1" display="中山北路近市民大道 ↗"/>
    <hyperlink ref="O7" r:id="rId6" location="page=1" display="傑森愛華原始PDF 第1頁（此列無照片）；同戶照片見W08 HouseWeb"/>
    <hyperlink ref="B8" r:id="rId7" location="page=2" display="民生東路3段vs復興北路 ↗"/>
    <hyperlink ref="O8" r:id="rId8" location="page=2" display="傑森愛華原始PDF 第2頁（含照片）"/>
    <hyperlink ref="B9" r:id="rId9" location="page=2" display="民生東路3段vs復興北路 ↗"/>
    <hyperlink ref="O9" r:id="rId10" location="page=2" display="傑森愛華原始PDF 第2頁（含照片）"/>
    <hyperlink ref="B10" r:id="rId11" location="page=2" display="中山北路1段近市民大道 ↗"/>
    <hyperlink ref="O10" r:id="rId12" location="page=2" display="傑森愛華原始PDF 第2頁（含照片）"/>
    <hyperlink ref="B11" r:id="rId13" display="仁愛路4段近復興南路 (鴻霖大樓 25號10樓之2) ↗"/>
    <hyperlink ref="O11" r:id="rId14" display="傑森愛華單筆報表PDF（鴻霖10F之2·3頁，含照片）"/>
    <hyperlink ref="B12" r:id="rId15" location="page=3" display="南京東路近龍江路 ↗"/>
    <hyperlink ref="O12" r:id="rId16" location="page=3" display="傑森愛華原始PDF 第3頁（含照片）"/>
    <hyperlink ref="B13" r:id="rId17" location="page=3" display="敦化北路VS民生東路 ↗"/>
    <hyperlink ref="O13" r:id="rId18" location="page=3" display="傑森愛華原始PDF 第3頁（含照片）"/>
    <hyperlink ref="B14" r:id="rId19" location="page=3" display="安和路一段 (即安敦國際大樓17F) ↗"/>
    <hyperlink ref="O14" r:id="rId20" location="page=3" display="傑森愛華原始PDF 第3頁（含照片）；同戶另見信義CZ05290"/>
    <hyperlink ref="B15" r:id="rId21" location="page=3" display="八德路vs龍江路 ↗"/>
    <hyperlink ref="O15" r:id="rId22" location="page=3" display="傑森愛華原始PDF 第3頁（此列無照片）"/>
    <hyperlink ref="B16" r:id="rId23" display="敦化南路2段 (中鼎大樓 77號2樓) ↗"/>
    <hyperlink ref="O16" r:id="rId24" display="傑森愛華單筆報表PDF（中鼎2F·2頁，含照片）"/>
    <hyperlink ref="B17" r:id="rId25" location="page=4" display="民生東路VS建國北路 ↗"/>
    <hyperlink ref="O17" r:id="rId26" location="page=4" display="傑森愛華原始PDF 第4頁（含照片）"/>
    <hyperlink ref="B18" r:id="rId27" location="page=4" display="民生東路近敦化北路 ↗"/>
    <hyperlink ref="O18" r:id="rId28" location="page=4" display="傑森愛華原始PDF 第4頁（含照片）"/>
    <hyperlink ref="B19" r:id="rId29" display="敦化南路2段(中鼎大樓 77號22樓) ↗"/>
    <hyperlink ref="O19" r:id="rId30" display="傑森愛華單筆報表PDF（中鼎22F·3頁，含照片）"/>
    <hyperlink ref="B20" r:id="rId31" display="八德路近復興北路 (中影八德大樓 八德路二段260號2樓全層) ↗"/>
    <hyperlink ref="O20" r:id="rId32" display="傑森愛華單筆報表PDF（中影八德2F·11頁，含照片/使照）"/>
    <hyperlink ref="B21" r:id="rId33" location="page=5" display="市民大道3段近復興南路 ↗"/>
    <hyperlink ref="O21" r:id="rId34" location="page=5" display="傑森愛華原始PDF 第5頁（此列無照片）"/>
    <hyperlink ref="B22" r:id="rId35" location="page=6" display="忠孝東路4段VS延吉街 ↗"/>
    <hyperlink ref="O22" r:id="rId36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18"/>
    <col collapsed="false" customWidth="true" hidden="false" outlineLevel="0" max="14" min="14" style="0" width="22"/>
    <col collapsed="false" customWidth="true" hidden="false" outlineLevel="0" max="15" min="15" style="0" width="6"/>
    <col collapsed="false" customWidth="true" hidden="false" outlineLevel="0" max="16" min="16" style="0" width="16"/>
    <col collapsed="false" customWidth="true" hidden="false" outlineLevel="0" max="17" min="17" style="0" width="34"/>
    <col collapsed="false" customWidth="true" hidden="false" outlineLevel="0" max="18" min="18" style="0" width="40"/>
  </cols>
  <sheetData>
    <row r="1" customFormat="false" ht="20.1" hidden="false" customHeight="false" outlineLevel="0" collapsed="false">
      <c r="A1" s="82" t="s">
        <v>853</v>
      </c>
    </row>
    <row r="2" customFormat="false" ht="15" hidden="false" customHeight="false" outlineLevel="0" collapsed="false">
      <c r="A2" s="2" t="s">
        <v>854</v>
      </c>
    </row>
    <row r="4" customFormat="false" ht="30" hidden="false" customHeight="true" outlineLevel="0" collapsed="false">
      <c r="A4" s="3" t="s">
        <v>2</v>
      </c>
      <c r="B4" s="3" t="s">
        <v>855</v>
      </c>
      <c r="C4" s="3" t="s">
        <v>562</v>
      </c>
      <c r="D4" s="3" t="s">
        <v>856</v>
      </c>
      <c r="E4" s="3" t="s">
        <v>6</v>
      </c>
      <c r="F4" s="3" t="s">
        <v>7</v>
      </c>
      <c r="G4" s="3" t="s">
        <v>857</v>
      </c>
      <c r="H4" s="3" t="s">
        <v>858</v>
      </c>
      <c r="I4" s="3" t="s">
        <v>859</v>
      </c>
      <c r="J4" s="3" t="s">
        <v>860</v>
      </c>
      <c r="K4" s="3" t="s">
        <v>264</v>
      </c>
      <c r="L4" s="3" t="s">
        <v>861</v>
      </c>
      <c r="M4" s="3" t="s">
        <v>21</v>
      </c>
      <c r="N4" s="3" t="s">
        <v>862</v>
      </c>
      <c r="O4" s="3" t="s">
        <v>863</v>
      </c>
      <c r="P4" s="3" t="s">
        <v>821</v>
      </c>
      <c r="Q4" s="3" t="s">
        <v>23</v>
      </c>
      <c r="R4" s="3" t="s">
        <v>864</v>
      </c>
    </row>
    <row r="5" customFormat="false" ht="43.5" hidden="false" customHeight="true" outlineLevel="0" collapsed="false">
      <c r="A5" s="50" t="s">
        <v>397</v>
      </c>
      <c r="B5" s="74" t="s">
        <v>398</v>
      </c>
      <c r="C5" s="78" t="s">
        <v>27</v>
      </c>
      <c r="D5" s="78" t="s">
        <v>399</v>
      </c>
      <c r="E5" s="50" t="s">
        <v>400</v>
      </c>
      <c r="F5" s="48" t="n">
        <v>204</v>
      </c>
      <c r="G5" s="49" t="n">
        <v>469000</v>
      </c>
      <c r="H5" s="78" t="s">
        <v>198</v>
      </c>
      <c r="I5" s="54" t="s">
        <v>83</v>
      </c>
      <c r="J5" s="78" t="s">
        <v>401</v>
      </c>
      <c r="K5" s="50" t="n">
        <v>33</v>
      </c>
      <c r="L5" s="80" t="s">
        <v>402</v>
      </c>
      <c r="M5" s="80" t="s">
        <v>403</v>
      </c>
      <c r="N5" s="50" t="s">
        <v>404</v>
      </c>
      <c r="O5" s="50" t="n">
        <v>26</v>
      </c>
      <c r="P5" s="78" t="s">
        <v>865</v>
      </c>
      <c r="Q5" s="81" t="s">
        <v>405</v>
      </c>
      <c r="R5" s="83" t="s">
        <v>866</v>
      </c>
    </row>
    <row r="6" customFormat="false" ht="43.5" hidden="false" customHeight="true" outlineLevel="0" collapsed="false">
      <c r="A6" s="63" t="s">
        <v>369</v>
      </c>
      <c r="B6" s="72" t="s">
        <v>370</v>
      </c>
      <c r="C6" s="84" t="s">
        <v>51</v>
      </c>
      <c r="D6" s="84" t="s">
        <v>371</v>
      </c>
      <c r="E6" s="63" t="s">
        <v>372</v>
      </c>
      <c r="F6" s="59" t="n">
        <v>206</v>
      </c>
      <c r="G6" s="61" t="n">
        <v>350900</v>
      </c>
      <c r="H6" s="84" t="s">
        <v>198</v>
      </c>
      <c r="I6" s="62" t="s">
        <v>83</v>
      </c>
      <c r="J6" s="84" t="s">
        <v>295</v>
      </c>
      <c r="K6" s="85" t="s">
        <v>83</v>
      </c>
      <c r="L6" s="86" t="s">
        <v>373</v>
      </c>
      <c r="M6" s="86" t="s">
        <v>282</v>
      </c>
      <c r="N6" s="63" t="s">
        <v>374</v>
      </c>
      <c r="O6" s="63" t="n">
        <v>38</v>
      </c>
      <c r="P6" s="84" t="s">
        <v>867</v>
      </c>
      <c r="Q6" s="87" t="s">
        <v>375</v>
      </c>
      <c r="R6" s="88" t="s">
        <v>868</v>
      </c>
    </row>
    <row r="7" customFormat="false" ht="43.5" hidden="false" customHeight="true" outlineLevel="0" collapsed="false">
      <c r="A7" s="50" t="s">
        <v>472</v>
      </c>
      <c r="B7" s="73" t="s">
        <v>473</v>
      </c>
      <c r="C7" s="78" t="s">
        <v>159</v>
      </c>
      <c r="D7" s="78" t="s">
        <v>178</v>
      </c>
      <c r="E7" s="50" t="s">
        <v>179</v>
      </c>
      <c r="F7" s="48" t="n">
        <v>253</v>
      </c>
      <c r="G7" s="49" t="n">
        <v>350000</v>
      </c>
      <c r="H7" s="78" t="s">
        <v>198</v>
      </c>
      <c r="I7" s="54" t="s">
        <v>83</v>
      </c>
      <c r="J7" s="78" t="s">
        <v>100</v>
      </c>
      <c r="K7" s="89" t="s">
        <v>83</v>
      </c>
      <c r="L7" s="80" t="s">
        <v>474</v>
      </c>
      <c r="M7" s="80" t="s">
        <v>282</v>
      </c>
      <c r="N7" s="50" t="s">
        <v>283</v>
      </c>
      <c r="O7" s="50" t="n">
        <v>27</v>
      </c>
      <c r="P7" s="78" t="s">
        <v>869</v>
      </c>
      <c r="Q7" s="81" t="s">
        <v>475</v>
      </c>
      <c r="R7" s="83" t="s">
        <v>870</v>
      </c>
    </row>
    <row r="8" customFormat="false" ht="43.5" hidden="false" customHeight="true" outlineLevel="0" collapsed="false">
      <c r="A8" s="50" t="s">
        <v>414</v>
      </c>
      <c r="B8" s="73" t="s">
        <v>415</v>
      </c>
      <c r="C8" s="78" t="s">
        <v>159</v>
      </c>
      <c r="D8" s="78" t="s">
        <v>416</v>
      </c>
      <c r="E8" s="50" t="s">
        <v>417</v>
      </c>
      <c r="F8" s="48" t="n">
        <v>203</v>
      </c>
      <c r="G8" s="49" t="n">
        <v>446800</v>
      </c>
      <c r="H8" s="78" t="s">
        <v>198</v>
      </c>
      <c r="I8" s="54" t="s">
        <v>83</v>
      </c>
      <c r="J8" s="78" t="s">
        <v>295</v>
      </c>
      <c r="K8" s="89" t="s">
        <v>83</v>
      </c>
      <c r="L8" s="80" t="s">
        <v>281</v>
      </c>
      <c r="M8" s="80" t="s">
        <v>282</v>
      </c>
      <c r="N8" s="50" t="s">
        <v>283</v>
      </c>
      <c r="O8" s="50" t="n">
        <v>43</v>
      </c>
      <c r="P8" s="78" t="s">
        <v>865</v>
      </c>
      <c r="Q8" s="81" t="s">
        <v>418</v>
      </c>
      <c r="R8" s="83" t="s">
        <v>871</v>
      </c>
    </row>
    <row r="9" customFormat="false" ht="43.5" hidden="false" customHeight="true" outlineLevel="0" collapsed="false">
      <c r="A9" s="50" t="s">
        <v>293</v>
      </c>
      <c r="B9" s="73" t="s">
        <v>294</v>
      </c>
      <c r="C9" s="78" t="s">
        <v>159</v>
      </c>
      <c r="D9" s="78" t="s">
        <v>178</v>
      </c>
      <c r="E9" s="50" t="s">
        <v>179</v>
      </c>
      <c r="F9" s="48" t="n">
        <v>252</v>
      </c>
      <c r="G9" s="49" t="n">
        <v>380000</v>
      </c>
      <c r="H9" s="78" t="s">
        <v>198</v>
      </c>
      <c r="I9" s="54" t="s">
        <v>83</v>
      </c>
      <c r="J9" s="78" t="s">
        <v>295</v>
      </c>
      <c r="K9" s="89" t="s">
        <v>83</v>
      </c>
      <c r="L9" s="80" t="s">
        <v>281</v>
      </c>
      <c r="M9" s="80" t="s">
        <v>282</v>
      </c>
      <c r="N9" s="50" t="s">
        <v>283</v>
      </c>
      <c r="O9" s="50" t="n">
        <v>37</v>
      </c>
      <c r="P9" s="78" t="s">
        <v>869</v>
      </c>
      <c r="Q9" s="81" t="s">
        <v>296</v>
      </c>
      <c r="R9" s="83" t="s">
        <v>872</v>
      </c>
    </row>
    <row r="10" customFormat="false" ht="43.5" hidden="false" customHeight="true" outlineLevel="0" collapsed="false">
      <c r="A10" s="50" t="s">
        <v>275</v>
      </c>
      <c r="B10" s="73" t="s">
        <v>276</v>
      </c>
      <c r="C10" s="78" t="s">
        <v>159</v>
      </c>
      <c r="D10" s="78" t="s">
        <v>178</v>
      </c>
      <c r="E10" s="50" t="s">
        <v>277</v>
      </c>
      <c r="F10" s="48" t="n">
        <v>276</v>
      </c>
      <c r="G10" s="49" t="n">
        <v>413800</v>
      </c>
      <c r="H10" s="78" t="s">
        <v>198</v>
      </c>
      <c r="I10" s="54" t="s">
        <v>83</v>
      </c>
      <c r="J10" s="78" t="s">
        <v>279</v>
      </c>
      <c r="K10" s="89" t="s">
        <v>83</v>
      </c>
      <c r="L10" s="80" t="s">
        <v>281</v>
      </c>
      <c r="M10" s="80" t="s">
        <v>282</v>
      </c>
      <c r="N10" s="50" t="s">
        <v>283</v>
      </c>
      <c r="O10" s="50" t="n">
        <v>27</v>
      </c>
      <c r="P10" s="78" t="s">
        <v>873</v>
      </c>
      <c r="Q10" s="81" t="s">
        <v>284</v>
      </c>
      <c r="R10" s="83" t="s">
        <v>874</v>
      </c>
    </row>
    <row r="11" customFormat="false" ht="43.5" hidden="false" customHeight="true" outlineLevel="0" collapsed="false">
      <c r="A11" s="50" t="s">
        <v>542</v>
      </c>
      <c r="B11" s="74" t="s">
        <v>543</v>
      </c>
      <c r="C11" s="78" t="s">
        <v>159</v>
      </c>
      <c r="D11" s="78" t="s">
        <v>544</v>
      </c>
      <c r="E11" s="50" t="s">
        <v>545</v>
      </c>
      <c r="F11" s="48" t="n">
        <v>203</v>
      </c>
      <c r="G11" s="49" t="n">
        <v>466900</v>
      </c>
      <c r="H11" s="78" t="s">
        <v>875</v>
      </c>
      <c r="I11" s="49" t="n">
        <v>22330</v>
      </c>
      <c r="J11" s="78" t="s">
        <v>92</v>
      </c>
      <c r="K11" s="50" t="n">
        <v>29</v>
      </c>
      <c r="L11" s="80" t="s">
        <v>536</v>
      </c>
      <c r="M11" s="80" t="s">
        <v>547</v>
      </c>
      <c r="N11" s="50" t="s">
        <v>548</v>
      </c>
      <c r="O11" s="50" t="n">
        <v>35</v>
      </c>
      <c r="P11" s="78" t="s">
        <v>865</v>
      </c>
      <c r="Q11" s="80" t="s">
        <v>549</v>
      </c>
      <c r="R11" s="83" t="s">
        <v>876</v>
      </c>
    </row>
    <row r="12" customFormat="false" ht="43.5" hidden="false" customHeight="true" outlineLevel="0" collapsed="false">
      <c r="A12" s="63" t="s">
        <v>379</v>
      </c>
      <c r="B12" s="72" t="s">
        <v>380</v>
      </c>
      <c r="C12" s="84" t="s">
        <v>127</v>
      </c>
      <c r="D12" s="84" t="s">
        <v>381</v>
      </c>
      <c r="E12" s="63" t="s">
        <v>382</v>
      </c>
      <c r="F12" s="59" t="n">
        <v>205</v>
      </c>
      <c r="G12" s="61" t="n">
        <v>300000</v>
      </c>
      <c r="H12" s="84" t="s">
        <v>198</v>
      </c>
      <c r="I12" s="62" t="s">
        <v>83</v>
      </c>
      <c r="J12" s="84" t="s">
        <v>295</v>
      </c>
      <c r="K12" s="85" t="s">
        <v>83</v>
      </c>
      <c r="L12" s="86" t="s">
        <v>383</v>
      </c>
      <c r="M12" s="86" t="s">
        <v>282</v>
      </c>
      <c r="N12" s="63" t="s">
        <v>283</v>
      </c>
      <c r="O12" s="63" t="n">
        <v>20</v>
      </c>
      <c r="P12" s="84" t="s">
        <v>867</v>
      </c>
      <c r="Q12" s="87" t="s">
        <v>384</v>
      </c>
      <c r="R12" s="88" t="s">
        <v>877</v>
      </c>
    </row>
    <row r="13" customFormat="false" ht="43.5" hidden="false" customHeight="true" outlineLevel="0" collapsed="false">
      <c r="A13" s="50" t="s">
        <v>509</v>
      </c>
      <c r="B13" s="73" t="s">
        <v>510</v>
      </c>
      <c r="C13" s="78" t="s">
        <v>51</v>
      </c>
      <c r="D13" s="78" t="s">
        <v>149</v>
      </c>
      <c r="E13" s="50" t="s">
        <v>511</v>
      </c>
      <c r="F13" s="48" t="n">
        <v>211</v>
      </c>
      <c r="G13" s="49" t="n">
        <v>400000</v>
      </c>
      <c r="H13" s="78" t="s">
        <v>878</v>
      </c>
      <c r="I13" s="54" t="s">
        <v>83</v>
      </c>
      <c r="J13" s="78" t="s">
        <v>401</v>
      </c>
      <c r="K13" s="89" t="s">
        <v>83</v>
      </c>
      <c r="L13" s="80" t="s">
        <v>513</v>
      </c>
      <c r="M13" s="80" t="s">
        <v>434</v>
      </c>
      <c r="N13" s="50" t="s">
        <v>514</v>
      </c>
      <c r="O13" s="50" t="n">
        <v>40</v>
      </c>
      <c r="P13" s="78" t="s">
        <v>879</v>
      </c>
      <c r="Q13" s="80" t="s">
        <v>515</v>
      </c>
      <c r="R13" s="83" t="s">
        <v>880</v>
      </c>
    </row>
    <row r="14" customFormat="false" ht="43.5" hidden="false" customHeight="true" outlineLevel="0" collapsed="false">
      <c r="A14" s="50" t="s">
        <v>429</v>
      </c>
      <c r="B14" s="73" t="s">
        <v>430</v>
      </c>
      <c r="C14" s="78" t="s">
        <v>159</v>
      </c>
      <c r="D14" s="78" t="s">
        <v>431</v>
      </c>
      <c r="E14" s="50" t="s">
        <v>432</v>
      </c>
      <c r="F14" s="48" t="n">
        <v>200.79</v>
      </c>
      <c r="G14" s="49" t="n">
        <v>320000</v>
      </c>
      <c r="H14" s="78" t="s">
        <v>198</v>
      </c>
      <c r="I14" s="54" t="s">
        <v>83</v>
      </c>
      <c r="J14" s="78" t="s">
        <v>92</v>
      </c>
      <c r="K14" s="89" t="s">
        <v>83</v>
      </c>
      <c r="L14" s="80" t="s">
        <v>433</v>
      </c>
      <c r="M14" s="80" t="s">
        <v>434</v>
      </c>
      <c r="N14" s="50" t="s">
        <v>435</v>
      </c>
      <c r="O14" s="50" t="n">
        <v>27</v>
      </c>
      <c r="P14" s="78" t="s">
        <v>881</v>
      </c>
      <c r="Q14" s="81" t="s">
        <v>436</v>
      </c>
      <c r="R14" s="83" t="s">
        <v>882</v>
      </c>
    </row>
    <row r="19" customFormat="false" ht="15" hidden="false" customHeight="true" outlineLevel="0" collapsed="false">
      <c r="A19" s="90" t="s">
        <v>883</v>
      </c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</row>
    <row r="20" customFormat="false" ht="15" hidden="false" customHeight="false" outlineLevel="0" collapsed="false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</row>
  </sheetData>
  <mergeCells count="1">
    <mergeCell ref="A19:R20"/>
  </mergeCells>
  <hyperlinks>
    <hyperlink ref="B5" r:id="rId1" display="▲敦南商圈【氣派純辦】【裝潢新】 ↗"/>
    <hyperlink ref="R5" r:id="rId2" display="https://www.houseweb.com.tw/house/1506073"/>
    <hyperlink ref="B6" r:id="rId3" display="【松山區辦公室出租】漂亮裝潢隔間、高樓層 ↗"/>
    <hyperlink ref="R6" r:id="rId4" display="https://www.houseweb.com.tw/house/2567826"/>
    <hyperlink ref="B7" r:id="rId5" display="【大直辦公室出租】空間大好規劃、優質美辦 ↗"/>
    <hyperlink ref="R7" r:id="rId6" display="https://www.houseweb.com.tw/house/2581969"/>
    <hyperlink ref="B8" r:id="rId7" display="【大直辦公室出租】大直氣派門面、管理佳、現成裝潢 ↗"/>
    <hyperlink ref="R8" r:id="rId8" display="https://www.houseweb.com.tw/house/2650465"/>
    <hyperlink ref="B9" r:id="rId9" display="【大直辦公室出租】優質辦公室、採光佳 ↗"/>
    <hyperlink ref="R9" r:id="rId10" display="https://www.houseweb.com.tw/house/2504639"/>
    <hyperlink ref="B10" r:id="rId11" display="【大直辦公室出租】空間大好規劃、採光佳 ↗"/>
    <hyperlink ref="R10" r:id="rId12" display="https://www.houseweb.com.tw/house/2457012"/>
    <hyperlink ref="B11" r:id="rId13" display="☆捷運台北車站☆漂亮商辦、一層一戶、高樓層 ↗"/>
    <hyperlink ref="R11" r:id="rId14" display="https://www.houseweb.com.tw/house/2664165"/>
    <hyperlink ref="B12" r:id="rId15" display="【信義區辦公室出租】全空好規劃、採光佳、高樓層 ↗"/>
    <hyperlink ref="R12" r:id="rId16" display="https://www.houseweb.com.tw/house/2611327"/>
    <hyperlink ref="B13" r:id="rId17" display="松山區辦公室出租 ↗"/>
    <hyperlink ref="R13" r:id="rId18" display="https://www.houseweb.com.tw/house/2653888"/>
    <hyperlink ref="B14" r:id="rId19" display="中山區辦公室出租 ↗"/>
    <hyperlink ref="R14" r:id="rId20" display="https://www.houseweb.com.tw/house/265386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26"/>
    <col collapsed="false" customWidth="true" hidden="false" outlineLevel="0" max="10" min="10" style="0" width="34"/>
    <col collapsed="false" customWidth="true" hidden="false" outlineLevel="0" max="11" min="11" style="0" width="8"/>
  </cols>
  <sheetData>
    <row r="1" customFormat="false" ht="20.1" hidden="false" customHeight="false" outlineLevel="0" collapsed="false">
      <c r="A1" s="1" t="s">
        <v>884</v>
      </c>
    </row>
    <row r="2" customFormat="false" ht="15" hidden="false" customHeight="false" outlineLevel="0" collapsed="false">
      <c r="A2" s="2" t="s">
        <v>885</v>
      </c>
    </row>
    <row r="4" customFormat="false" ht="30" hidden="false" customHeight="true" outlineLevel="0" collapsed="false">
      <c r="A4" s="3" t="s">
        <v>563</v>
      </c>
      <c r="B4" s="3" t="s">
        <v>2</v>
      </c>
      <c r="C4" s="3" t="s">
        <v>886</v>
      </c>
      <c r="D4" s="3" t="s">
        <v>813</v>
      </c>
      <c r="E4" s="3" t="s">
        <v>887</v>
      </c>
      <c r="F4" s="3" t="s">
        <v>888</v>
      </c>
      <c r="G4" s="3" t="s">
        <v>889</v>
      </c>
      <c r="H4" s="3" t="s">
        <v>890</v>
      </c>
      <c r="I4" s="3" t="s">
        <v>23</v>
      </c>
      <c r="J4" s="3" t="s">
        <v>24</v>
      </c>
      <c r="K4" s="3" t="s">
        <v>264</v>
      </c>
    </row>
    <row r="5" customFormat="false" ht="15" hidden="false" customHeight="false" outlineLevel="0" collapsed="false">
      <c r="A5" s="33" t="s">
        <v>578</v>
      </c>
      <c r="B5" s="91" t="str">
        <f aca="false">'A_物調表候選(22案)'!A5</f>
        <v>A</v>
      </c>
      <c r="C5" s="5" t="str">
        <f aca="false">'A_物調表候選(22案)'!B5</f>
        <v>安敦國際大樓 7F ↗</v>
      </c>
      <c r="D5" s="92" t="n">
        <f aca="false">'A_物調表候選(22案)'!F5</f>
        <v>220.81</v>
      </c>
      <c r="E5" s="93" t="n">
        <f aca="false">'A_物調表候選(22案)'!I5</f>
        <v>420000</v>
      </c>
      <c r="F5" s="93" t="n">
        <f aca="false">'A_物調表候選(22案)'!F31</f>
        <v>450913</v>
      </c>
      <c r="G5" s="37" t="n">
        <f aca="false">IFERROR(E5/D5,"")</f>
        <v>1902.08776776414</v>
      </c>
      <c r="H5" s="38" t="n">
        <f aca="false">F5-400000</f>
        <v>50913</v>
      </c>
      <c r="I5" s="33" t="s">
        <v>891</v>
      </c>
      <c r="J5" s="13" t="s">
        <v>37</v>
      </c>
      <c r="K5" s="39" t="s">
        <v>331</v>
      </c>
    </row>
    <row r="6" customFormat="false" ht="15" hidden="false" customHeight="false" outlineLevel="0" collapsed="false">
      <c r="A6" s="33" t="s">
        <v>578</v>
      </c>
      <c r="B6" s="91" t="str">
        <f aca="false">'A_物調表候選(22案)'!A6</f>
        <v>B</v>
      </c>
      <c r="C6" s="5" t="str">
        <f aca="false">'A_物調表候選(22案)'!B6</f>
        <v>中鼎大樓 15F之1 ↗</v>
      </c>
      <c r="D6" s="92" t="n">
        <f aca="false">'A_物調表候選(22案)'!F6</f>
        <v>232.22</v>
      </c>
      <c r="E6" s="93" t="n">
        <f aca="false">'A_物調表候選(22案)'!I6</f>
        <v>451087</v>
      </c>
      <c r="F6" s="93" t="n">
        <f aca="false">'A_物調表候選(22案)'!F32</f>
        <v>494098</v>
      </c>
      <c r="G6" s="37" t="n">
        <f aca="false">IFERROR(E6/D6,"")</f>
        <v>1942.49849280854</v>
      </c>
      <c r="H6" s="38" t="n">
        <f aca="false">F6-400000</f>
        <v>94098</v>
      </c>
      <c r="I6" s="33" t="s">
        <v>891</v>
      </c>
      <c r="J6" s="14" t="s">
        <v>48</v>
      </c>
      <c r="K6" s="39" t="s">
        <v>272</v>
      </c>
    </row>
    <row r="7" customFormat="false" ht="15" hidden="false" customHeight="false" outlineLevel="0" collapsed="false">
      <c r="A7" s="33" t="s">
        <v>578</v>
      </c>
      <c r="B7" s="91" t="str">
        <f aca="false">'A_物調表候選(22案)'!A7</f>
        <v>C</v>
      </c>
      <c r="C7" s="5" t="str">
        <f aca="false">'A_物調表候選(22案)'!B7</f>
        <v>旭寶大樓 5F ↗</v>
      </c>
      <c r="D7" s="92" t="n">
        <f aca="false">'A_物調表候選(22案)'!F7</f>
        <v>282.06</v>
      </c>
      <c r="E7" s="93" t="n">
        <f aca="false">'A_物調表候選(22案)'!I7</f>
        <v>472500</v>
      </c>
      <c r="F7" s="93" t="n">
        <f aca="false">'A_物調表候選(22案)'!F33</f>
        <v>506347</v>
      </c>
      <c r="G7" s="37" t="n">
        <f aca="false">IFERROR(E7/D7,"")</f>
        <v>1675.17549457562</v>
      </c>
      <c r="H7" s="38" t="n">
        <f aca="false">F7-400000</f>
        <v>106347</v>
      </c>
      <c r="I7" s="33" t="s">
        <v>891</v>
      </c>
      <c r="J7" s="14" t="s">
        <v>57</v>
      </c>
      <c r="K7" s="39" t="s">
        <v>450</v>
      </c>
    </row>
    <row r="8" customFormat="false" ht="15" hidden="false" customHeight="false" outlineLevel="0" collapsed="false">
      <c r="A8" s="33" t="s">
        <v>578</v>
      </c>
      <c r="B8" s="91" t="str">
        <f aca="false">'A_物調表候選(22案)'!A8</f>
        <v>D</v>
      </c>
      <c r="C8" s="5" t="str">
        <f aca="false">'A_物調表候選(22案)'!B8</f>
        <v>敦化財經大樓 4F之1 ↗</v>
      </c>
      <c r="D8" s="92" t="n">
        <f aca="false">'A_物調表候選(22案)'!F8</f>
        <v>220.07</v>
      </c>
      <c r="E8" s="93" t="n">
        <f aca="false">'A_物調表候選(22案)'!I8</f>
        <v>440140</v>
      </c>
      <c r="F8" s="93" t="n">
        <f aca="false">'A_物調表候選(22案)'!F34</f>
        <v>496555</v>
      </c>
      <c r="G8" s="37" t="n">
        <f aca="false">IFERROR(E8/D8,"")</f>
        <v>2000</v>
      </c>
      <c r="H8" s="38" t="n">
        <f aca="false">F8-400000</f>
        <v>96555</v>
      </c>
      <c r="I8" s="33" t="s">
        <v>891</v>
      </c>
      <c r="J8" s="13" t="s">
        <v>68</v>
      </c>
      <c r="K8" s="39" t="s">
        <v>495</v>
      </c>
    </row>
    <row r="9" customFormat="false" ht="15" hidden="false" customHeight="false" outlineLevel="0" collapsed="false">
      <c r="A9" s="33" t="s">
        <v>578</v>
      </c>
      <c r="B9" s="91" t="str">
        <f aca="false">'A_物調表候選(22案)'!A9</f>
        <v>E</v>
      </c>
      <c r="C9" s="5" t="str">
        <f aca="false">'A_物調表候選(22案)'!B9</f>
        <v>國泰世華銀行大樓 6F ↗</v>
      </c>
      <c r="D9" s="92" t="n">
        <f aca="false">'A_物調表候選(22案)'!F9</f>
        <v>265.72</v>
      </c>
      <c r="E9" s="93" t="n">
        <f aca="false">'A_物調表候選(22案)'!I9</f>
        <v>502211</v>
      </c>
      <c r="F9" s="93" t="n">
        <f aca="false">'A_物調表候選(22案)'!F35</f>
        <v>542069</v>
      </c>
      <c r="G9" s="37" t="n">
        <f aca="false">IFERROR(E9/D9,"")</f>
        <v>1890.00075267199</v>
      </c>
      <c r="H9" s="38" t="n">
        <f aca="false">F9-400000</f>
        <v>142069</v>
      </c>
      <c r="I9" s="33" t="s">
        <v>891</v>
      </c>
      <c r="J9" s="14" t="s">
        <v>78</v>
      </c>
      <c r="K9" s="39" t="s">
        <v>450</v>
      </c>
    </row>
    <row r="10" customFormat="false" ht="15" hidden="false" customHeight="false" outlineLevel="0" collapsed="false">
      <c r="A10" s="33" t="s">
        <v>578</v>
      </c>
      <c r="B10" s="91" t="str">
        <f aca="false">'A_物調表候選(22案)'!A10</f>
        <v>F</v>
      </c>
      <c r="C10" s="5" t="str">
        <f aca="false">'A_物調表候選(22案)'!B10</f>
        <v>友聯大樓 5F ↗</v>
      </c>
      <c r="D10" s="92" t="n">
        <f aca="false">'A_物調表候選(22案)'!F10</f>
        <v>203.26</v>
      </c>
      <c r="E10" s="93" t="n">
        <f aca="false">'A_物調表候選(22案)'!I10</f>
        <v>405504</v>
      </c>
      <c r="F10" s="93" t="n">
        <f aca="false">'A_物調表候選(22案)'!F36</f>
        <v>413004</v>
      </c>
      <c r="G10" s="37" t="n">
        <f aca="false">IFERROR(E10/D10,"")</f>
        <v>1995.00147594214</v>
      </c>
      <c r="H10" s="38" t="n">
        <f aca="false">F10-400000</f>
        <v>13004</v>
      </c>
      <c r="I10" s="33" t="s">
        <v>891</v>
      </c>
      <c r="J10" s="14" t="s">
        <v>87</v>
      </c>
      <c r="K10" s="39" t="s">
        <v>411</v>
      </c>
    </row>
    <row r="11" customFormat="false" ht="15" hidden="false" customHeight="false" outlineLevel="0" collapsed="false">
      <c r="A11" s="33" t="s">
        <v>578</v>
      </c>
      <c r="B11" s="91" t="str">
        <f aca="false">'A_物調表候選(22案)'!A11</f>
        <v>G</v>
      </c>
      <c r="C11" s="5" t="str">
        <f aca="false">'A_物調表候選(22案)'!B11</f>
        <v>白宮企業大樓 5F ↗</v>
      </c>
      <c r="D11" s="92" t="n">
        <f aca="false">'A_物調表候選(22案)'!F11</f>
        <v>207.04</v>
      </c>
      <c r="E11" s="93" t="n">
        <f aca="false">'A_物調表候選(22案)'!I11</f>
        <v>360150</v>
      </c>
      <c r="F11" s="93" t="n">
        <f aca="false">'A_物調表候選(22案)'!F37</f>
        <v>389134</v>
      </c>
      <c r="G11" s="37" t="n">
        <f aca="false">IFERROR(E11/D11,"")</f>
        <v>1739.51893353941</v>
      </c>
      <c r="H11" s="38" t="n">
        <f aca="false">F11-400000</f>
        <v>-10866</v>
      </c>
      <c r="I11" s="33" t="s">
        <v>891</v>
      </c>
      <c r="J11" s="14" t="s">
        <v>95</v>
      </c>
      <c r="K11" s="39" t="s">
        <v>366</v>
      </c>
    </row>
    <row r="12" customFormat="false" ht="15" hidden="false" customHeight="false" outlineLevel="0" collapsed="false">
      <c r="A12" s="33" t="s">
        <v>578</v>
      </c>
      <c r="B12" s="91" t="str">
        <f aca="false">'A_物調表候選(22案)'!A12</f>
        <v>H</v>
      </c>
      <c r="C12" s="17" t="str">
        <f aca="false">'A_物調表候選(22案)'!B12</f>
        <v>591 光復南路 7F ↗</v>
      </c>
      <c r="D12" s="92" t="n">
        <f aca="false">'A_物調表候選(22案)'!F12</f>
        <v>211</v>
      </c>
      <c r="E12" s="93" t="n">
        <f aca="false">'A_物調表候選(22案)'!I12</f>
        <v>400000</v>
      </c>
      <c r="F12" s="93" t="n">
        <f aca="false">'A_物調表候選(22案)'!F38</f>
        <v>417935</v>
      </c>
      <c r="G12" s="37" t="n">
        <f aca="false">IFERROR(E12/D12,"")</f>
        <v>1895.7345971564</v>
      </c>
      <c r="H12" s="38" t="n">
        <f aca="false">F12-400000</f>
        <v>17935</v>
      </c>
      <c r="I12" s="33" t="s">
        <v>891</v>
      </c>
      <c r="J12" s="13" t="s">
        <v>104</v>
      </c>
      <c r="K12" s="41" t="s">
        <v>83</v>
      </c>
    </row>
    <row r="13" customFormat="false" ht="15" hidden="false" customHeight="false" outlineLevel="0" collapsed="false">
      <c r="A13" s="33" t="s">
        <v>578</v>
      </c>
      <c r="B13" s="91" t="str">
        <f aca="false">'A_物調表候選(22案)'!A13</f>
        <v>I</v>
      </c>
      <c r="C13" s="5" t="str">
        <f aca="false">'A_物調表候選(22案)'!B13</f>
        <v>信義 光復北路新大樓 5F ↗</v>
      </c>
      <c r="D13" s="92" t="n">
        <f aca="false">'A_物調表候選(22案)'!F13</f>
        <v>203.56</v>
      </c>
      <c r="E13" s="93" t="n">
        <f aca="false">'A_物調表候選(22案)'!I13</f>
        <v>305340</v>
      </c>
      <c r="F13" s="93" t="n">
        <f aca="false">'A_物調表候選(22案)'!F39</f>
        <v>337910</v>
      </c>
      <c r="G13" s="37" t="n">
        <f aca="false">IFERROR(E13/D13,"")</f>
        <v>1500</v>
      </c>
      <c r="H13" s="38" t="n">
        <f aca="false">F13-400000</f>
        <v>-62090</v>
      </c>
      <c r="I13" s="33" t="s">
        <v>891</v>
      </c>
      <c r="J13" s="14" t="s">
        <v>114</v>
      </c>
      <c r="K13" s="39" t="s">
        <v>408</v>
      </c>
    </row>
    <row r="14" customFormat="false" ht="15" hidden="false" customHeight="false" outlineLevel="0" collapsed="false">
      <c r="A14" s="33" t="s">
        <v>578</v>
      </c>
      <c r="B14" s="91" t="str">
        <f aca="false">'A_物調表候選(22案)'!A14</f>
        <v>Y1</v>
      </c>
      <c r="C14" s="5" t="str">
        <f aca="false">'A_物調表候選(22案)'!B14</f>
        <v>永慶 安敦國際大樓 14F ↗</v>
      </c>
      <c r="D14" s="92" t="n">
        <f aca="false">'A_物調表候選(22案)'!F14</f>
        <v>224.18</v>
      </c>
      <c r="E14" s="93" t="n">
        <f aca="false">'A_物調表候選(22案)'!I14</f>
        <v>448000</v>
      </c>
      <c r="F14" s="93" t="n">
        <f aca="false">'A_物調表候選(22案)'!F40</f>
        <v>480000</v>
      </c>
      <c r="G14" s="37" t="n">
        <f aca="false">IFERROR(E14/D14,"")</f>
        <v>1998.39414756</v>
      </c>
      <c r="H14" s="38" t="n">
        <f aca="false">F14-400000</f>
        <v>80000</v>
      </c>
      <c r="I14" s="33" t="s">
        <v>891</v>
      </c>
      <c r="J14" s="14" t="s">
        <v>124</v>
      </c>
      <c r="K14" s="39" t="s">
        <v>319</v>
      </c>
    </row>
    <row r="15" customFormat="false" ht="15" hidden="false" customHeight="false" outlineLevel="0" collapsed="false">
      <c r="A15" s="33" t="s">
        <v>578</v>
      </c>
      <c r="B15" s="91" t="str">
        <f aca="false">'A_物調表候選(22案)'!A15</f>
        <v>Y2</v>
      </c>
      <c r="C15" s="5" t="str">
        <f aca="false">'A_物調表候選(22案)'!B15</f>
        <v>永慶／信義 家美金融大樓 15F ↗</v>
      </c>
      <c r="D15" s="92" t="n">
        <f aca="false">'A_物調表候選(22案)'!F15</f>
        <v>208.96</v>
      </c>
      <c r="E15" s="93" t="n">
        <f aca="false">'A_物調表候選(22案)'!I15</f>
        <v>398000</v>
      </c>
      <c r="F15" s="93" t="n">
        <f aca="false">'A_物調表候選(22案)'!F41</f>
        <v>434435</v>
      </c>
      <c r="G15" s="37" t="n">
        <f aca="false">IFERROR(E15/D15,"")</f>
        <v>1904.67075038285</v>
      </c>
      <c r="H15" s="38" t="n">
        <f aca="false">F15-400000</f>
        <v>34435</v>
      </c>
      <c r="I15" s="33" t="s">
        <v>891</v>
      </c>
      <c r="J15" s="14" t="s">
        <v>136</v>
      </c>
      <c r="K15" s="39" t="s">
        <v>363</v>
      </c>
    </row>
    <row r="16" customFormat="false" ht="15" hidden="false" customHeight="false" outlineLevel="0" collapsed="false">
      <c r="A16" s="33" t="s">
        <v>578</v>
      </c>
      <c r="B16" s="91" t="str">
        <f aca="false">'A_物調表候選(22案)'!A16</f>
        <v>S03</v>
      </c>
      <c r="C16" s="5" t="str">
        <f aca="false">'A_物調表候選(22案)'!B16</f>
        <v>信義 敦北長城大樓 3F ↗</v>
      </c>
      <c r="D16" s="92" t="n">
        <f aca="false">'A_物調表候選(22案)'!F16</f>
        <v>225.83</v>
      </c>
      <c r="E16" s="93" t="n">
        <f aca="false">'A_物調表候選(22案)'!I16</f>
        <v>474500</v>
      </c>
      <c r="F16" s="93" t="n">
        <f aca="false">'A_物調表候選(22案)'!F42</f>
        <v>501600</v>
      </c>
      <c r="G16" s="37" t="n">
        <f aca="false">IFERROR(E16/D16,"")</f>
        <v>2101.13802417748</v>
      </c>
      <c r="H16" s="38" t="n">
        <f aca="false">F16-400000</f>
        <v>101600</v>
      </c>
      <c r="I16" s="33" t="s">
        <v>891</v>
      </c>
      <c r="J16" s="14" t="s">
        <v>146</v>
      </c>
      <c r="K16" s="39" t="s">
        <v>492</v>
      </c>
    </row>
    <row r="17" customFormat="false" ht="15" hidden="false" customHeight="false" outlineLevel="0" collapsed="false">
      <c r="A17" s="33" t="s">
        <v>578</v>
      </c>
      <c r="B17" s="91" t="str">
        <f aca="false">'A_物調表候選(22案)'!A17</f>
        <v>S04</v>
      </c>
      <c r="C17" s="5" t="str">
        <f aca="false">'A_物調表候選(22案)'!B17</f>
        <v>信義 光復南路大坪數辦公 6F ↗</v>
      </c>
      <c r="D17" s="92" t="n">
        <f aca="false">'A_物調表候選(22案)'!F17</f>
        <v>211.38</v>
      </c>
      <c r="E17" s="93" t="n">
        <f aca="false">'A_物調表候選(22案)'!I17</f>
        <v>388500</v>
      </c>
      <c r="F17" s="93" t="n">
        <f aca="false">'A_物調表候選(22案)'!F43</f>
        <v>405500</v>
      </c>
      <c r="G17" s="37" t="n">
        <f aca="false">IFERROR(E17/D17,"")</f>
        <v>1837.9222253761</v>
      </c>
      <c r="H17" s="38" t="n">
        <f aca="false">F17-400000</f>
        <v>5500</v>
      </c>
      <c r="I17" s="33" t="s">
        <v>891</v>
      </c>
      <c r="J17" s="14" t="s">
        <v>156</v>
      </c>
      <c r="K17" s="39" t="s">
        <v>334</v>
      </c>
    </row>
    <row r="18" customFormat="false" ht="15" hidden="false" customHeight="false" outlineLevel="0" collapsed="false">
      <c r="A18" s="33" t="s">
        <v>578</v>
      </c>
      <c r="B18" s="91" t="str">
        <f aca="false">'A_物調表候選(22案)'!A18</f>
        <v>S05</v>
      </c>
      <c r="C18" s="5" t="str">
        <f aca="false">'A_物調表候選(22案)'!B18</f>
        <v>信義 中山區大辦公室＋大倉儲 10F ↗</v>
      </c>
      <c r="D18" s="92" t="n">
        <f aca="false">'A_物調表候選(22案)'!F18</f>
        <v>278.04</v>
      </c>
      <c r="E18" s="93" t="n">
        <f aca="false">'A_物調表候選(22案)'!I18</f>
        <v>388500</v>
      </c>
      <c r="F18" s="93" t="n">
        <f aca="false">'A_物調表候選(22案)'!F44</f>
        <v>431000</v>
      </c>
      <c r="G18" s="37" t="n">
        <f aca="false">IFERROR(E18/D18,"")</f>
        <v>1397.28096676737</v>
      </c>
      <c r="H18" s="38" t="n">
        <f aca="false">F18-400000</f>
        <v>31000</v>
      </c>
      <c r="I18" s="33" t="s">
        <v>891</v>
      </c>
      <c r="J18" s="14" t="s">
        <v>167</v>
      </c>
      <c r="K18" s="39" t="s">
        <v>272</v>
      </c>
    </row>
    <row r="19" customFormat="false" ht="15" hidden="false" customHeight="false" outlineLevel="0" collapsed="false">
      <c r="A19" s="33" t="s">
        <v>578</v>
      </c>
      <c r="B19" s="91" t="str">
        <f aca="false">'A_物調表候選(22案)'!A19</f>
        <v>S06</v>
      </c>
      <c r="C19" s="5" t="str">
        <f aca="false">'A_物調表候選(22案)'!B19</f>
        <v>信義 八德正核心大辦公室 7F ↗</v>
      </c>
      <c r="D19" s="92" t="n">
        <f aca="false">'A_物調表候選(22案)'!F19</f>
        <v>254.06</v>
      </c>
      <c r="E19" s="93" t="n">
        <f aca="false">'A_物調表候選(22案)'!I19</f>
        <v>381090</v>
      </c>
      <c r="F19" s="93" t="n">
        <f aca="false">'A_物調表候選(22案)'!F45</f>
        <v>423010</v>
      </c>
      <c r="G19" s="37" t="n">
        <f aca="false">IFERROR(E19/D19,"")</f>
        <v>1500</v>
      </c>
      <c r="H19" s="38" t="n">
        <f aca="false">F19-400000</f>
        <v>23010</v>
      </c>
      <c r="I19" s="33" t="s">
        <v>891</v>
      </c>
      <c r="J19" s="14" t="s">
        <v>175</v>
      </c>
      <c r="K19" s="39" t="s">
        <v>269</v>
      </c>
    </row>
    <row r="20" customFormat="false" ht="15" hidden="false" customHeight="false" outlineLevel="0" collapsed="false">
      <c r="A20" s="33" t="s">
        <v>578</v>
      </c>
      <c r="B20" s="91" t="str">
        <f aca="false">'A_物調表候選(22案)'!A20</f>
        <v>S07</v>
      </c>
      <c r="C20" s="5" t="str">
        <f aca="false">'A_物調表候選(22案)'!B20</f>
        <v>信義 明水路營業用商辦 4F ↗</v>
      </c>
      <c r="D20" s="92" t="n">
        <f aca="false">'A_物調表候選(22案)'!F20</f>
        <v>253.16</v>
      </c>
      <c r="E20" s="93" t="n">
        <f aca="false">'A_物調表候選(22案)'!I20</f>
        <v>350000</v>
      </c>
      <c r="F20" s="93" t="n">
        <f aca="false">'A_物調表候選(22案)'!F46</f>
        <v>386676</v>
      </c>
      <c r="G20" s="37" t="n">
        <f aca="false">IFERROR(E20/D20,"")</f>
        <v>1382.52488544794</v>
      </c>
      <c r="H20" s="38" t="n">
        <f aca="false">F20-400000</f>
        <v>-13324</v>
      </c>
      <c r="I20" s="33" t="s">
        <v>891</v>
      </c>
      <c r="J20" s="14" t="s">
        <v>185</v>
      </c>
      <c r="K20" s="39" t="s">
        <v>290</v>
      </c>
    </row>
    <row r="21" customFormat="false" ht="15" hidden="false" customHeight="false" outlineLevel="0" collapsed="false">
      <c r="A21" s="33" t="s">
        <v>578</v>
      </c>
      <c r="B21" s="91" t="str">
        <f aca="false">'A_物調表候選(22案)'!A21</f>
        <v>S08</v>
      </c>
      <c r="C21" s="5" t="str">
        <f aca="false">'A_物調表候選(22案)'!B21</f>
        <v>信義 國票大樓 15F C ↗</v>
      </c>
      <c r="D21" s="92" t="n">
        <f aca="false">'A_物調表候選(22案)'!F21</f>
        <v>213.3</v>
      </c>
      <c r="E21" s="93" t="n">
        <f aca="false">'A_物調表候選(22案)'!I21</f>
        <v>467500</v>
      </c>
      <c r="F21" s="93" t="n">
        <f aca="false">'A_物調表候選(22案)'!F47</f>
        <v>501100</v>
      </c>
      <c r="G21" s="37" t="n">
        <f aca="false">IFERROR(E21/D21,"")</f>
        <v>2191.74871073605</v>
      </c>
      <c r="H21" s="38" t="n">
        <f aca="false">F21-400000</f>
        <v>101100</v>
      </c>
      <c r="I21" s="33" t="s">
        <v>891</v>
      </c>
      <c r="J21" s="14" t="s">
        <v>194</v>
      </c>
      <c r="K21" s="39" t="s">
        <v>507</v>
      </c>
    </row>
    <row r="22" customFormat="false" ht="15" hidden="false" customHeight="false" outlineLevel="0" collapsed="false">
      <c r="A22" s="33" t="s">
        <v>578</v>
      </c>
      <c r="B22" s="91" t="str">
        <f aca="false">'A_物調表候選(22案)'!A22</f>
        <v>S11</v>
      </c>
      <c r="C22" s="5" t="str">
        <f aca="false">'A_物調表候選(22案)'!B22</f>
        <v>信義 雙捷核心八德經典商辦 5F ↗</v>
      </c>
      <c r="D22" s="92" t="n">
        <f aca="false">'A_物調表候選(22案)'!F22</f>
        <v>285.67</v>
      </c>
      <c r="E22" s="93" t="n">
        <f aca="false">'A_物調表候選(22案)'!I22</f>
        <v>428505</v>
      </c>
      <c r="F22" s="93" t="n">
        <f aca="false">'A_物調表候選(22案)'!F48</f>
        <v>428505</v>
      </c>
      <c r="G22" s="37" t="n">
        <f aca="false">IFERROR(E22/D22,"")</f>
        <v>1500</v>
      </c>
      <c r="H22" s="38" t="n">
        <f aca="false">F22-400000</f>
        <v>28505</v>
      </c>
      <c r="I22" s="33" t="s">
        <v>891</v>
      </c>
      <c r="J22" s="14" t="s">
        <v>201</v>
      </c>
      <c r="K22" s="39" t="s">
        <v>269</v>
      </c>
    </row>
    <row r="23" customFormat="false" ht="15" hidden="false" customHeight="false" outlineLevel="0" collapsed="false">
      <c r="A23" s="33" t="s">
        <v>578</v>
      </c>
      <c r="B23" s="91" t="str">
        <f aca="false">'A_物調表候選(22案)'!A23</f>
        <v>S12</v>
      </c>
      <c r="C23" s="5" t="str">
        <f aca="false">'A_物調表候選(22案)'!B23</f>
        <v>信義 信義大樓 21F ↗</v>
      </c>
      <c r="D23" s="92" t="n">
        <f aca="false">'A_物調表候選(22案)'!F23</f>
        <v>265.82</v>
      </c>
      <c r="E23" s="93" t="n">
        <f aca="false">'A_物調表候選(22案)'!I23</f>
        <v>544931</v>
      </c>
      <c r="F23" s="93" t="n">
        <f aca="false">'A_物調表候選(22案)'!F49</f>
        <v>544931</v>
      </c>
      <c r="G23" s="37" t="n">
        <f aca="false">IFERROR(E23/D23,"")</f>
        <v>2050</v>
      </c>
      <c r="H23" s="38" t="n">
        <f aca="false">F23-400000</f>
        <v>144931</v>
      </c>
      <c r="I23" s="33" t="s">
        <v>891</v>
      </c>
      <c r="J23" s="14" t="s">
        <v>211</v>
      </c>
      <c r="K23" s="39" t="s">
        <v>292</v>
      </c>
    </row>
    <row r="24" customFormat="false" ht="15" hidden="false" customHeight="false" outlineLevel="0" collapsed="false">
      <c r="A24" s="33" t="s">
        <v>578</v>
      </c>
      <c r="B24" s="91" t="str">
        <f aca="false">'A_物調表候選(22案)'!A24</f>
        <v>S13</v>
      </c>
      <c r="C24" s="5" t="str">
        <f aca="false">'A_物調表候選(22案)'!B24</f>
        <v>信義 環球世貿 10F ↗</v>
      </c>
      <c r="D24" s="92" t="n">
        <f aca="false">'A_物調表候選(22案)'!F24</f>
        <v>266.36</v>
      </c>
      <c r="E24" s="93" t="n">
        <f aca="false">'A_物調表候選(22案)'!I24</f>
        <v>560000</v>
      </c>
      <c r="F24" s="93" t="n">
        <f aca="false">'A_物調表候選(22案)'!F50</f>
        <v>560000</v>
      </c>
      <c r="G24" s="37" t="n">
        <f aca="false">IFERROR(E24/D24,"")</f>
        <v>2102.41778044751</v>
      </c>
      <c r="H24" s="38" t="n">
        <f aca="false">F24-400000</f>
        <v>160000</v>
      </c>
      <c r="I24" s="33" t="s">
        <v>891</v>
      </c>
      <c r="J24" s="14" t="s">
        <v>220</v>
      </c>
      <c r="K24" s="39" t="s">
        <v>292</v>
      </c>
    </row>
    <row r="25" customFormat="false" ht="15" hidden="false" customHeight="false" outlineLevel="0" collapsed="false">
      <c r="A25" s="33" t="s">
        <v>578</v>
      </c>
      <c r="B25" s="91" t="str">
        <f aca="false">'A_物調表候選(22案)'!A25</f>
        <v>S14</v>
      </c>
      <c r="C25" s="5" t="str">
        <f aca="false">'A_物調表候選(22案)'!B25</f>
        <v>信義 復興南路稀有大空間地下室 B1 ↗</v>
      </c>
      <c r="D25" s="92" t="n">
        <f aca="false">'A_物調表候選(22案)'!F25</f>
        <v>277.81</v>
      </c>
      <c r="E25" s="93" t="n">
        <f aca="false">'A_物調表候選(22案)'!I25</f>
        <v>300000</v>
      </c>
      <c r="F25" s="93" t="n">
        <f aca="false">'A_物調表候選(22案)'!F51</f>
        <v>300000</v>
      </c>
      <c r="G25" s="37" t="n">
        <f aca="false">IFERROR(E25/D25,"")</f>
        <v>1079.87473453079</v>
      </c>
      <c r="H25" s="38" t="n">
        <f aca="false">F25-400000</f>
        <v>-100000</v>
      </c>
      <c r="I25" s="33" t="s">
        <v>891</v>
      </c>
      <c r="J25" s="14" t="s">
        <v>228</v>
      </c>
      <c r="K25" s="39" t="s">
        <v>453</v>
      </c>
    </row>
    <row r="26" customFormat="false" ht="15" hidden="false" customHeight="false" outlineLevel="0" collapsed="false">
      <c r="A26" s="33" t="s">
        <v>578</v>
      </c>
      <c r="B26" s="91" t="str">
        <f aca="false">'A_物調表候選(22案)'!A26</f>
        <v>S15</v>
      </c>
      <c r="C26" s="5" t="str">
        <f aca="false">'A_物調表候選(22案)'!B26</f>
        <v>信義 永春地下大空間店商辦 B1 ↗</v>
      </c>
      <c r="D26" s="92" t="n">
        <f aca="false">'A_物調表候選(22案)'!F26</f>
        <v>213.56</v>
      </c>
      <c r="E26" s="93" t="n">
        <f aca="false">'A_物調表候選(22案)'!I26</f>
        <v>218000</v>
      </c>
      <c r="F26" s="93" t="n">
        <f aca="false">'A_物調表候選(22案)'!F52</f>
        <v>236980</v>
      </c>
      <c r="G26" s="37" t="n">
        <f aca="false">IFERROR(E26/D26,"")</f>
        <v>1020.79041018917</v>
      </c>
      <c r="H26" s="38" t="n">
        <f aca="false">F26-400000</f>
        <v>-163020</v>
      </c>
      <c r="I26" s="33" t="s">
        <v>891</v>
      </c>
      <c r="J26" s="14" t="s">
        <v>237</v>
      </c>
      <c r="K26" s="39" t="s">
        <v>411</v>
      </c>
    </row>
    <row r="27" customFormat="false" ht="15" hidden="false" customHeight="false" outlineLevel="0" collapsed="false">
      <c r="A27" s="94" t="s">
        <v>621</v>
      </c>
      <c r="B27" s="91" t="str">
        <f aca="false">'I_HouseWeb(10件)'!A5</f>
        <v>W01</v>
      </c>
      <c r="C27" s="5" t="str">
        <f aca="false">'I_HouseWeb(10件)'!D5&amp;" "&amp;'I_HouseWeb(10件)'!E5</f>
        <v>敦南商圈(路名未揭露) —/27F(B4)</v>
      </c>
      <c r="D27" s="92" t="n">
        <f aca="false">'I_HouseWeb(10件)'!F5</f>
        <v>204</v>
      </c>
      <c r="E27" s="93" t="n">
        <f aca="false">'I_HouseWeb(10件)'!G5</f>
        <v>469000</v>
      </c>
      <c r="F27" s="93" t="n">
        <f aca="false">'I_HouseWeb(10件)'!G5</f>
        <v>469000</v>
      </c>
      <c r="G27" s="37" t="n">
        <f aca="false">IFERROR(E27/D27,"")</f>
        <v>2299.01960784314</v>
      </c>
      <c r="H27" s="38" t="n">
        <f aca="false">F27-400000</f>
        <v>69000</v>
      </c>
      <c r="I27" s="33" t="s">
        <v>892</v>
      </c>
      <c r="J27" s="13" t="s">
        <v>406</v>
      </c>
      <c r="K27" s="39" t="s">
        <v>363</v>
      </c>
    </row>
    <row r="28" customFormat="false" ht="15" hidden="false" customHeight="false" outlineLevel="0" collapsed="false">
      <c r="A28" s="94" t="s">
        <v>621</v>
      </c>
      <c r="B28" s="91" t="str">
        <f aca="false">'I_HouseWeb(10件)'!A6</f>
        <v>W02</v>
      </c>
      <c r="C28" s="5" t="str">
        <f aca="false">'I_HouseWeb(10件)'!D6&amp;" "&amp;'I_HouseWeb(10件)'!E6</f>
        <v>八德路四段 9F/16F</v>
      </c>
      <c r="D28" s="92" t="n">
        <f aca="false">'I_HouseWeb(10件)'!F6</f>
        <v>206</v>
      </c>
      <c r="E28" s="93" t="n">
        <f aca="false">'I_HouseWeb(10件)'!G6</f>
        <v>350900</v>
      </c>
      <c r="F28" s="93" t="n">
        <f aca="false">'I_HouseWeb(10件)'!G6</f>
        <v>350900</v>
      </c>
      <c r="G28" s="37" t="n">
        <f aca="false">IFERROR(E28/D28,"")</f>
        <v>1703.39805825243</v>
      </c>
      <c r="H28" s="38" t="n">
        <f aca="false">F28-400000</f>
        <v>-49100</v>
      </c>
      <c r="I28" s="33" t="s">
        <v>892</v>
      </c>
      <c r="J28" s="13" t="s">
        <v>376</v>
      </c>
      <c r="K28" s="41" t="s">
        <v>83</v>
      </c>
    </row>
    <row r="29" customFormat="false" ht="15" hidden="false" customHeight="false" outlineLevel="0" collapsed="false">
      <c r="A29" s="94" t="s">
        <v>621</v>
      </c>
      <c r="B29" s="91" t="str">
        <f aca="false">'I_HouseWeb(10件)'!A7</f>
        <v>W03</v>
      </c>
      <c r="C29" s="5" t="str">
        <f aca="false">'I_HouseWeb(10件)'!D7&amp;" "&amp;'I_HouseWeb(10件)'!E7</f>
        <v>明水路(大直) 4F/10F</v>
      </c>
      <c r="D29" s="92" t="n">
        <f aca="false">'I_HouseWeb(10件)'!F7</f>
        <v>253</v>
      </c>
      <c r="E29" s="93" t="n">
        <f aca="false">'I_HouseWeb(10件)'!G7</f>
        <v>350000</v>
      </c>
      <c r="F29" s="93" t="n">
        <f aca="false">'I_HouseWeb(10件)'!G7</f>
        <v>350000</v>
      </c>
      <c r="G29" s="37" t="n">
        <f aca="false">IFERROR(E29/D29,"")</f>
        <v>1383.39920948617</v>
      </c>
      <c r="H29" s="38" t="n">
        <f aca="false">F29-400000</f>
        <v>-50000</v>
      </c>
      <c r="I29" s="33" t="s">
        <v>892</v>
      </c>
      <c r="J29" s="13" t="s">
        <v>285</v>
      </c>
      <c r="K29" s="41" t="s">
        <v>83</v>
      </c>
    </row>
    <row r="30" customFormat="false" ht="15" hidden="false" customHeight="false" outlineLevel="0" collapsed="false">
      <c r="A30" s="94" t="s">
        <v>621</v>
      </c>
      <c r="B30" s="91" t="str">
        <f aca="false">'I_HouseWeb(10件)'!A8</f>
        <v>W04</v>
      </c>
      <c r="C30" s="5" t="str">
        <f aca="false">'I_HouseWeb(10件)'!D8&amp;" "&amp;'I_HouseWeb(10件)'!E8</f>
        <v>植福路(大直) 9F/10F</v>
      </c>
      <c r="D30" s="92" t="n">
        <f aca="false">'I_HouseWeb(10件)'!F8</f>
        <v>203</v>
      </c>
      <c r="E30" s="93" t="n">
        <f aca="false">'I_HouseWeb(10件)'!G8</f>
        <v>446800</v>
      </c>
      <c r="F30" s="93" t="n">
        <f aca="false">'I_HouseWeb(10件)'!G8</f>
        <v>446800</v>
      </c>
      <c r="G30" s="37" t="n">
        <f aca="false">IFERROR(E30/D30,"")</f>
        <v>2200.98522167488</v>
      </c>
      <c r="H30" s="38" t="n">
        <f aca="false">F30-400000</f>
        <v>46800</v>
      </c>
      <c r="I30" s="33" t="s">
        <v>892</v>
      </c>
      <c r="J30" s="13" t="s">
        <v>419</v>
      </c>
      <c r="K30" s="41" t="s">
        <v>83</v>
      </c>
    </row>
    <row r="31" customFormat="false" ht="15" hidden="false" customHeight="false" outlineLevel="0" collapsed="false">
      <c r="A31" s="94" t="s">
        <v>621</v>
      </c>
      <c r="B31" s="91" t="str">
        <f aca="false">'I_HouseWeb(10件)'!A9</f>
        <v>W06</v>
      </c>
      <c r="C31" s="5" t="str">
        <f aca="false">'I_HouseWeb(10件)'!D9&amp;" "&amp;'I_HouseWeb(10件)'!E9</f>
        <v>明水路(大直) 4F/10F</v>
      </c>
      <c r="D31" s="92" t="n">
        <f aca="false">'I_HouseWeb(10件)'!F9</f>
        <v>252</v>
      </c>
      <c r="E31" s="93" t="n">
        <f aca="false">'I_HouseWeb(10件)'!G9</f>
        <v>380000</v>
      </c>
      <c r="F31" s="93" t="n">
        <f aca="false">'I_HouseWeb(10件)'!G9</f>
        <v>380000</v>
      </c>
      <c r="G31" s="37" t="n">
        <f aca="false">IFERROR(E31/D31,"")</f>
        <v>1507.93650793651</v>
      </c>
      <c r="H31" s="38" t="n">
        <f aca="false">F31-400000</f>
        <v>-20000</v>
      </c>
      <c r="I31" s="33" t="s">
        <v>892</v>
      </c>
      <c r="J31" s="13" t="s">
        <v>297</v>
      </c>
      <c r="K31" s="41" t="s">
        <v>83</v>
      </c>
    </row>
    <row r="32" customFormat="false" ht="15" hidden="false" customHeight="false" outlineLevel="0" collapsed="false">
      <c r="A32" s="94" t="s">
        <v>621</v>
      </c>
      <c r="B32" s="91" t="str">
        <f aca="false">'I_HouseWeb(10件)'!A10</f>
        <v>W07</v>
      </c>
      <c r="C32" s="5" t="str">
        <f aca="false">'I_HouseWeb(10件)'!D10&amp;" "&amp;'I_HouseWeb(10件)'!E10</f>
        <v>明水路(大直) 3F/10F</v>
      </c>
      <c r="D32" s="92" t="n">
        <f aca="false">'I_HouseWeb(10件)'!F10</f>
        <v>276</v>
      </c>
      <c r="E32" s="93" t="n">
        <f aca="false">'I_HouseWeb(10件)'!G10</f>
        <v>413800</v>
      </c>
      <c r="F32" s="93" t="n">
        <f aca="false">'I_HouseWeb(10件)'!G10</f>
        <v>413800</v>
      </c>
      <c r="G32" s="37" t="n">
        <f aca="false">IFERROR(E32/D32,"")</f>
        <v>1499.27536231884</v>
      </c>
      <c r="H32" s="38" t="n">
        <f aca="false">F32-400000</f>
        <v>13800</v>
      </c>
      <c r="I32" s="33" t="s">
        <v>892</v>
      </c>
      <c r="J32" s="13" t="s">
        <v>285</v>
      </c>
      <c r="K32" s="41" t="s">
        <v>83</v>
      </c>
    </row>
    <row r="33" customFormat="false" ht="15" hidden="false" customHeight="false" outlineLevel="0" collapsed="false">
      <c r="A33" s="94" t="s">
        <v>621</v>
      </c>
      <c r="B33" s="91" t="str">
        <f aca="false">'I_HouseWeb(10件)'!A11</f>
        <v>W08</v>
      </c>
      <c r="C33" s="5" t="str">
        <f aca="false">'I_HouseWeb(10件)'!D11&amp;" "&amp;'I_HouseWeb(10件)'!E11</f>
        <v>中山北路一段 17F/18F(B4)</v>
      </c>
      <c r="D33" s="92" t="n">
        <f aca="false">'I_HouseWeb(10件)'!F11</f>
        <v>203</v>
      </c>
      <c r="E33" s="93" t="n">
        <f aca="false">'I_HouseWeb(10件)'!G11*1.05</f>
        <v>490245</v>
      </c>
      <c r="F33" s="93" t="n">
        <f aca="false">'I_HouseWeb(10件)'!G11*1.05+'I_HouseWeb(10件)'!I11</f>
        <v>512575</v>
      </c>
      <c r="G33" s="37" t="n">
        <f aca="false">IFERROR(E33/D33,"")</f>
        <v>2415</v>
      </c>
      <c r="H33" s="38" t="n">
        <f aca="false">F33-400000</f>
        <v>112575</v>
      </c>
      <c r="I33" s="33" t="s">
        <v>893</v>
      </c>
      <c r="J33" s="13" t="s">
        <v>550</v>
      </c>
      <c r="K33" s="39" t="s">
        <v>537</v>
      </c>
    </row>
    <row r="34" customFormat="false" ht="15" hidden="false" customHeight="false" outlineLevel="0" collapsed="false">
      <c r="A34" s="94" t="s">
        <v>621</v>
      </c>
      <c r="B34" s="91" t="str">
        <f aca="false">'I_HouseWeb(10件)'!A12</f>
        <v>W10</v>
      </c>
      <c r="C34" s="5" t="str">
        <f aca="false">'I_HouseWeb(10件)'!D12&amp;" "&amp;'I_HouseWeb(10件)'!E12</f>
        <v>松山路 7F/10F</v>
      </c>
      <c r="D34" s="92" t="n">
        <f aca="false">'I_HouseWeb(10件)'!F12</f>
        <v>205</v>
      </c>
      <c r="E34" s="93" t="n">
        <f aca="false">'I_HouseWeb(10件)'!G12</f>
        <v>300000</v>
      </c>
      <c r="F34" s="93" t="n">
        <f aca="false">'I_HouseWeb(10件)'!G12</f>
        <v>300000</v>
      </c>
      <c r="G34" s="37" t="n">
        <f aca="false">IFERROR(E34/D34,"")</f>
        <v>1463.41463414634</v>
      </c>
      <c r="H34" s="38" t="n">
        <f aca="false">F34-400000</f>
        <v>-100000</v>
      </c>
      <c r="I34" s="33" t="s">
        <v>892</v>
      </c>
      <c r="J34" s="13" t="s">
        <v>385</v>
      </c>
      <c r="K34" s="41" t="s">
        <v>83</v>
      </c>
    </row>
    <row r="35" customFormat="false" ht="15" hidden="false" customHeight="false" outlineLevel="0" collapsed="false">
      <c r="A35" s="94" t="s">
        <v>621</v>
      </c>
      <c r="B35" s="91" t="str">
        <f aca="false">'I_HouseWeb(10件)'!A13</f>
        <v>W11</v>
      </c>
      <c r="C35" s="17" t="str">
        <f aca="false">'I_HouseWeb(10件)'!D13&amp;" "&amp;'I_HouseWeb(10件)'!E13</f>
        <v>光復南路 7F/11F(B2)</v>
      </c>
      <c r="D35" s="92" t="n">
        <f aca="false">'I_HouseWeb(10件)'!F13</f>
        <v>211</v>
      </c>
      <c r="E35" s="93" t="n">
        <f aca="false">'I_HouseWeb(10件)'!G13</f>
        <v>400000</v>
      </c>
      <c r="F35" s="93" t="n">
        <f aca="false">'I_HouseWeb(10件)'!G13</f>
        <v>400000</v>
      </c>
      <c r="G35" s="37" t="n">
        <f aca="false">IFERROR(E35/D35,"")</f>
        <v>1895.7345971564</v>
      </c>
      <c r="H35" s="38" t="n">
        <f aca="false">F35-400000</f>
        <v>0</v>
      </c>
      <c r="I35" s="33" t="s">
        <v>892</v>
      </c>
      <c r="J35" s="13" t="s">
        <v>516</v>
      </c>
      <c r="K35" s="41" t="s">
        <v>83</v>
      </c>
    </row>
    <row r="36" customFormat="false" ht="15" hidden="false" customHeight="false" outlineLevel="0" collapsed="false">
      <c r="A36" s="94" t="s">
        <v>621</v>
      </c>
      <c r="B36" s="91" t="str">
        <f aca="false">'I_HouseWeb(10件)'!A14</f>
        <v>W13</v>
      </c>
      <c r="C36" s="5" t="str">
        <f aca="false">'I_HouseWeb(10件)'!D14&amp;" "&amp;'I_HouseWeb(10件)'!E14</f>
        <v>林森北路 6F/11F(B2)</v>
      </c>
      <c r="D36" s="92" t="n">
        <f aca="false">'I_HouseWeb(10件)'!F14</f>
        <v>200.79</v>
      </c>
      <c r="E36" s="93" t="n">
        <f aca="false">'I_HouseWeb(10件)'!G14</f>
        <v>320000</v>
      </c>
      <c r="F36" s="93" t="n">
        <f aca="false">'I_HouseWeb(10件)'!G14</f>
        <v>320000</v>
      </c>
      <c r="G36" s="37" t="n">
        <f aca="false">IFERROR(E36/D36,"")</f>
        <v>1593.70486578017</v>
      </c>
      <c r="H36" s="38" t="n">
        <f aca="false">F36-400000</f>
        <v>-80000</v>
      </c>
      <c r="I36" s="33" t="s">
        <v>892</v>
      </c>
      <c r="J36" s="13" t="s">
        <v>285</v>
      </c>
      <c r="K36" s="41" t="s">
        <v>83</v>
      </c>
    </row>
    <row r="37" customFormat="false" ht="15" hidden="false" customHeight="false" outlineLevel="0" collapsed="false">
      <c r="A37" s="33" t="s">
        <v>304</v>
      </c>
      <c r="B37" s="91" t="str">
        <f aca="false">'B_傑森愛華清單(18件)'!A5</f>
        <v>J01</v>
      </c>
      <c r="C37" s="5" t="str">
        <f aca="false">'B_傑森愛華清單(18件)'!B5&amp;" "&amp;'B_傑森愛華清單(18件)'!C5&amp;"F"</f>
        <v>信義路5段(環球) ↗ 18F</v>
      </c>
      <c r="D37" s="92" t="n">
        <f aca="false">'B_傑森愛華清單(18件)'!D5</f>
        <v>201</v>
      </c>
      <c r="E37" s="93" t="n">
        <f aca="false">'B_傑森愛華清單(18件)'!G5</f>
        <v>401100</v>
      </c>
      <c r="F37" s="93" t="n">
        <f aca="false">'B_傑森愛華清單(18件)'!G5</f>
        <v>401100</v>
      </c>
      <c r="G37" s="37" t="n">
        <f aca="false">IFERROR(E37/D37,"")</f>
        <v>1995.5223880597</v>
      </c>
      <c r="H37" s="38" t="n">
        <f aca="false">F37-400000</f>
        <v>1100</v>
      </c>
      <c r="I37" s="33" t="s">
        <v>894</v>
      </c>
      <c r="J37" s="14" t="s">
        <v>394</v>
      </c>
      <c r="K37" s="41" t="s">
        <v>83</v>
      </c>
    </row>
    <row r="38" customFormat="false" ht="15" hidden="false" customHeight="false" outlineLevel="0" collapsed="false">
      <c r="A38" s="33" t="s">
        <v>304</v>
      </c>
      <c r="B38" s="91" t="str">
        <f aca="false">'B_傑森愛華清單(18件)'!A6</f>
        <v>J02</v>
      </c>
      <c r="C38" s="5" t="str">
        <f aca="false">'B_傑森愛華清單(18件)'!B6&amp;" "&amp;'B_傑森愛華清單(18件)'!C6&amp;"F"</f>
        <v>南京東路5段近三民站 ↗ 5F</v>
      </c>
      <c r="D38" s="92" t="n">
        <f aca="false">'B_傑森愛華清單(18件)'!D6</f>
        <v>204</v>
      </c>
      <c r="E38" s="93" t="n">
        <f aca="false">'B_傑森愛華清單(18件)'!G6</f>
        <v>404985</v>
      </c>
      <c r="F38" s="93" t="n">
        <f aca="false">'B_傑森愛華清單(18件)'!G6</f>
        <v>404985</v>
      </c>
      <c r="G38" s="37" t="n">
        <f aca="false">IFERROR(E38/D38,"")</f>
        <v>1985.22058823529</v>
      </c>
      <c r="H38" s="38" t="n">
        <f aca="false">F38-400000</f>
        <v>4985</v>
      </c>
      <c r="I38" s="33" t="s">
        <v>894</v>
      </c>
      <c r="J38" s="14" t="s">
        <v>394</v>
      </c>
      <c r="K38" s="41" t="s">
        <v>83</v>
      </c>
    </row>
    <row r="39" customFormat="false" ht="15" hidden="false" customHeight="false" outlineLevel="0" collapsed="false">
      <c r="A39" s="33" t="s">
        <v>304</v>
      </c>
      <c r="B39" s="91" t="str">
        <f aca="false">'B_傑森愛華清單(18件)'!A7</f>
        <v>J03</v>
      </c>
      <c r="C39" s="5" t="str">
        <f aca="false">'B_傑森愛華清單(18件)'!B7&amp;" "&amp;'B_傑森愛華清單(18件)'!C7&amp;"F"</f>
        <v>中山北路近市民大道 ↗ 17F</v>
      </c>
      <c r="D39" s="92" t="n">
        <f aca="false">'B_傑森愛華清單(18件)'!D7</f>
        <v>204</v>
      </c>
      <c r="E39" s="93" t="n">
        <f aca="false">'B_傑森愛華清單(18件)'!G7</f>
        <v>490245</v>
      </c>
      <c r="F39" s="93" t="n">
        <f aca="false">'B_傑森愛華清單(18件)'!G7</f>
        <v>490245</v>
      </c>
      <c r="G39" s="37" t="n">
        <f aca="false">IFERROR(E39/D39,"")</f>
        <v>2403.16176470588</v>
      </c>
      <c r="H39" s="38" t="n">
        <f aca="false">F39-400000</f>
        <v>90245</v>
      </c>
      <c r="I39" s="33" t="s">
        <v>894</v>
      </c>
      <c r="J39" s="14" t="s">
        <v>540</v>
      </c>
      <c r="K39" s="39" t="s">
        <v>537</v>
      </c>
    </row>
    <row r="40" customFormat="false" ht="15" hidden="false" customHeight="false" outlineLevel="0" collapsed="false">
      <c r="A40" s="33" t="s">
        <v>304</v>
      </c>
      <c r="B40" s="91" t="str">
        <f aca="false">'B_傑森愛華清單(18件)'!A8</f>
        <v>J04</v>
      </c>
      <c r="C40" s="5" t="str">
        <f aca="false">'B_傑森愛華清單(18件)'!B8&amp;" "&amp;'B_傑森愛華清單(18件)'!C8&amp;"F"</f>
        <v>民生東路3段vs復興北路 ↗ 11F</v>
      </c>
      <c r="D40" s="92" t="n">
        <f aca="false">'B_傑森愛華清單(18件)'!D8</f>
        <v>205</v>
      </c>
      <c r="E40" s="93" t="n">
        <f aca="false">'B_傑森愛華清單(18件)'!G8</f>
        <v>486465</v>
      </c>
      <c r="F40" s="93" t="n">
        <f aca="false">'B_傑森愛華清單(18件)'!G8</f>
        <v>486465</v>
      </c>
      <c r="G40" s="37" t="n">
        <f aca="false">IFERROR(E40/D40,"")</f>
        <v>2373</v>
      </c>
      <c r="H40" s="38" t="n">
        <f aca="false">F40-400000</f>
        <v>86465</v>
      </c>
      <c r="I40" s="33" t="s">
        <v>894</v>
      </c>
      <c r="J40" s="14" t="s">
        <v>361</v>
      </c>
      <c r="K40" s="41" t="s">
        <v>83</v>
      </c>
    </row>
    <row r="41" customFormat="false" ht="15" hidden="false" customHeight="false" outlineLevel="0" collapsed="false">
      <c r="A41" s="33" t="s">
        <v>304</v>
      </c>
      <c r="B41" s="91" t="str">
        <f aca="false">'B_傑森愛華清單(18件)'!A9</f>
        <v>J05</v>
      </c>
      <c r="C41" s="5" t="str">
        <f aca="false">'B_傑森愛華清單(18件)'!B9&amp;" "&amp;'B_傑森愛華清單(18件)'!C9&amp;"F"</f>
        <v>民生東路3段vs復興北路 ↗ 3F</v>
      </c>
      <c r="D41" s="92" t="n">
        <f aca="false">'B_傑森愛華清單(18件)'!D9</f>
        <v>205</v>
      </c>
      <c r="E41" s="93" t="n">
        <f aca="false">'B_傑森愛華清單(18件)'!G9</f>
        <v>486465</v>
      </c>
      <c r="F41" s="93" t="n">
        <f aca="false">'B_傑森愛華清單(18件)'!G9</f>
        <v>486465</v>
      </c>
      <c r="G41" s="37" t="n">
        <f aca="false">IFERROR(E41/D41,"")</f>
        <v>2373</v>
      </c>
      <c r="H41" s="38" t="n">
        <f aca="false">F41-400000</f>
        <v>86465</v>
      </c>
      <c r="I41" s="33" t="s">
        <v>894</v>
      </c>
      <c r="J41" s="14" t="s">
        <v>361</v>
      </c>
      <c r="K41" s="41" t="s">
        <v>83</v>
      </c>
    </row>
    <row r="42" customFormat="false" ht="15" hidden="false" customHeight="false" outlineLevel="0" collapsed="false">
      <c r="A42" s="33" t="s">
        <v>304</v>
      </c>
      <c r="B42" s="91" t="str">
        <f aca="false">'B_傑森愛華清單(18件)'!A10</f>
        <v>J06</v>
      </c>
      <c r="C42" s="5" t="str">
        <f aca="false">'B_傑森愛華清單(18件)'!B10&amp;" "&amp;'B_傑森愛華清單(18件)'!C10&amp;"F"</f>
        <v>中山北路1段近市民大道 ↗ 9F</v>
      </c>
      <c r="D42" s="92" t="n">
        <f aca="false">'B_傑森愛華清單(18件)'!D10</f>
        <v>209</v>
      </c>
      <c r="E42" s="93" t="n">
        <f aca="false">'B_傑森愛華清單(18件)'!G10</f>
        <v>438900</v>
      </c>
      <c r="F42" s="93" t="n">
        <f aca="false">'B_傑森愛華清單(18件)'!G10</f>
        <v>438900</v>
      </c>
      <c r="G42" s="37" t="n">
        <f aca="false">IFERROR(E42/D42,"")</f>
        <v>2100</v>
      </c>
      <c r="H42" s="38" t="n">
        <f aca="false">F42-400000</f>
        <v>38900</v>
      </c>
      <c r="I42" s="33" t="s">
        <v>894</v>
      </c>
      <c r="J42" s="14" t="s">
        <v>361</v>
      </c>
      <c r="K42" s="41" t="s">
        <v>83</v>
      </c>
    </row>
    <row r="43" customFormat="false" ht="15" hidden="false" customHeight="false" outlineLevel="0" collapsed="false">
      <c r="A43" s="33" t="s">
        <v>304</v>
      </c>
      <c r="B43" s="91" t="str">
        <f aca="false">'B_傑森愛華清單(18件)'!A11</f>
        <v>J07</v>
      </c>
      <c r="C43" s="5" t="str">
        <f aca="false">'B_傑森愛華清單(18件)'!B11&amp;" "&amp;'B_傑森愛華清單(18件)'!C11&amp;"F"</f>
        <v>仁愛路4段近復興南路 (鴻霖大樓 25號10樓之2) ↗ 10F</v>
      </c>
      <c r="D43" s="92" t="n">
        <f aca="false">'B_傑森愛華清單(18件)'!D11</f>
        <v>210</v>
      </c>
      <c r="E43" s="93" t="n">
        <f aca="false">'B_傑森愛華清單(18件)'!G11</f>
        <v>367500</v>
      </c>
      <c r="F43" s="93" t="n">
        <f aca="false">'B_傑森愛華清單(18件)'!G11</f>
        <v>367500</v>
      </c>
      <c r="G43" s="37" t="n">
        <f aca="false">IFERROR(E43/D43,"")</f>
        <v>1750</v>
      </c>
      <c r="H43" s="38" t="n">
        <f aca="false">F43-400000</f>
        <v>-32500</v>
      </c>
      <c r="I43" s="33" t="s">
        <v>894</v>
      </c>
      <c r="J43" s="14" t="s">
        <v>353</v>
      </c>
      <c r="K43" s="39" t="s">
        <v>351</v>
      </c>
    </row>
    <row r="44" customFormat="false" ht="15" hidden="false" customHeight="false" outlineLevel="0" collapsed="false">
      <c r="A44" s="33" t="s">
        <v>304</v>
      </c>
      <c r="B44" s="91" t="str">
        <f aca="false">'B_傑森愛華清單(18件)'!A12</f>
        <v>J08</v>
      </c>
      <c r="C44" s="5" t="str">
        <f aca="false">'B_傑森愛華清單(18件)'!B12&amp;" "&amp;'B_傑森愛華清單(18件)'!C12&amp;"F"</f>
        <v>南京東路近龍江路 ↗ 8F</v>
      </c>
      <c r="D44" s="92" t="n">
        <f aca="false">'B_傑森愛華清單(18件)'!D12</f>
        <v>210</v>
      </c>
      <c r="E44" s="93" t="n">
        <f aca="false">'B_傑森愛華清單(18件)'!G12</f>
        <v>507150</v>
      </c>
      <c r="F44" s="93" t="n">
        <f aca="false">'B_傑森愛華清單(18件)'!G12</f>
        <v>507150</v>
      </c>
      <c r="G44" s="37" t="n">
        <f aca="false">IFERROR(E44/D44,"")</f>
        <v>2415</v>
      </c>
      <c r="H44" s="38" t="n">
        <f aca="false">F44-400000</f>
        <v>107150</v>
      </c>
      <c r="I44" s="33" t="s">
        <v>894</v>
      </c>
      <c r="J44" s="14" t="s">
        <v>343</v>
      </c>
      <c r="K44" s="41" t="s">
        <v>83</v>
      </c>
    </row>
    <row r="45" customFormat="false" ht="15" hidden="false" customHeight="false" outlineLevel="0" collapsed="false">
      <c r="A45" s="33" t="s">
        <v>304</v>
      </c>
      <c r="B45" s="91" t="str">
        <f aca="false">'B_傑森愛華清單(18件)'!A13</f>
        <v>J09</v>
      </c>
      <c r="C45" s="5" t="str">
        <f aca="false">'B_傑森愛華清單(18件)'!B13&amp;" "&amp;'B_傑森愛華清單(18件)'!C13&amp;"F"</f>
        <v>敦化北路VS民生東路 ↗ 2F</v>
      </c>
      <c r="D45" s="92" t="n">
        <f aca="false">'B_傑森愛華清單(18件)'!D13</f>
        <v>211</v>
      </c>
      <c r="E45" s="93" t="n">
        <f aca="false">'B_傑森愛華清單(18件)'!G13</f>
        <v>436800</v>
      </c>
      <c r="F45" s="93" t="n">
        <f aca="false">'B_傑森愛華清單(18件)'!G13</f>
        <v>436800</v>
      </c>
      <c r="G45" s="37" t="n">
        <f aca="false">IFERROR(E45/D45,"")</f>
        <v>2070.14218009479</v>
      </c>
      <c r="H45" s="38" t="n">
        <f aca="false">F45-400000</f>
        <v>36800</v>
      </c>
      <c r="I45" s="33" t="s">
        <v>894</v>
      </c>
      <c r="J45" s="14" t="s">
        <v>343</v>
      </c>
      <c r="K45" s="41" t="s">
        <v>83</v>
      </c>
    </row>
    <row r="46" customFormat="false" ht="15" hidden="false" customHeight="false" outlineLevel="0" collapsed="false">
      <c r="A46" s="33" t="s">
        <v>304</v>
      </c>
      <c r="B46" s="91" t="str">
        <f aca="false">'B_傑森愛華清單(18件)'!A14</f>
        <v>J10</v>
      </c>
      <c r="C46" s="5" t="str">
        <f aca="false">'B_傑森愛華清單(18件)'!B14&amp;" "&amp;'B_傑森愛華清單(18件)'!C14&amp;"F"</f>
        <v>安和路一段 (即安敦國際大樓17F) ↗ 17F</v>
      </c>
      <c r="D46" s="92" t="n">
        <f aca="false">'B_傑森愛華清單(18件)'!D14</f>
        <v>214</v>
      </c>
      <c r="E46" s="93" t="n">
        <f aca="false">'B_傑森愛華清單(18件)'!G14</f>
        <v>494340</v>
      </c>
      <c r="F46" s="93" t="n">
        <f aca="false">'B_傑森愛華清單(18件)'!G14</f>
        <v>494340</v>
      </c>
      <c r="G46" s="37" t="n">
        <f aca="false">IFERROR(E46/D46,"")</f>
        <v>2310</v>
      </c>
      <c r="H46" s="38" t="n">
        <f aca="false">F46-400000</f>
        <v>94340</v>
      </c>
      <c r="I46" s="33" t="s">
        <v>894</v>
      </c>
      <c r="J46" s="14" t="s">
        <v>504</v>
      </c>
      <c r="K46" s="39" t="s">
        <v>331</v>
      </c>
    </row>
    <row r="47" customFormat="false" ht="15" hidden="false" customHeight="false" outlineLevel="0" collapsed="false">
      <c r="A47" s="33" t="s">
        <v>304</v>
      </c>
      <c r="B47" s="91" t="str">
        <f aca="false">'B_傑森愛華清單(18件)'!A15</f>
        <v>J11</v>
      </c>
      <c r="C47" s="5" t="str">
        <f aca="false">'B_傑森愛華清單(18件)'!B15&amp;" "&amp;'B_傑森愛華清單(18件)'!C15&amp;"F"</f>
        <v>八德路vs龍江路 ↗ 2F</v>
      </c>
      <c r="D47" s="92" t="n">
        <f aca="false">'B_傑森愛華清單(18件)'!D15</f>
        <v>220</v>
      </c>
      <c r="E47" s="93" t="n">
        <f aca="false">'B_傑森愛華清單(18件)'!G15</f>
        <v>369600</v>
      </c>
      <c r="F47" s="93" t="n">
        <f aca="false">'B_傑森愛華清單(18件)'!G15</f>
        <v>369600</v>
      </c>
      <c r="G47" s="37" t="n">
        <f aca="false">IFERROR(E47/D47,"")</f>
        <v>1680</v>
      </c>
      <c r="H47" s="38" t="n">
        <f aca="false">F47-400000</f>
        <v>-30400</v>
      </c>
      <c r="I47" s="33" t="s">
        <v>894</v>
      </c>
      <c r="J47" s="14" t="s">
        <v>307</v>
      </c>
      <c r="K47" s="41" t="s">
        <v>83</v>
      </c>
    </row>
    <row r="48" customFormat="false" ht="15" hidden="false" customHeight="false" outlineLevel="0" collapsed="false">
      <c r="A48" s="33" t="s">
        <v>304</v>
      </c>
      <c r="B48" s="91" t="str">
        <f aca="false">'B_傑森愛華清單(18件)'!A16</f>
        <v>J12</v>
      </c>
      <c r="C48" s="5" t="str">
        <f aca="false">'B_傑森愛華清單(18件)'!B16&amp;" "&amp;'B_傑森愛華清單(18件)'!C16&amp;"F"</f>
        <v>敦化南路2段 (中鼎大樓 77號2樓) ↗ 2F</v>
      </c>
      <c r="D48" s="92" t="n">
        <f aca="false">'B_傑森愛華清單(18件)'!D16</f>
        <v>222</v>
      </c>
      <c r="E48" s="93" t="n">
        <f aca="false">'B_傑森愛華清單(18件)'!G16</f>
        <v>420000</v>
      </c>
      <c r="F48" s="93" t="n">
        <f aca="false">'B_傑森愛華清單(18件)'!G16</f>
        <v>420000</v>
      </c>
      <c r="G48" s="37" t="n">
        <f aca="false">IFERROR(E48/D48,"")</f>
        <v>1891.89189189189</v>
      </c>
      <c r="H48" s="38" t="n">
        <f aca="false">F48-400000</f>
        <v>20000</v>
      </c>
      <c r="I48" s="33" t="s">
        <v>894</v>
      </c>
      <c r="J48" s="14" t="s">
        <v>328</v>
      </c>
      <c r="K48" s="39" t="s">
        <v>272</v>
      </c>
    </row>
    <row r="49" customFormat="false" ht="15" hidden="false" customHeight="false" outlineLevel="0" collapsed="false">
      <c r="A49" s="33" t="s">
        <v>304</v>
      </c>
      <c r="B49" s="91" t="str">
        <f aca="false">'B_傑森愛華清單(18件)'!A17</f>
        <v>J13</v>
      </c>
      <c r="C49" s="5" t="str">
        <f aca="false">'B_傑森愛華清單(18件)'!B17&amp;" "&amp;'B_傑森愛華清單(18件)'!C17&amp;"F"</f>
        <v>民生東路VS建國北路 ↗ 2*F</v>
      </c>
      <c r="D49" s="92" t="n">
        <f aca="false">'B_傑森愛華清單(18件)'!D17</f>
        <v>225</v>
      </c>
      <c r="E49" s="93" t="n">
        <f aca="false">'B_傑森愛華清單(18件)'!G17</f>
        <v>472500</v>
      </c>
      <c r="F49" s="93" t="n">
        <f aca="false">'B_傑森愛華清單(18件)'!G17</f>
        <v>472500</v>
      </c>
      <c r="G49" s="37" t="n">
        <f aca="false">IFERROR(E49/D49,"")</f>
        <v>2100</v>
      </c>
      <c r="H49" s="38" t="n">
        <f aca="false">F49-400000</f>
        <v>72500</v>
      </c>
      <c r="I49" s="33" t="s">
        <v>894</v>
      </c>
      <c r="J49" s="14" t="s">
        <v>316</v>
      </c>
      <c r="K49" s="41" t="s">
        <v>83</v>
      </c>
    </row>
    <row r="50" customFormat="false" ht="15" hidden="false" customHeight="false" outlineLevel="0" collapsed="false">
      <c r="A50" s="33" t="s">
        <v>304</v>
      </c>
      <c r="B50" s="91" t="str">
        <f aca="false">'B_傑森愛華清單(18件)'!A18</f>
        <v>J14</v>
      </c>
      <c r="C50" s="5" t="str">
        <f aca="false">'B_傑森愛華清單(18件)'!B18&amp;" "&amp;'B_傑森愛華清單(18件)'!C18&amp;"F"</f>
        <v>民生東路近敦化北路 ↗ 8F</v>
      </c>
      <c r="D50" s="92" t="n">
        <f aca="false">'B_傑森愛華清單(18件)'!D18</f>
        <v>226</v>
      </c>
      <c r="E50" s="93" t="n">
        <f aca="false">'B_傑森愛華清單(18件)'!G18</f>
        <v>522375</v>
      </c>
      <c r="F50" s="93" t="n">
        <f aca="false">'B_傑森愛華清單(18件)'!G18</f>
        <v>522375</v>
      </c>
      <c r="G50" s="37" t="n">
        <f aca="false">IFERROR(E50/D50,"")</f>
        <v>2311.39380530973</v>
      </c>
      <c r="H50" s="38" t="n">
        <f aca="false">F50-400000</f>
        <v>122375</v>
      </c>
      <c r="I50" s="33" t="s">
        <v>894</v>
      </c>
      <c r="J50" s="14" t="s">
        <v>316</v>
      </c>
      <c r="K50" s="41" t="s">
        <v>83</v>
      </c>
    </row>
    <row r="51" customFormat="false" ht="15" hidden="false" customHeight="false" outlineLevel="0" collapsed="false">
      <c r="A51" s="33" t="s">
        <v>304</v>
      </c>
      <c r="B51" s="91" t="str">
        <f aca="false">'B_傑森愛華清單(18件)'!A19</f>
        <v>J15</v>
      </c>
      <c r="C51" s="5" t="str">
        <f aca="false">'B_傑森愛華清單(18件)'!B19&amp;" "&amp;'B_傑森愛華清單(18件)'!C19&amp;"F"</f>
        <v>敦化南路2段(中鼎大樓 77號22樓) ↗ 22F</v>
      </c>
      <c r="D51" s="92" t="n">
        <f aca="false">'B_傑森愛華清單(18件)'!D19</f>
        <v>230</v>
      </c>
      <c r="E51" s="93" t="n">
        <f aca="false">'B_傑森愛華清單(18件)'!G19</f>
        <v>478170</v>
      </c>
      <c r="F51" s="93" t="n">
        <f aca="false">'B_傑森愛華清單(18件)'!G19</f>
        <v>478170</v>
      </c>
      <c r="G51" s="37" t="n">
        <f aca="false">IFERROR(E51/D51,"")</f>
        <v>2079</v>
      </c>
      <c r="H51" s="38" t="n">
        <f aca="false">F51-400000</f>
        <v>78170</v>
      </c>
      <c r="I51" s="33" t="s">
        <v>894</v>
      </c>
      <c r="J51" s="14" t="s">
        <v>485</v>
      </c>
      <c r="K51" s="39" t="s">
        <v>272</v>
      </c>
    </row>
    <row r="52" customFormat="false" ht="15" hidden="false" customHeight="false" outlineLevel="0" collapsed="false">
      <c r="A52" s="33" t="s">
        <v>304</v>
      </c>
      <c r="B52" s="91" t="str">
        <f aca="false">'B_傑森愛華清單(18件)'!A20</f>
        <v>J16</v>
      </c>
      <c r="C52" s="5" t="str">
        <f aca="false">'B_傑森愛華清單(18件)'!B20&amp;" "&amp;'B_傑森愛華清單(18件)'!C20&amp;"F"</f>
        <v>八德路近復興北路 (中影八德大樓 八德路二段260號2樓全層) ↗ 2F</v>
      </c>
      <c r="D52" s="92" t="n">
        <f aca="false">'B_傑森愛華清單(18件)'!D20</f>
        <v>200</v>
      </c>
      <c r="E52" s="93" t="n">
        <f aca="false">'B_傑森愛華清單(18件)'!G20</f>
        <v>308700</v>
      </c>
      <c r="F52" s="93" t="n">
        <f aca="false">'B_傑森愛華清單(18件)'!G20</f>
        <v>308700</v>
      </c>
      <c r="G52" s="37" t="n">
        <f aca="false">IFERROR(E52/D52,"")</f>
        <v>1543.5</v>
      </c>
      <c r="H52" s="38" t="n">
        <f aca="false">F52-400000</f>
        <v>-91300</v>
      </c>
      <c r="I52" s="33" t="s">
        <v>894</v>
      </c>
      <c r="J52" s="14" t="s">
        <v>446</v>
      </c>
      <c r="K52" s="39" t="s">
        <v>444</v>
      </c>
    </row>
    <row r="53" customFormat="false" ht="15" hidden="false" customHeight="false" outlineLevel="0" collapsed="false">
      <c r="A53" s="95" t="s">
        <v>895</v>
      </c>
      <c r="B53" s="91" t="str">
        <f aca="false">'B_傑森愛華清單(18件)'!A21</f>
        <v>J17</v>
      </c>
      <c r="C53" s="5" t="str">
        <f aca="false">'B_傑森愛華清單(18件)'!B21&amp;" "&amp;'B_傑森愛華清單(18件)'!C21&amp;"F"</f>
        <v>市民大道3段近復興南路 ↗ 8F</v>
      </c>
      <c r="D53" s="92" t="n">
        <f aca="false">'B_傑森愛華清單(18件)'!D21</f>
        <v>257</v>
      </c>
      <c r="E53" s="93" t="n">
        <f aca="false">'B_傑森愛華清單(18件)'!G21</f>
        <v>588000</v>
      </c>
      <c r="F53" s="93" t="n">
        <f aca="false">'B_傑森愛華清單(18件)'!G21</f>
        <v>588000</v>
      </c>
      <c r="G53" s="37" t="n">
        <f aca="false">IFERROR(E53/D53,"")</f>
        <v>2287.93774319066</v>
      </c>
      <c r="H53" s="38" t="n">
        <f aca="false">F53-400000</f>
        <v>188000</v>
      </c>
      <c r="I53" s="33" t="s">
        <v>894</v>
      </c>
      <c r="J53" s="14" t="s">
        <v>470</v>
      </c>
      <c r="K53" s="41" t="s">
        <v>83</v>
      </c>
    </row>
    <row r="54" customFormat="false" ht="15" hidden="false" customHeight="false" outlineLevel="0" collapsed="false">
      <c r="A54" s="33" t="s">
        <v>304</v>
      </c>
      <c r="B54" s="91" t="str">
        <f aca="false">'B_傑森愛華清單(18件)'!A22</f>
        <v>J18</v>
      </c>
      <c r="C54" s="5" t="str">
        <f aca="false">'B_傑森愛華清單(18件)'!B22&amp;" "&amp;'B_傑森愛華清單(18件)'!C22&amp;"F"</f>
        <v>忠孝東路4段VS延吉街 ↗ 4F</v>
      </c>
      <c r="D54" s="92" t="n">
        <f aca="false">'B_傑森愛華清單(18件)'!D22</f>
        <v>276</v>
      </c>
      <c r="E54" s="93" t="n">
        <f aca="false">'B_傑森愛華清單(18件)'!G22</f>
        <v>504000</v>
      </c>
      <c r="F54" s="93" t="n">
        <f aca="false">'B_傑森愛華清單(18件)'!G22</f>
        <v>504000</v>
      </c>
      <c r="G54" s="37" t="n">
        <f aca="false">IFERROR(E54/D54,"")</f>
        <v>1826.08695652174</v>
      </c>
      <c r="H54" s="38" t="n">
        <f aca="false">F54-400000</f>
        <v>104000</v>
      </c>
      <c r="I54" s="33" t="s">
        <v>894</v>
      </c>
      <c r="J54" s="14" t="s">
        <v>460</v>
      </c>
      <c r="K54" s="41" t="s">
        <v>83</v>
      </c>
    </row>
  </sheetData>
  <hyperlinks>
    <hyperlink ref="C5" r:id="rId1" display="https://business.591.com.tw/rent/22034644"/>
    <hyperlink ref="J5" r:id="rId2" display="591 本戶7F·14張照片"/>
    <hyperlink ref="C6" r:id="rId3" display="https://www.sinyi.com.tw/rent/houseno/CZ05572"/>
    <hyperlink ref="J6" r:id="rId4" display="信義 本戶15F·15張照片（CZ05572）"/>
    <hyperlink ref="C7" r:id="rId5" display="https://buy.housefun.com.tw/buy/building/9278"/>
    <hyperlink ref="J7" r:id="rId6" display="好房網大樓頁·19張照片(本戶無公開頁)"/>
    <hyperlink ref="C8" r:id="rId7" display="https://business.591.com.tw/rent/21856432"/>
    <hyperlink ref="J8" r:id="rId8" display="591 疑同戶4F 220坪·星辰地產"/>
    <hyperlink ref="C9" r:id="rId9" display="https://www.sinyi.com.tw/communitylist/communityinfo/0008197"/>
    <hyperlink ref="J9" r:id="rId10" display="信義社區頁·4張外觀照(本戶無公開頁)"/>
    <hyperlink ref="C10" r:id="rId11" display="https://kevinashowtimes-web.github.io/showtime-office-dashboard/?case=f"/>
    <hyperlink ref="J10" r:id="rId12" display="友聯5F 現況室內8張照片（591刊登圖·使用者提供）"/>
    <hyperlink ref="C11" r:id="rId13" display="https://buy.housefun.com.tw/buy/building/28758"/>
    <hyperlink ref="J11" r:id="rId14" display="好房網大樓頁·10張照片（本戶207坪整層無公開頁）"/>
    <hyperlink ref="C12" r:id="rId15" display="https://www.houseweb.com.tw/house/2653888"/>
    <hyperlink ref="J12" r:id="rId16" display="HouseWeb 本戶·40張照片"/>
    <hyperlink ref="C13" r:id="rId17" display="https://www.sinyiglobal.com/rental/C355686"/>
    <hyperlink ref="J13" r:id="rId18" display="信義國際站 本戶·14張照片（備用：www.sinyi.com.tw/rent/houseno/C355686）"/>
    <hyperlink ref="C14" r:id="rId19" display="https://rent.yungching.com.tw/region/house/2358272?pc=0916263633"/>
    <hyperlink ref="J14" r:id="rId20" display="永慶 本戶14F·15張照片"/>
    <hyperlink ref="C15" r:id="rId21" display="https://rent.yungching.com.tw/region/house/2373308?pc=0916263633"/>
    <hyperlink ref="J15" r:id="rId22" display="永慶 本戶15F·14張照片"/>
    <hyperlink ref="C16" r:id="rId23" display="https://www.sinyi.com.tw/rent/houseno/CZ05326"/>
    <hyperlink ref="J16" r:id="rId24" display="信義 本戶·21張照片（CZ05326）"/>
    <hyperlink ref="C17" r:id="rId25" display="https://www.sinyi.com.tw/rent/houseno/C328671"/>
    <hyperlink ref="J17" r:id="rId26" display="信義 本戶·19張照片（C328671）"/>
    <hyperlink ref="C18" r:id="rId27" display="https://www.sinyi.com.tw/rent/houseno/C905199"/>
    <hyperlink ref="J18" r:id="rId28" display="信義 本戶·16張照片（C905199）"/>
    <hyperlink ref="C19" r:id="rId29" display="https://www.sinyi.com.tw/rent/houseno/CZ05587"/>
    <hyperlink ref="J19" r:id="rId30" display="信義 本戶·9張照片（CZ05587）"/>
    <hyperlink ref="C20" r:id="rId31" display="https://www.sinyi.com.tw/rent/houseno/CZ03701"/>
    <hyperlink ref="J20" r:id="rId32" display="信義 本戶·12張照片（CZ03701）"/>
    <hyperlink ref="C21" r:id="rId33" display="https://www.sinyi.com.tw/rent/houseno/C346398"/>
    <hyperlink ref="J21" r:id="rId34" display="信義 本戶·12張照片（C346398）"/>
    <hyperlink ref="C22" r:id="rId35" display="https://www.sinyi.com.tw/rent/houseno/CZ05585"/>
    <hyperlink ref="J22" r:id="rId36" display="信義 本戶（CZ05585）"/>
    <hyperlink ref="C23" r:id="rId37" display="https://www.sinyi.com.tw/rent/houseno/C904707"/>
    <hyperlink ref="J23" r:id="rId38" display="信義 本戶（C904707）"/>
    <hyperlink ref="C24" r:id="rId39" display="https://www.sinyi.com.tw/rent/houseno/C360646"/>
    <hyperlink ref="J24" r:id="rId40" display="信義 本戶（C360646）"/>
    <hyperlink ref="C25" r:id="rId41" display="https://www.sinyi.com.tw/rent/houseno/C348029"/>
    <hyperlink ref="J25" r:id="rId42" display="信義 本戶·5張照片（C348029）"/>
    <hyperlink ref="C26" r:id="rId43" display="https://www.sinyi.com.tw/rent/houseno/C360351"/>
    <hyperlink ref="J26" r:id="rId44" display="信義 本戶·18張照片（C360351）"/>
    <hyperlink ref="C27" r:id="rId45" display="https://www.houseweb.com.tw/house/1506073"/>
    <hyperlink ref="J27" r:id="rId46" display="HouseWeb·26張"/>
    <hyperlink ref="C28" r:id="rId47" display="https://www.houseweb.com.tw/house/2567826"/>
    <hyperlink ref="J28" r:id="rId48" display="HouseWeb·38張"/>
    <hyperlink ref="C29" r:id="rId49" display="https://www.houseweb.com.tw/house/2581969"/>
    <hyperlink ref="J29" r:id="rId50" display="HouseWeb·27張"/>
    <hyperlink ref="C30" r:id="rId51" display="https://www.houseweb.com.tw/house/2650465"/>
    <hyperlink ref="J30" r:id="rId52" display="HouseWeb·43張"/>
    <hyperlink ref="C31" r:id="rId53" display="https://www.houseweb.com.tw/house/2504639"/>
    <hyperlink ref="J31" r:id="rId54" display="HouseWeb·37張"/>
    <hyperlink ref="C32" r:id="rId55" display="https://www.houseweb.com.tw/house/2457012"/>
    <hyperlink ref="J32" r:id="rId56" display="HouseWeb·27張"/>
    <hyperlink ref="C33" r:id="rId57" display="https://www.houseweb.com.tw/house/2664165"/>
    <hyperlink ref="J33" r:id="rId58" display="HouseWeb·35張"/>
    <hyperlink ref="C34" r:id="rId59" display="https://www.houseweb.com.tw/house/2611327"/>
    <hyperlink ref="J34" r:id="rId60" display="HouseWeb·20張"/>
    <hyperlink ref="C35" r:id="rId61" display="https://www.houseweb.com.tw/house/2653888"/>
    <hyperlink ref="J35" r:id="rId62" display="HouseWeb·40張"/>
    <hyperlink ref="C36" r:id="rId63" display="https://www.houseweb.com.tw/house/2653863"/>
    <hyperlink ref="J36" r:id="rId64" display="HouseWeb·27張"/>
    <hyperlink ref="C37" r:id="rId65" location="page=1" display="https://kevinashowtimes-web.github.io/showtime-office-dashboard/JE_list_J01-J18.pdf#page=1"/>
    <hyperlink ref="J37" r:id="rId66" location="page=1" display="傑森愛華原始PDF 第1頁（含照片）"/>
    <hyperlink ref="C38" r:id="rId67" location="page=1" display="https://kevinashowtimes-web.github.io/showtime-office-dashboard/JE_list_J01-J18.pdf#page=1"/>
    <hyperlink ref="J38" r:id="rId68" location="page=1" display="傑森愛華原始PDF 第1頁（含照片）"/>
    <hyperlink ref="C39" r:id="rId69" location="page=1" display="https://kevinashowtimes-web.github.io/showtime-office-dashboard/JE_list_J01-J18.pdf#page=1"/>
    <hyperlink ref="J39" r:id="rId70" location="page=1" display="傑森愛華原始PDF 第1頁（此列無照片）；同戶照片見W08 HouseWeb"/>
    <hyperlink ref="C40" r:id="rId71" location="page=2" display="https://kevinashowtimes-web.github.io/showtime-office-dashboard/JE_list_J01-J18.pdf#page=2"/>
    <hyperlink ref="J40" r:id="rId72" location="page=2" display="傑森愛華原始PDF 第2頁（含照片）"/>
    <hyperlink ref="C41" r:id="rId73" location="page=2" display="https://kevinashowtimes-web.github.io/showtime-office-dashboard/JE_list_J01-J18.pdf#page=2"/>
    <hyperlink ref="J41" r:id="rId74" location="page=2" display="傑森愛華原始PDF 第2頁（含照片）"/>
    <hyperlink ref="C42" r:id="rId75" location="page=2" display="https://kevinashowtimes-web.github.io/showtime-office-dashboard/JE_list_J01-J18.pdf#page=2"/>
    <hyperlink ref="J42" r:id="rId76" location="page=2" display="傑森愛華原始PDF 第2頁（含照片）"/>
    <hyperlink ref="C43" r:id="rId77" display="https://kevinashowtimes-web.github.io/showtime-office-dashboard/JE_J07_honglin_10F-2.pdf"/>
    <hyperlink ref="J43" r:id="rId78" display="傑森愛華單筆報表PDF（鴻霖10F之2·3頁，含照片）"/>
    <hyperlink ref="C44" r:id="rId79" location="page=3" display="https://kevinashowtimes-web.github.io/showtime-office-dashboard/JE_list_J01-J18.pdf#page=3"/>
    <hyperlink ref="J44" r:id="rId80" location="page=3" display="傑森愛華原始PDF 第3頁（含照片）"/>
    <hyperlink ref="C45" r:id="rId81" location="page=3" display="https://kevinashowtimes-web.github.io/showtime-office-dashboard/JE_list_J01-J18.pdf#page=3"/>
    <hyperlink ref="J45" r:id="rId82" location="page=3" display="傑森愛華原始PDF 第3頁（含照片）"/>
    <hyperlink ref="C46" r:id="rId83" location="page=3" display="https://kevinashowtimes-web.github.io/showtime-office-dashboard/JE_list_J01-J18.pdf#page=3"/>
    <hyperlink ref="J46" r:id="rId84" location="page=3" display="傑森愛華原始PDF 第3頁（含照片）；同戶另見信義CZ05290"/>
    <hyperlink ref="C47" r:id="rId85" location="page=3" display="https://kevinashowtimes-web.github.io/showtime-office-dashboard/JE_list_J01-J18.pdf#page=3"/>
    <hyperlink ref="J47" r:id="rId86" location="page=3" display="傑森愛華原始PDF 第3頁（此列無照片）"/>
    <hyperlink ref="C48" r:id="rId87" display="https://kevinashowtimes-web.github.io/showtime-office-dashboard/JE_J12_zhongding_2F.pdf"/>
    <hyperlink ref="J48" r:id="rId88" display="傑森愛華單筆報表PDF（中鼎2F·2頁，含照片）"/>
    <hyperlink ref="C49" r:id="rId89" location="page=4" display="https://kevinashowtimes-web.github.io/showtime-office-dashboard/JE_list_J01-J18.pdf#page=4"/>
    <hyperlink ref="J49" r:id="rId90" location="page=4" display="傑森愛華原始PDF 第4頁（含照片）"/>
    <hyperlink ref="C50" r:id="rId91" location="page=4" display="https://kevinashowtimes-web.github.io/showtime-office-dashboard/JE_list_J01-J18.pdf#page=4"/>
    <hyperlink ref="J50" r:id="rId92" location="page=4" display="傑森愛華原始PDF 第4頁（含照片）"/>
    <hyperlink ref="C51" r:id="rId93" display="https://kevinashowtimes-web.github.io/showtime-office-dashboard/JE_J15_zhongding_22F.pdf"/>
    <hyperlink ref="J51" r:id="rId94" display="傑森愛華單筆報表PDF（中鼎22F·3頁，含照片）"/>
    <hyperlink ref="C52" r:id="rId95" display="https://kevinashowtimes-web.github.io/showtime-office-dashboard/JE_J16_zhongying_bade_2F.pdf"/>
    <hyperlink ref="J52" r:id="rId96" display="傑森愛華單筆報表PDF（中影八德2F·11頁，含照片/使照）"/>
    <hyperlink ref="C53" r:id="rId97" location="page=5" display="https://kevinashowtimes-web.github.io/showtime-office-dashboard/JE_list_J01-J18.pdf#page=5"/>
    <hyperlink ref="J53" r:id="rId98" location="page=5" display="傑森愛華原始PDF 第5頁（此列無照片）"/>
    <hyperlink ref="C54" r:id="rId99" location="page=6" display="https://kevinashowtimes-web.github.io/showtime-office-dashboard/JE_list_J01-J18.pdf#page=6"/>
    <hyperlink ref="J54" r:id="rId100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5" min="4" style="0" width="20"/>
    <col collapsed="false" customWidth="true" hidden="false" outlineLevel="0" max="6" min="6" style="0" width="60"/>
    <col collapsed="false" customWidth="true" hidden="false" outlineLevel="0" max="7" min="7" style="0" width="8"/>
  </cols>
  <sheetData>
    <row r="1" customFormat="false" ht="20.1" hidden="false" customHeight="false" outlineLevel="0" collapsed="false">
      <c r="A1" s="1" t="s">
        <v>896</v>
      </c>
    </row>
    <row r="2" customFormat="false" ht="15" hidden="false" customHeight="false" outlineLevel="0" collapsed="false">
      <c r="A2" s="2" t="s">
        <v>897</v>
      </c>
    </row>
    <row r="4" customFormat="false" ht="15" hidden="false" customHeight="false" outlineLevel="0" collapsed="false">
      <c r="A4" s="96" t="s">
        <v>2</v>
      </c>
      <c r="B4" s="96" t="s">
        <v>3</v>
      </c>
      <c r="C4" s="96" t="s">
        <v>864</v>
      </c>
      <c r="D4" s="96" t="s">
        <v>898</v>
      </c>
      <c r="E4" s="96" t="s">
        <v>899</v>
      </c>
      <c r="F4" s="96" t="s">
        <v>900</v>
      </c>
      <c r="G4" s="96" t="s">
        <v>264</v>
      </c>
    </row>
    <row r="5" customFormat="false" ht="30" hidden="false" customHeight="true" outlineLevel="0" collapsed="false">
      <c r="A5" s="53" t="s">
        <v>25</v>
      </c>
      <c r="B5" s="73" t="s">
        <v>901</v>
      </c>
      <c r="C5" s="13" t="s">
        <v>902</v>
      </c>
      <c r="D5" s="53" t="s">
        <v>638</v>
      </c>
      <c r="E5" s="52" t="s">
        <v>903</v>
      </c>
      <c r="F5" s="53" t="s">
        <v>904</v>
      </c>
      <c r="G5" s="39" t="s">
        <v>331</v>
      </c>
    </row>
    <row r="6" customFormat="false" ht="30" hidden="false" customHeight="true" outlineLevel="0" collapsed="false">
      <c r="A6" s="53" t="s">
        <v>25</v>
      </c>
      <c r="B6" s="73" t="s">
        <v>901</v>
      </c>
      <c r="C6" s="13" t="s">
        <v>905</v>
      </c>
      <c r="D6" s="52" t="s">
        <v>598</v>
      </c>
      <c r="E6" s="52" t="s">
        <v>906</v>
      </c>
      <c r="F6" s="53" t="s">
        <v>907</v>
      </c>
      <c r="G6" s="39" t="s">
        <v>331</v>
      </c>
    </row>
    <row r="7" customFormat="false" ht="30" hidden="false" customHeight="true" outlineLevel="0" collapsed="false">
      <c r="A7" s="53" t="s">
        <v>25</v>
      </c>
      <c r="B7" s="73" t="s">
        <v>901</v>
      </c>
      <c r="C7" s="13" t="s">
        <v>908</v>
      </c>
      <c r="D7" s="52" t="s">
        <v>598</v>
      </c>
      <c r="E7" s="52" t="s">
        <v>909</v>
      </c>
      <c r="F7" s="53" t="s">
        <v>910</v>
      </c>
      <c r="G7" s="39" t="s">
        <v>331</v>
      </c>
    </row>
    <row r="8" customFormat="false" ht="30" hidden="false" customHeight="true" outlineLevel="0" collapsed="false">
      <c r="A8" s="53" t="s">
        <v>25</v>
      </c>
      <c r="B8" s="73" t="s">
        <v>901</v>
      </c>
      <c r="C8" s="13" t="s">
        <v>911</v>
      </c>
      <c r="D8" s="52" t="s">
        <v>912</v>
      </c>
      <c r="E8" s="52" t="s">
        <v>909</v>
      </c>
      <c r="F8" s="53" t="s">
        <v>913</v>
      </c>
      <c r="G8" s="39" t="s">
        <v>331</v>
      </c>
    </row>
    <row r="9" customFormat="false" ht="30" hidden="false" customHeight="true" outlineLevel="0" collapsed="false">
      <c r="A9" s="53" t="s">
        <v>38</v>
      </c>
      <c r="B9" s="73" t="s">
        <v>914</v>
      </c>
      <c r="C9" s="13" t="s">
        <v>915</v>
      </c>
      <c r="D9" s="52" t="s">
        <v>916</v>
      </c>
      <c r="E9" s="52" t="s">
        <v>909</v>
      </c>
      <c r="F9" s="53" t="s">
        <v>917</v>
      </c>
      <c r="G9" s="39" t="s">
        <v>272</v>
      </c>
    </row>
    <row r="10" customFormat="false" ht="30" hidden="false" customHeight="true" outlineLevel="0" collapsed="false">
      <c r="A10" s="53" t="s">
        <v>38</v>
      </c>
      <c r="B10" s="73" t="s">
        <v>914</v>
      </c>
      <c r="C10" s="13" t="s">
        <v>918</v>
      </c>
      <c r="D10" s="52" t="s">
        <v>912</v>
      </c>
      <c r="E10" s="52" t="s">
        <v>909</v>
      </c>
      <c r="F10" s="52" t="s">
        <v>919</v>
      </c>
      <c r="G10" s="39" t="s">
        <v>272</v>
      </c>
    </row>
    <row r="11" customFormat="false" ht="30" hidden="false" customHeight="true" outlineLevel="0" collapsed="false">
      <c r="A11" s="53" t="s">
        <v>38</v>
      </c>
      <c r="B11" s="73" t="s">
        <v>914</v>
      </c>
      <c r="C11" s="13" t="s">
        <v>920</v>
      </c>
      <c r="D11" s="52" t="s">
        <v>598</v>
      </c>
      <c r="E11" s="52" t="s">
        <v>909</v>
      </c>
      <c r="F11" s="53" t="s">
        <v>921</v>
      </c>
      <c r="G11" s="39" t="s">
        <v>272</v>
      </c>
    </row>
    <row r="12" customFormat="false" ht="30" hidden="false" customHeight="true" outlineLevel="0" collapsed="false">
      <c r="A12" s="53" t="s">
        <v>38</v>
      </c>
      <c r="B12" s="73" t="s">
        <v>922</v>
      </c>
      <c r="C12" s="13" t="s">
        <v>923</v>
      </c>
      <c r="D12" s="52" t="s">
        <v>924</v>
      </c>
      <c r="E12" s="52" t="s">
        <v>925</v>
      </c>
      <c r="F12" s="53" t="s">
        <v>926</v>
      </c>
      <c r="G12" s="39" t="s">
        <v>272</v>
      </c>
    </row>
    <row r="13" customFormat="false" ht="30" hidden="false" customHeight="true" outlineLevel="0" collapsed="false">
      <c r="A13" s="53" t="s">
        <v>49</v>
      </c>
      <c r="B13" s="73" t="s">
        <v>927</v>
      </c>
      <c r="C13" s="13" t="s">
        <v>928</v>
      </c>
      <c r="D13" s="52" t="s">
        <v>916</v>
      </c>
      <c r="E13" s="52" t="s">
        <v>909</v>
      </c>
      <c r="F13" s="53" t="s">
        <v>929</v>
      </c>
      <c r="G13" s="39" t="s">
        <v>450</v>
      </c>
    </row>
    <row r="14" customFormat="false" ht="30" hidden="false" customHeight="true" outlineLevel="0" collapsed="false">
      <c r="A14" s="53" t="s">
        <v>49</v>
      </c>
      <c r="B14" s="73" t="s">
        <v>927</v>
      </c>
      <c r="C14" s="13" t="s">
        <v>930</v>
      </c>
      <c r="D14" s="52" t="s">
        <v>598</v>
      </c>
      <c r="E14" s="52" t="s">
        <v>909</v>
      </c>
      <c r="F14" s="53" t="s">
        <v>931</v>
      </c>
      <c r="G14" s="39" t="s">
        <v>450</v>
      </c>
    </row>
    <row r="15" customFormat="false" ht="30" hidden="false" customHeight="true" outlineLevel="0" collapsed="false">
      <c r="A15" s="53" t="s">
        <v>49</v>
      </c>
      <c r="B15" s="73" t="s">
        <v>927</v>
      </c>
      <c r="C15" s="13" t="s">
        <v>932</v>
      </c>
      <c r="D15" s="52" t="s">
        <v>933</v>
      </c>
      <c r="E15" s="52" t="s">
        <v>909</v>
      </c>
      <c r="F15" s="52" t="s">
        <v>934</v>
      </c>
      <c r="G15" s="39" t="s">
        <v>450</v>
      </c>
    </row>
    <row r="16" customFormat="false" ht="30" hidden="false" customHeight="true" outlineLevel="0" collapsed="false">
      <c r="A16" s="53" t="s">
        <v>58</v>
      </c>
      <c r="B16" s="73" t="s">
        <v>935</v>
      </c>
      <c r="C16" s="13" t="s">
        <v>936</v>
      </c>
      <c r="D16" s="53" t="s">
        <v>638</v>
      </c>
      <c r="E16" s="52" t="s">
        <v>937</v>
      </c>
      <c r="F16" s="53" t="s">
        <v>938</v>
      </c>
      <c r="G16" s="39" t="s">
        <v>495</v>
      </c>
    </row>
    <row r="17" customFormat="false" ht="30" hidden="false" customHeight="true" outlineLevel="0" collapsed="false">
      <c r="A17" s="53" t="s">
        <v>58</v>
      </c>
      <c r="B17" s="73" t="s">
        <v>935</v>
      </c>
      <c r="C17" s="13" t="s">
        <v>939</v>
      </c>
      <c r="D17" s="52" t="s">
        <v>912</v>
      </c>
      <c r="E17" s="52" t="s">
        <v>909</v>
      </c>
      <c r="F17" s="52" t="s">
        <v>940</v>
      </c>
      <c r="G17" s="39" t="s">
        <v>495</v>
      </c>
    </row>
    <row r="18" customFormat="false" ht="30" hidden="false" customHeight="true" outlineLevel="0" collapsed="false">
      <c r="A18" s="53" t="s">
        <v>58</v>
      </c>
      <c r="B18" s="73" t="s">
        <v>935</v>
      </c>
      <c r="C18" s="13" t="s">
        <v>941</v>
      </c>
      <c r="D18" s="52" t="s">
        <v>942</v>
      </c>
      <c r="E18" s="52" t="s">
        <v>909</v>
      </c>
      <c r="F18" s="53" t="s">
        <v>943</v>
      </c>
      <c r="G18" s="39" t="s">
        <v>495</v>
      </c>
    </row>
    <row r="19" customFormat="false" ht="30" hidden="false" customHeight="true" outlineLevel="0" collapsed="false">
      <c r="A19" s="53" t="s">
        <v>69</v>
      </c>
      <c r="B19" s="73" t="s">
        <v>944</v>
      </c>
      <c r="C19" s="13" t="s">
        <v>945</v>
      </c>
      <c r="D19" s="52" t="s">
        <v>598</v>
      </c>
      <c r="E19" s="52" t="s">
        <v>909</v>
      </c>
      <c r="F19" s="53" t="s">
        <v>946</v>
      </c>
      <c r="G19" s="39" t="s">
        <v>450</v>
      </c>
    </row>
    <row r="20" customFormat="false" ht="30" hidden="false" customHeight="true" outlineLevel="0" collapsed="false">
      <c r="A20" s="53" t="s">
        <v>69</v>
      </c>
      <c r="B20" s="52" t="s">
        <v>947</v>
      </c>
      <c r="C20" s="52" t="s">
        <v>948</v>
      </c>
      <c r="D20" s="53" t="s">
        <v>292</v>
      </c>
      <c r="E20" s="53" t="s">
        <v>292</v>
      </c>
      <c r="F20" s="52" t="s">
        <v>949</v>
      </c>
      <c r="G20" s="39" t="s">
        <v>450</v>
      </c>
    </row>
    <row r="21" customFormat="false" ht="30" hidden="false" customHeight="true" outlineLevel="0" collapsed="false">
      <c r="A21" s="53" t="s">
        <v>79</v>
      </c>
      <c r="B21" s="73" t="s">
        <v>950</v>
      </c>
      <c r="C21" s="13" t="s">
        <v>951</v>
      </c>
      <c r="D21" s="52" t="s">
        <v>952</v>
      </c>
      <c r="E21" s="52" t="s">
        <v>953</v>
      </c>
      <c r="F21" s="52" t="s">
        <v>954</v>
      </c>
      <c r="G21" s="39" t="s">
        <v>411</v>
      </c>
    </row>
    <row r="22" customFormat="false" ht="30" hidden="false" customHeight="true" outlineLevel="0" collapsed="false">
      <c r="A22" s="53" t="s">
        <v>79</v>
      </c>
      <c r="B22" s="73" t="s">
        <v>955</v>
      </c>
      <c r="C22" s="13" t="s">
        <v>956</v>
      </c>
      <c r="D22" s="52" t="s">
        <v>957</v>
      </c>
      <c r="E22" s="52" t="s">
        <v>909</v>
      </c>
      <c r="F22" s="53" t="s">
        <v>958</v>
      </c>
      <c r="G22" s="39" t="s">
        <v>411</v>
      </c>
    </row>
    <row r="23" customFormat="false" ht="30" hidden="false" customHeight="true" outlineLevel="0" collapsed="false">
      <c r="A23" s="53" t="s">
        <v>79</v>
      </c>
      <c r="B23" s="73" t="s">
        <v>955</v>
      </c>
      <c r="C23" s="13" t="s">
        <v>959</v>
      </c>
      <c r="D23" s="52" t="s">
        <v>912</v>
      </c>
      <c r="E23" s="52" t="s">
        <v>909</v>
      </c>
      <c r="F23" s="53" t="s">
        <v>960</v>
      </c>
      <c r="G23" s="39" t="s">
        <v>411</v>
      </c>
    </row>
    <row r="24" customFormat="false" ht="30" hidden="false" customHeight="true" outlineLevel="0" collapsed="false">
      <c r="A24" s="53" t="s">
        <v>79</v>
      </c>
      <c r="B24" s="73" t="s">
        <v>955</v>
      </c>
      <c r="C24" s="13" t="s">
        <v>961</v>
      </c>
      <c r="D24" s="53" t="s">
        <v>962</v>
      </c>
      <c r="E24" s="52" t="s">
        <v>963</v>
      </c>
      <c r="F24" s="53" t="s">
        <v>964</v>
      </c>
      <c r="G24" s="39" t="s">
        <v>411</v>
      </c>
    </row>
    <row r="25" customFormat="false" ht="30" hidden="false" customHeight="true" outlineLevel="0" collapsed="false">
      <c r="A25" s="53" t="s">
        <v>79</v>
      </c>
      <c r="B25" s="52" t="s">
        <v>965</v>
      </c>
      <c r="C25" s="52" t="s">
        <v>966</v>
      </c>
      <c r="D25" s="53" t="s">
        <v>292</v>
      </c>
      <c r="E25" s="53" t="s">
        <v>292</v>
      </c>
      <c r="F25" s="52" t="s">
        <v>967</v>
      </c>
      <c r="G25" s="39" t="s">
        <v>411</v>
      </c>
    </row>
    <row r="26" customFormat="false" ht="30" hidden="false" customHeight="true" outlineLevel="0" collapsed="false">
      <c r="A26" s="53" t="s">
        <v>88</v>
      </c>
      <c r="B26" s="73" t="s">
        <v>968</v>
      </c>
      <c r="C26" s="13" t="s">
        <v>969</v>
      </c>
      <c r="D26" s="52" t="s">
        <v>916</v>
      </c>
      <c r="E26" s="52" t="s">
        <v>909</v>
      </c>
      <c r="F26" s="53" t="s">
        <v>970</v>
      </c>
      <c r="G26" s="39" t="s">
        <v>366</v>
      </c>
    </row>
    <row r="27" customFormat="false" ht="30" hidden="false" customHeight="true" outlineLevel="0" collapsed="false">
      <c r="A27" s="53" t="s">
        <v>88</v>
      </c>
      <c r="B27" s="52" t="s">
        <v>971</v>
      </c>
      <c r="C27" s="52" t="s">
        <v>972</v>
      </c>
      <c r="D27" s="53" t="s">
        <v>292</v>
      </c>
      <c r="E27" s="53" t="s">
        <v>292</v>
      </c>
      <c r="F27" s="52" t="s">
        <v>973</v>
      </c>
      <c r="G27" s="39" t="s">
        <v>366</v>
      </c>
    </row>
    <row r="28" customFormat="false" ht="30" hidden="false" customHeight="true" outlineLevel="0" collapsed="false">
      <c r="A28" s="53" t="s">
        <v>88</v>
      </c>
      <c r="B28" s="73" t="s">
        <v>974</v>
      </c>
      <c r="C28" s="13" t="s">
        <v>975</v>
      </c>
      <c r="D28" s="52" t="s">
        <v>598</v>
      </c>
      <c r="E28" s="52" t="s">
        <v>976</v>
      </c>
      <c r="F28" s="53" t="s">
        <v>977</v>
      </c>
      <c r="G28" s="39" t="s">
        <v>366</v>
      </c>
    </row>
    <row r="29" customFormat="false" ht="30" hidden="false" customHeight="true" outlineLevel="0" collapsed="false">
      <c r="A29" s="53" t="s">
        <v>88</v>
      </c>
      <c r="B29" s="73" t="s">
        <v>974</v>
      </c>
      <c r="C29" s="13" t="s">
        <v>978</v>
      </c>
      <c r="D29" s="53" t="s">
        <v>979</v>
      </c>
      <c r="E29" s="52" t="s">
        <v>976</v>
      </c>
      <c r="F29" s="53" t="s">
        <v>980</v>
      </c>
      <c r="G29" s="39" t="s">
        <v>366</v>
      </c>
    </row>
    <row r="30" customFormat="false" ht="30" hidden="false" customHeight="true" outlineLevel="0" collapsed="false">
      <c r="A30" s="53" t="s">
        <v>88</v>
      </c>
      <c r="B30" s="73" t="s">
        <v>974</v>
      </c>
      <c r="C30" s="13" t="s">
        <v>981</v>
      </c>
      <c r="D30" s="53" t="s">
        <v>979</v>
      </c>
      <c r="E30" s="52" t="s">
        <v>976</v>
      </c>
      <c r="F30" s="53" t="s">
        <v>982</v>
      </c>
      <c r="G30" s="39" t="s">
        <v>366</v>
      </c>
    </row>
    <row r="31" customFormat="false" ht="30" hidden="false" customHeight="true" outlineLevel="0" collapsed="false">
      <c r="A31" s="53" t="s">
        <v>96</v>
      </c>
      <c r="B31" s="74" t="s">
        <v>97</v>
      </c>
      <c r="C31" s="13" t="s">
        <v>983</v>
      </c>
      <c r="D31" s="53" t="s">
        <v>638</v>
      </c>
      <c r="E31" s="52" t="s">
        <v>984</v>
      </c>
      <c r="F31" s="53" t="s">
        <v>985</v>
      </c>
      <c r="G31" s="41" t="s">
        <v>83</v>
      </c>
    </row>
    <row r="32" customFormat="false" ht="30" hidden="false" customHeight="true" outlineLevel="0" collapsed="false">
      <c r="A32" s="53" t="s">
        <v>96</v>
      </c>
      <c r="B32" s="74" t="s">
        <v>97</v>
      </c>
      <c r="C32" s="13" t="s">
        <v>880</v>
      </c>
      <c r="D32" s="53" t="s">
        <v>986</v>
      </c>
      <c r="E32" s="52" t="s">
        <v>987</v>
      </c>
      <c r="F32" s="52" t="s">
        <v>988</v>
      </c>
      <c r="G32" s="41" t="s">
        <v>83</v>
      </c>
    </row>
    <row r="33" customFormat="false" ht="30" hidden="false" customHeight="true" outlineLevel="0" collapsed="false">
      <c r="A33" s="53" t="s">
        <v>369</v>
      </c>
      <c r="B33" s="73" t="s">
        <v>989</v>
      </c>
      <c r="C33" s="13" t="s">
        <v>868</v>
      </c>
      <c r="D33" s="53" t="s">
        <v>986</v>
      </c>
      <c r="E33" s="52" t="s">
        <v>990</v>
      </c>
      <c r="F33" s="52" t="s">
        <v>991</v>
      </c>
      <c r="G33" s="41" t="s">
        <v>83</v>
      </c>
    </row>
    <row r="34" customFormat="false" ht="30" hidden="false" customHeight="true" outlineLevel="0" collapsed="false">
      <c r="A34" s="53" t="s">
        <v>379</v>
      </c>
      <c r="B34" s="73" t="s">
        <v>992</v>
      </c>
      <c r="C34" s="13" t="s">
        <v>877</v>
      </c>
      <c r="D34" s="53" t="s">
        <v>986</v>
      </c>
      <c r="E34" s="52" t="s">
        <v>990</v>
      </c>
      <c r="F34" s="52" t="s">
        <v>993</v>
      </c>
      <c r="G34" s="41" t="s">
        <v>83</v>
      </c>
    </row>
    <row r="35" customFormat="false" ht="30" hidden="false" customHeight="true" outlineLevel="0" collapsed="false">
      <c r="A35" s="53" t="s">
        <v>292</v>
      </c>
      <c r="B35" s="73" t="s">
        <v>994</v>
      </c>
      <c r="C35" s="13" t="s">
        <v>995</v>
      </c>
      <c r="D35" s="52" t="s">
        <v>996</v>
      </c>
      <c r="E35" s="52" t="s">
        <v>997</v>
      </c>
      <c r="F35" s="52" t="s">
        <v>998</v>
      </c>
      <c r="G35" s="39" t="s">
        <v>292</v>
      </c>
    </row>
    <row r="36" customFormat="false" ht="30" hidden="false" customHeight="true" outlineLevel="0" collapsed="false">
      <c r="A36" s="53" t="s">
        <v>38</v>
      </c>
      <c r="B36" s="73" t="s">
        <v>39</v>
      </c>
      <c r="C36" s="13" t="s">
        <v>999</v>
      </c>
      <c r="D36" s="52" t="s">
        <v>598</v>
      </c>
      <c r="E36" s="52" t="s">
        <v>1000</v>
      </c>
      <c r="F36" s="53" t="s">
        <v>1001</v>
      </c>
      <c r="G36" s="39" t="s">
        <v>272</v>
      </c>
    </row>
    <row r="37" customFormat="false" ht="30" hidden="false" customHeight="true" outlineLevel="0" collapsed="false">
      <c r="A37" s="53" t="s">
        <v>322</v>
      </c>
      <c r="B37" s="73" t="s">
        <v>1002</v>
      </c>
      <c r="C37" s="13" t="s">
        <v>1003</v>
      </c>
      <c r="D37" s="52" t="s">
        <v>598</v>
      </c>
      <c r="E37" s="52" t="s">
        <v>1000</v>
      </c>
      <c r="F37" s="52" t="s">
        <v>1004</v>
      </c>
      <c r="G37" s="39" t="s">
        <v>272</v>
      </c>
    </row>
    <row r="38" customFormat="false" ht="30" hidden="false" customHeight="true" outlineLevel="0" collapsed="false">
      <c r="A38" s="53" t="s">
        <v>125</v>
      </c>
      <c r="B38" s="73" t="s">
        <v>1005</v>
      </c>
      <c r="C38" s="13" t="s">
        <v>1006</v>
      </c>
      <c r="D38" s="52" t="s">
        <v>598</v>
      </c>
      <c r="E38" s="52" t="s">
        <v>1000</v>
      </c>
      <c r="F38" s="53" t="s">
        <v>1007</v>
      </c>
      <c r="G38" s="39" t="s">
        <v>363</v>
      </c>
    </row>
    <row r="39" customFormat="false" ht="30" hidden="false" customHeight="true" outlineLevel="0" collapsed="false">
      <c r="A39" s="53" t="s">
        <v>115</v>
      </c>
      <c r="B39" s="73" t="s">
        <v>116</v>
      </c>
      <c r="C39" s="13" t="s">
        <v>1008</v>
      </c>
      <c r="D39" s="52" t="s">
        <v>588</v>
      </c>
      <c r="E39" s="52" t="s">
        <v>984</v>
      </c>
      <c r="F39" s="52" t="s">
        <v>1009</v>
      </c>
      <c r="G39" s="39" t="s">
        <v>319</v>
      </c>
    </row>
    <row r="40" customFormat="false" ht="30" hidden="false" customHeight="true" outlineLevel="0" collapsed="false">
      <c r="A40" s="53" t="s">
        <v>125</v>
      </c>
      <c r="B40" s="73" t="s">
        <v>1010</v>
      </c>
      <c r="C40" s="13" t="s">
        <v>1011</v>
      </c>
      <c r="D40" s="52" t="s">
        <v>588</v>
      </c>
      <c r="E40" s="52" t="s">
        <v>984</v>
      </c>
      <c r="F40" s="52" t="s">
        <v>1012</v>
      </c>
      <c r="G40" s="39" t="s">
        <v>363</v>
      </c>
    </row>
    <row r="41" customFormat="false" ht="30" hidden="false" customHeight="true" outlineLevel="0" collapsed="false">
      <c r="A41" s="53" t="s">
        <v>105</v>
      </c>
      <c r="B41" s="73" t="s">
        <v>106</v>
      </c>
      <c r="C41" s="13" t="s">
        <v>1013</v>
      </c>
      <c r="D41" s="52" t="s">
        <v>1014</v>
      </c>
      <c r="E41" s="52" t="s">
        <v>984</v>
      </c>
      <c r="F41" s="52" t="s">
        <v>1015</v>
      </c>
      <c r="G41" s="39" t="s">
        <v>408</v>
      </c>
    </row>
    <row r="42" customFormat="false" ht="30" hidden="false" customHeight="true" outlineLevel="0" collapsed="false">
      <c r="A42" s="53" t="s">
        <v>105</v>
      </c>
      <c r="B42" s="73" t="s">
        <v>106</v>
      </c>
      <c r="C42" s="13" t="s">
        <v>1016</v>
      </c>
      <c r="D42" s="52" t="s">
        <v>1017</v>
      </c>
      <c r="E42" s="52" t="s">
        <v>1018</v>
      </c>
      <c r="F42" s="52" t="s">
        <v>1019</v>
      </c>
      <c r="G42" s="39" t="s">
        <v>408</v>
      </c>
    </row>
    <row r="43" customFormat="false" ht="30" hidden="false" customHeight="true" outlineLevel="0" collapsed="false">
      <c r="A43" s="53" t="s">
        <v>345</v>
      </c>
      <c r="B43" s="73" t="s">
        <v>793</v>
      </c>
      <c r="C43" s="13" t="s">
        <v>1020</v>
      </c>
      <c r="D43" s="52" t="s">
        <v>924</v>
      </c>
      <c r="E43" s="52" t="s">
        <v>925</v>
      </c>
      <c r="F43" s="53" t="s">
        <v>1021</v>
      </c>
      <c r="G43" s="39" t="s">
        <v>351</v>
      </c>
    </row>
    <row r="44" customFormat="false" ht="30" hidden="false" customHeight="true" outlineLevel="0" collapsed="false">
      <c r="A44" s="53" t="s">
        <v>1022</v>
      </c>
      <c r="B44" s="73" t="s">
        <v>1023</v>
      </c>
      <c r="C44" s="13" t="s">
        <v>1024</v>
      </c>
      <c r="D44" s="52" t="s">
        <v>1025</v>
      </c>
      <c r="E44" s="52" t="s">
        <v>1026</v>
      </c>
      <c r="F44" s="52" t="s">
        <v>1027</v>
      </c>
      <c r="G44" s="41" t="s">
        <v>83</v>
      </c>
    </row>
  </sheetData>
  <hyperlinks>
    <hyperlink ref="B5" r:id="rId1" display="安敦國際大樓 ↗"/>
    <hyperlink ref="C5" r:id="rId2" display="https://business.591.com.tw/rent/22034644"/>
    <hyperlink ref="B6" r:id="rId3" display="安敦國際大樓 ↗"/>
    <hyperlink ref="C6" r:id="rId4" display="https://www.sinyi.com.tw/rent/houseno/CZ05290"/>
    <hyperlink ref="B7" r:id="rId5" display="安敦國際大樓 ↗"/>
    <hyperlink ref="C7" r:id="rId6" display="https://www.sinyi.com.tw/communitylist/communityinfo/0008194"/>
    <hyperlink ref="B8" r:id="rId7" display="安敦國際大樓 ↗"/>
    <hyperlink ref="C8" r:id="rId8" display="https://www.aire.com.tw/zlb-106-2604340"/>
    <hyperlink ref="B9" r:id="rId9" display="中鼎大樓 ↗"/>
    <hyperlink ref="C9" r:id="rId10" display="https://buy.housefun.com.tw/buy/building/11014"/>
    <hyperlink ref="B10" r:id="rId11" display="中鼎大樓 ↗"/>
    <hyperlink ref="C10" r:id="rId12" display="https://www.aire.com.tw/zlb-106-2604327"/>
    <hyperlink ref="B11" r:id="rId13" display="中鼎大樓 ↗"/>
    <hyperlink ref="C11" r:id="rId14" display="https://www.sinyi.com.tw/communitylist/communityinfo/0008189"/>
    <hyperlink ref="B12" r:id="rId15" display="中鼎大樓 2F／22F 單筆報表 ↗"/>
    <hyperlink ref="C12" r:id="rId16" display="https://kevinashowtimes-web.github.io/showtime-office-dashboard/JE_J12_zhongding_2F.pdf"/>
    <hyperlink ref="B13" r:id="rId17" display="旭寶大樓 ↗"/>
    <hyperlink ref="C13" r:id="rId18" display="https://buy.housefun.com.tw/buy/building/9278"/>
    <hyperlink ref="B14" r:id="rId19" display="旭寶大樓 ↗"/>
    <hyperlink ref="C14" r:id="rId20" display="https://www.sinyi.com.tw/communitylist/communityinfo/0003380"/>
    <hyperlink ref="B15" r:id="rId21" display="旭寶大樓 ↗"/>
    <hyperlink ref="C15" r:id="rId22" display="https://www.leju.com.tw/community/Lffc1292f3182"/>
    <hyperlink ref="B16" r:id="rId23" display="敦化財經大樓 ↗"/>
    <hyperlink ref="C16" r:id="rId24" display="https://business.591.com.tw/rent/21856432"/>
    <hyperlink ref="B17" r:id="rId25" display="敦化財經大樓 ↗"/>
    <hyperlink ref="C17" r:id="rId26" display="https://www.aire.com.tw/zlb-105-2604215"/>
    <hyperlink ref="B18" r:id="rId27" display="敦化財經大樓 ↗"/>
    <hyperlink ref="C18" r:id="rId28" display="https://buy.housefun.com.tw/buy/building/40468"/>
    <hyperlink ref="B19" r:id="rId29" display="國泰世華銀行大樓 ↗"/>
    <hyperlink ref="C19" r:id="rId30" display="https://www.sinyi.com.tw/communitylist/communityinfo/0008197"/>
    <hyperlink ref="B21" r:id="rId31" display="友聯大樓 5F 室內照片 ↗"/>
    <hyperlink ref="C21" r:id="rId32" display="https://kevinashowtimes-web.github.io/showtime-office-dashboard/?case=f"/>
    <hyperlink ref="B22" r:id="rId33" display="友聯大樓 ↗"/>
    <hyperlink ref="C22" r:id="rId34" display="https://buy.housefun.com.tw/buy/building/12401"/>
    <hyperlink ref="B23" r:id="rId35" display="友聯大樓 ↗"/>
    <hyperlink ref="C23" r:id="rId36" display="https://www.aire.com.tw/en/zlb-105-2604194"/>
    <hyperlink ref="B24" r:id="rId37" display="友聯大樓 ↗"/>
    <hyperlink ref="C24" r:id="rId38" display="https://market.591.com.tw/5572/rent"/>
    <hyperlink ref="B26" r:id="rId39" display="白宮企業大樓 ↗"/>
    <hyperlink ref="C26" r:id="rId40" display="https://buy.housefun.com.tw/buy/building/28758"/>
    <hyperlink ref="B28" r:id="rId41" display="白宮企業大樓 — 同層參考(非本案) ↗"/>
    <hyperlink ref="C28" r:id="rId42" display="https://www.sinyi.com.tw/rent/houseno/C351775"/>
    <hyperlink ref="B29" r:id="rId43" display="白宮企業大樓 — 同層參考(非本案) ↗"/>
    <hyperlink ref="C29" r:id="rId44" display="https://business.591.com.tw/rent/21646876"/>
    <hyperlink ref="B30" r:id="rId45" display="白宮企業大樓 — 同層參考(非本案) ↗"/>
    <hyperlink ref="C30" r:id="rId46" display="https://business.591.com.tw/rent/21161432"/>
    <hyperlink ref="B31" r:id="rId47" display="591 光復南路 7F ↗"/>
    <hyperlink ref="C31" r:id="rId48" display="https://business.591.com.tw/rent/22030027"/>
    <hyperlink ref="B32" r:id="rId49" display="591 光復南路 7F ↗"/>
    <hyperlink ref="C32" r:id="rId50" display="https://www.houseweb.com.tw/house/2653888"/>
    <hyperlink ref="B33" r:id="rId51" display="八德路四段 9F 206坪 ↗"/>
    <hyperlink ref="C33" r:id="rId52" display="https://www.houseweb.com.tw/house/2567826"/>
    <hyperlink ref="B34" r:id="rId53" display="信義 松山路 7F 205坪 ↗"/>
    <hyperlink ref="C34" r:id="rId54" display="https://www.houseweb.com.tw/house/2611327"/>
    <hyperlink ref="B35" r:id="rId55" display="國泰建經 民生商業大樓 ↗"/>
    <hyperlink ref="C35" r:id="rId56" display="https://www.cathay-rem.com.tw/property/detail/743zt8ammFQReRwF"/>
    <hyperlink ref="B36" r:id="rId57" display="中鼎大樓 15F之1 ↗"/>
    <hyperlink ref="C36" r:id="rId58" display="https://www.sinyi.com.tw/rent/houseno/CZ05572"/>
    <hyperlink ref="B37" r:id="rId59" display="中鼎大樓 2F ↗"/>
    <hyperlink ref="C37" r:id="rId60" display="https://www.sinyi.com.tw/rent/houseno/CZ05228"/>
    <hyperlink ref="B38" r:id="rId61" display="家美金融大樓 15F ↗"/>
    <hyperlink ref="C38" r:id="rId62" display="https://www.sinyi.com.tw/rent/houseno/CZ05491"/>
    <hyperlink ref="B39" r:id="rId63" display="永慶 安敦國際大樓 14F ↗"/>
    <hyperlink ref="C39" r:id="rId64" display="https://rent.yungching.com.tw/region/house/2358272?pc=0916263633"/>
    <hyperlink ref="B40" r:id="rId65" display="永慶 家美金融大樓 15F ↗"/>
    <hyperlink ref="C40" r:id="rId66" display="https://rent.yungching.com.tw/region/house/2373308?pc=0916263633"/>
    <hyperlink ref="B41" r:id="rId67" display="信義 光復北路新大樓 5F ↗"/>
    <hyperlink ref="C41" r:id="rId68" display="https://www.sinyiglobal.com/rental/C355686"/>
    <hyperlink ref="B42" r:id="rId69" display="信義 光復北路新大樓 5F ↗"/>
    <hyperlink ref="C42" r:id="rId70" display="https://www.sinyi.com.tw/rent/houseno/C355686"/>
    <hyperlink ref="B43" r:id="rId71" display="鴻霖大樓 10F之2 ↗"/>
    <hyperlink ref="C43" r:id="rId72" display="https://kevinashowtimes-web.github.io/showtime-office-dashboard/JE_J07_honglin_10F-2.pdf"/>
    <hyperlink ref="B44" r:id="rId73" display="傑森愛華清單 ↗"/>
    <hyperlink ref="C44" r:id="rId74" display="https://edward0618.com/rent_multi_repor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6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8"/>
  </cols>
  <sheetData>
    <row r="1" customFormat="false" ht="16.15" hidden="false" customHeight="false" outlineLevel="0" collapsed="false">
      <c r="A1" s="1" t="s">
        <v>1028</v>
      </c>
    </row>
    <row r="2" customFormat="false" ht="15" hidden="false" customHeight="false" outlineLevel="0" collapsed="false">
      <c r="A2" s="2" t="s">
        <v>1029</v>
      </c>
    </row>
    <row r="4" customFormat="false" ht="15" hidden="false" customHeight="false" outlineLevel="0" collapsed="false">
      <c r="A4" s="71" t="s">
        <v>2</v>
      </c>
      <c r="B4" s="71" t="s">
        <v>3</v>
      </c>
      <c r="C4" s="71" t="s">
        <v>1030</v>
      </c>
      <c r="D4" s="71" t="s">
        <v>1031</v>
      </c>
      <c r="E4" s="71" t="s">
        <v>1032</v>
      </c>
      <c r="F4" s="71" t="s">
        <v>1033</v>
      </c>
      <c r="G4" s="71" t="s">
        <v>24</v>
      </c>
      <c r="H4" s="71" t="s">
        <v>264</v>
      </c>
    </row>
    <row r="5" customFormat="false" ht="31.5" hidden="false" customHeight="true" outlineLevel="0" collapsed="false">
      <c r="A5" s="52" t="s">
        <v>1034</v>
      </c>
      <c r="B5" s="53" t="s">
        <v>292</v>
      </c>
      <c r="C5" s="52" t="s">
        <v>1035</v>
      </c>
      <c r="D5" s="52" t="s">
        <v>1036</v>
      </c>
      <c r="E5" s="52" t="s">
        <v>1037</v>
      </c>
      <c r="F5" s="97" t="s">
        <v>1038</v>
      </c>
      <c r="G5" s="25" t="s">
        <v>292</v>
      </c>
      <c r="H5" s="39" t="s">
        <v>292</v>
      </c>
    </row>
    <row r="6" customFormat="false" ht="31.5" hidden="false" customHeight="true" outlineLevel="0" collapsed="false">
      <c r="A6" s="52" t="s">
        <v>1034</v>
      </c>
      <c r="B6" s="53" t="s">
        <v>292</v>
      </c>
      <c r="C6" s="52" t="s">
        <v>1039</v>
      </c>
      <c r="D6" s="52" t="s">
        <v>1040</v>
      </c>
      <c r="E6" s="52" t="s">
        <v>1037</v>
      </c>
      <c r="F6" s="97" t="s">
        <v>1038</v>
      </c>
      <c r="G6" s="25" t="s">
        <v>292</v>
      </c>
      <c r="H6" s="39" t="s">
        <v>292</v>
      </c>
    </row>
    <row r="7" customFormat="false" ht="31.5" hidden="false" customHeight="true" outlineLevel="0" collapsed="false">
      <c r="A7" s="52" t="s">
        <v>1034</v>
      </c>
      <c r="B7" s="53" t="s">
        <v>292</v>
      </c>
      <c r="C7" s="52" t="s">
        <v>1041</v>
      </c>
      <c r="D7" s="52" t="s">
        <v>1042</v>
      </c>
      <c r="E7" s="52" t="s">
        <v>1037</v>
      </c>
      <c r="F7" s="52" t="s">
        <v>1043</v>
      </c>
      <c r="G7" s="25" t="s">
        <v>292</v>
      </c>
      <c r="H7" s="39" t="s">
        <v>292</v>
      </c>
    </row>
    <row r="8" customFormat="false" ht="31.5" hidden="false" customHeight="true" outlineLevel="0" collapsed="false">
      <c r="A8" s="53" t="s">
        <v>25</v>
      </c>
      <c r="B8" s="73" t="s">
        <v>26</v>
      </c>
      <c r="C8" s="52" t="s">
        <v>1044</v>
      </c>
      <c r="D8" s="52" t="s">
        <v>1045</v>
      </c>
      <c r="E8" s="52" t="s">
        <v>1046</v>
      </c>
      <c r="F8" s="97" t="s">
        <v>1038</v>
      </c>
      <c r="G8" s="13" t="s">
        <v>37</v>
      </c>
      <c r="H8" s="39" t="s">
        <v>331</v>
      </c>
    </row>
    <row r="9" customFormat="false" ht="31.5" hidden="false" customHeight="true" outlineLevel="0" collapsed="false">
      <c r="A9" s="53" t="s">
        <v>38</v>
      </c>
      <c r="B9" s="73" t="s">
        <v>39</v>
      </c>
      <c r="C9" s="52" t="s">
        <v>1047</v>
      </c>
      <c r="D9" s="52" t="s">
        <v>1048</v>
      </c>
      <c r="E9" s="52" t="s">
        <v>1049</v>
      </c>
      <c r="F9" s="97" t="s">
        <v>1038</v>
      </c>
      <c r="G9" s="14" t="s">
        <v>48</v>
      </c>
      <c r="H9" s="39" t="s">
        <v>272</v>
      </c>
    </row>
    <row r="10" customFormat="false" ht="31.5" hidden="false" customHeight="true" outlineLevel="0" collapsed="false">
      <c r="A10" s="53" t="s">
        <v>38</v>
      </c>
      <c r="B10" s="73" t="s">
        <v>39</v>
      </c>
      <c r="C10" s="52" t="s">
        <v>1050</v>
      </c>
      <c r="D10" s="52" t="s">
        <v>1051</v>
      </c>
      <c r="E10" s="52" t="s">
        <v>1049</v>
      </c>
      <c r="F10" s="52" t="s">
        <v>1043</v>
      </c>
      <c r="G10" s="14" t="s">
        <v>48</v>
      </c>
      <c r="H10" s="39" t="s">
        <v>272</v>
      </c>
    </row>
    <row r="11" customFormat="false" ht="31.5" hidden="false" customHeight="true" outlineLevel="0" collapsed="false">
      <c r="A11" s="53" t="s">
        <v>58</v>
      </c>
      <c r="B11" s="73" t="s">
        <v>59</v>
      </c>
      <c r="C11" s="52" t="s">
        <v>1052</v>
      </c>
      <c r="D11" s="52" t="s">
        <v>1053</v>
      </c>
      <c r="E11" s="52" t="s">
        <v>1054</v>
      </c>
      <c r="F11" s="97" t="s">
        <v>1038</v>
      </c>
      <c r="G11" s="13" t="s">
        <v>68</v>
      </c>
      <c r="H11" s="39" t="s">
        <v>495</v>
      </c>
    </row>
    <row r="12" customFormat="false" ht="31.5" hidden="false" customHeight="true" outlineLevel="0" collapsed="false">
      <c r="A12" s="53" t="s">
        <v>58</v>
      </c>
      <c r="B12" s="73" t="s">
        <v>59</v>
      </c>
      <c r="C12" s="52" t="s">
        <v>1055</v>
      </c>
      <c r="D12" s="52" t="s">
        <v>1056</v>
      </c>
      <c r="E12" s="52" t="s">
        <v>1054</v>
      </c>
      <c r="F12" s="97" t="s">
        <v>1038</v>
      </c>
      <c r="G12" s="13" t="s">
        <v>68</v>
      </c>
      <c r="H12" s="39" t="s">
        <v>495</v>
      </c>
    </row>
    <row r="13" customFormat="false" ht="31.5" hidden="false" customHeight="true" outlineLevel="0" collapsed="false">
      <c r="A13" s="53" t="s">
        <v>69</v>
      </c>
      <c r="B13" s="73" t="s">
        <v>70</v>
      </c>
      <c r="C13" s="52" t="s">
        <v>1057</v>
      </c>
      <c r="D13" s="52" t="s">
        <v>1058</v>
      </c>
      <c r="E13" s="52" t="s">
        <v>1059</v>
      </c>
      <c r="F13" s="97" t="s">
        <v>1038</v>
      </c>
      <c r="G13" s="14" t="s">
        <v>78</v>
      </c>
      <c r="H13" s="39" t="s">
        <v>450</v>
      </c>
    </row>
    <row r="14" customFormat="false" ht="31.5" hidden="false" customHeight="true" outlineLevel="0" collapsed="false">
      <c r="A14" s="53" t="s">
        <v>69</v>
      </c>
      <c r="B14" s="73" t="s">
        <v>70</v>
      </c>
      <c r="C14" s="52" t="s">
        <v>1060</v>
      </c>
      <c r="D14" s="52" t="s">
        <v>1061</v>
      </c>
      <c r="E14" s="52" t="s">
        <v>1059</v>
      </c>
      <c r="F14" s="97" t="s">
        <v>1038</v>
      </c>
      <c r="G14" s="14" t="s">
        <v>78</v>
      </c>
      <c r="H14" s="39" t="s">
        <v>450</v>
      </c>
    </row>
    <row r="15" customFormat="false" ht="31.5" hidden="false" customHeight="true" outlineLevel="0" collapsed="false">
      <c r="A15" s="53" t="s">
        <v>69</v>
      </c>
      <c r="B15" s="73" t="s">
        <v>70</v>
      </c>
      <c r="C15" s="52" t="s">
        <v>1062</v>
      </c>
      <c r="D15" s="52" t="s">
        <v>1063</v>
      </c>
      <c r="E15" s="52" t="s">
        <v>1059</v>
      </c>
      <c r="F15" s="97" t="s">
        <v>1038</v>
      </c>
      <c r="G15" s="14" t="s">
        <v>78</v>
      </c>
      <c r="H15" s="39" t="s">
        <v>450</v>
      </c>
    </row>
    <row r="16" customFormat="false" ht="31.5" hidden="false" customHeight="true" outlineLevel="0" collapsed="false">
      <c r="A16" s="53" t="s">
        <v>1064</v>
      </c>
      <c r="B16" s="73" t="s">
        <v>1065</v>
      </c>
      <c r="C16" s="52" t="s">
        <v>1066</v>
      </c>
      <c r="D16" s="52" t="s">
        <v>1067</v>
      </c>
      <c r="E16" s="52" t="s">
        <v>1068</v>
      </c>
      <c r="F16" s="97" t="s">
        <v>1038</v>
      </c>
      <c r="G16" s="14" t="s">
        <v>307</v>
      </c>
      <c r="H16" s="39" t="s">
        <v>444</v>
      </c>
    </row>
    <row r="17" customFormat="false" ht="31.5" hidden="false" customHeight="true" outlineLevel="0" collapsed="false">
      <c r="A17" s="53" t="s">
        <v>79</v>
      </c>
      <c r="B17" s="73" t="s">
        <v>80</v>
      </c>
      <c r="C17" s="52" t="s">
        <v>1069</v>
      </c>
      <c r="D17" s="52" t="s">
        <v>1070</v>
      </c>
      <c r="E17" s="52" t="s">
        <v>1071</v>
      </c>
      <c r="F17" s="97" t="s">
        <v>1038</v>
      </c>
      <c r="G17" s="14" t="s">
        <v>87</v>
      </c>
      <c r="H17" s="39" t="s">
        <v>411</v>
      </c>
    </row>
    <row r="18" customFormat="false" ht="31.5" hidden="false" customHeight="true" outlineLevel="0" collapsed="false">
      <c r="A18" s="53" t="s">
        <v>79</v>
      </c>
      <c r="B18" s="73" t="s">
        <v>80</v>
      </c>
      <c r="C18" s="52" t="s">
        <v>1072</v>
      </c>
      <c r="D18" s="52" t="s">
        <v>1073</v>
      </c>
      <c r="E18" s="52" t="s">
        <v>1071</v>
      </c>
      <c r="F18" s="52" t="s">
        <v>1043</v>
      </c>
      <c r="G18" s="14" t="s">
        <v>87</v>
      </c>
      <c r="H18" s="39" t="s">
        <v>411</v>
      </c>
    </row>
    <row r="19" customFormat="false" ht="31.5" hidden="false" customHeight="true" outlineLevel="0" collapsed="false">
      <c r="A19" s="53" t="s">
        <v>79</v>
      </c>
      <c r="B19" s="73" t="s">
        <v>80</v>
      </c>
      <c r="C19" s="52" t="s">
        <v>1074</v>
      </c>
      <c r="D19" s="52" t="s">
        <v>1075</v>
      </c>
      <c r="E19" s="52" t="s">
        <v>1076</v>
      </c>
      <c r="F19" s="52" t="s">
        <v>1043</v>
      </c>
      <c r="G19" s="14" t="s">
        <v>87</v>
      </c>
      <c r="H19" s="39" t="s">
        <v>411</v>
      </c>
    </row>
    <row r="20" customFormat="false" ht="31.5" hidden="false" customHeight="true" outlineLevel="0" collapsed="false">
      <c r="A20" s="53" t="s">
        <v>88</v>
      </c>
      <c r="B20" s="73" t="s">
        <v>89</v>
      </c>
      <c r="C20" s="52" t="s">
        <v>1077</v>
      </c>
      <c r="D20" s="52" t="s">
        <v>1078</v>
      </c>
      <c r="E20" s="52" t="s">
        <v>1054</v>
      </c>
      <c r="F20" s="97" t="s">
        <v>1038</v>
      </c>
      <c r="G20" s="14" t="s">
        <v>95</v>
      </c>
      <c r="H20" s="39" t="s">
        <v>366</v>
      </c>
    </row>
    <row r="21" customFormat="false" ht="31.5" hidden="false" customHeight="true" outlineLevel="0" collapsed="false">
      <c r="A21" s="53" t="s">
        <v>88</v>
      </c>
      <c r="B21" s="73" t="s">
        <v>89</v>
      </c>
      <c r="C21" s="52" t="s">
        <v>1079</v>
      </c>
      <c r="D21" s="52" t="s">
        <v>1080</v>
      </c>
      <c r="E21" s="52" t="s">
        <v>1054</v>
      </c>
      <c r="F21" s="97" t="s">
        <v>1038</v>
      </c>
      <c r="G21" s="14" t="s">
        <v>95</v>
      </c>
      <c r="H21" s="39" t="s">
        <v>366</v>
      </c>
    </row>
    <row r="22" customFormat="false" ht="31.5" hidden="false" customHeight="true" outlineLevel="0" collapsed="false">
      <c r="A22" s="53" t="s">
        <v>96</v>
      </c>
      <c r="B22" s="74" t="s">
        <v>97</v>
      </c>
      <c r="C22" s="52" t="s">
        <v>1081</v>
      </c>
      <c r="D22" s="52" t="s">
        <v>1082</v>
      </c>
      <c r="E22" s="52" t="s">
        <v>1083</v>
      </c>
      <c r="F22" s="97" t="s">
        <v>1038</v>
      </c>
      <c r="G22" s="13" t="s">
        <v>104</v>
      </c>
      <c r="H22" s="41" t="s">
        <v>83</v>
      </c>
    </row>
    <row r="23" customFormat="false" ht="31.5" hidden="false" customHeight="true" outlineLevel="0" collapsed="false">
      <c r="A23" s="53" t="s">
        <v>96</v>
      </c>
      <c r="B23" s="74" t="s">
        <v>97</v>
      </c>
      <c r="C23" s="52" t="s">
        <v>1084</v>
      </c>
      <c r="D23" s="53" t="s">
        <v>1085</v>
      </c>
      <c r="E23" s="52" t="s">
        <v>1086</v>
      </c>
      <c r="F23" s="97" t="s">
        <v>1038</v>
      </c>
      <c r="G23" s="13" t="s">
        <v>104</v>
      </c>
      <c r="H23" s="41" t="s">
        <v>83</v>
      </c>
    </row>
    <row r="24" customFormat="false" ht="31.5" hidden="false" customHeight="true" outlineLevel="0" collapsed="false">
      <c r="A24" s="53" t="s">
        <v>105</v>
      </c>
      <c r="B24" s="73" t="s">
        <v>106</v>
      </c>
      <c r="C24" s="52" t="s">
        <v>1087</v>
      </c>
      <c r="D24" s="52" t="s">
        <v>1088</v>
      </c>
      <c r="E24" s="52" t="s">
        <v>1089</v>
      </c>
      <c r="F24" s="97" t="s">
        <v>1038</v>
      </c>
      <c r="G24" s="14" t="s">
        <v>114</v>
      </c>
      <c r="H24" s="39" t="s">
        <v>408</v>
      </c>
    </row>
    <row r="25" customFormat="false" ht="31.5" hidden="false" customHeight="true" outlineLevel="0" collapsed="false">
      <c r="A25" s="53" t="s">
        <v>105</v>
      </c>
      <c r="B25" s="73" t="s">
        <v>106</v>
      </c>
      <c r="C25" s="52" t="s">
        <v>1090</v>
      </c>
      <c r="D25" s="52" t="s">
        <v>1091</v>
      </c>
      <c r="E25" s="52" t="s">
        <v>1092</v>
      </c>
      <c r="F25" s="97" t="s">
        <v>1038</v>
      </c>
      <c r="G25" s="14" t="s">
        <v>114</v>
      </c>
      <c r="H25" s="39" t="s">
        <v>408</v>
      </c>
    </row>
    <row r="26" customFormat="false" ht="31.5" hidden="false" customHeight="true" outlineLevel="0" collapsed="false">
      <c r="A26" s="53" t="s">
        <v>105</v>
      </c>
      <c r="B26" s="73" t="s">
        <v>106</v>
      </c>
      <c r="C26" s="52" t="s">
        <v>1093</v>
      </c>
      <c r="D26" s="52" t="s">
        <v>1094</v>
      </c>
      <c r="E26" s="52" t="s">
        <v>1095</v>
      </c>
      <c r="F26" s="97" t="s">
        <v>1038</v>
      </c>
      <c r="G26" s="14" t="s">
        <v>114</v>
      </c>
      <c r="H26" s="39" t="s">
        <v>408</v>
      </c>
    </row>
    <row r="27" customFormat="false" ht="31.5" hidden="false" customHeight="true" outlineLevel="0" collapsed="false">
      <c r="A27" s="53" t="s">
        <v>1096</v>
      </c>
      <c r="B27" s="74" t="s">
        <v>1097</v>
      </c>
      <c r="C27" s="52" t="s">
        <v>1098</v>
      </c>
      <c r="D27" s="52" t="s">
        <v>1070</v>
      </c>
      <c r="E27" s="52" t="s">
        <v>1099</v>
      </c>
      <c r="F27" s="97" t="s">
        <v>1038</v>
      </c>
      <c r="G27" s="13" t="s">
        <v>376</v>
      </c>
      <c r="H27" s="41" t="s">
        <v>83</v>
      </c>
    </row>
    <row r="28" customFormat="false" ht="31.5" hidden="false" customHeight="true" outlineLevel="0" collapsed="false">
      <c r="A28" s="53" t="s">
        <v>1100</v>
      </c>
      <c r="B28" s="73" t="s">
        <v>1101</v>
      </c>
      <c r="C28" s="52" t="s">
        <v>1102</v>
      </c>
      <c r="D28" s="52" t="s">
        <v>1103</v>
      </c>
      <c r="E28" s="52" t="s">
        <v>1068</v>
      </c>
      <c r="F28" s="97" t="s">
        <v>1038</v>
      </c>
      <c r="G28" s="14" t="s">
        <v>394</v>
      </c>
      <c r="H28" s="41" t="s">
        <v>83</v>
      </c>
    </row>
    <row r="29" customFormat="false" ht="31.5" hidden="false" customHeight="true" outlineLevel="0" collapsed="false">
      <c r="A29" s="53" t="s">
        <v>38</v>
      </c>
      <c r="B29" s="73" t="s">
        <v>39</v>
      </c>
      <c r="C29" s="52" t="s">
        <v>1104</v>
      </c>
      <c r="D29" s="52" t="s">
        <v>1105</v>
      </c>
      <c r="E29" s="52" t="s">
        <v>1106</v>
      </c>
      <c r="F29" s="97" t="s">
        <v>1038</v>
      </c>
      <c r="G29" s="14" t="s">
        <v>48</v>
      </c>
      <c r="H29" s="39" t="s">
        <v>272</v>
      </c>
    </row>
    <row r="30" customFormat="false" ht="31.5" hidden="false" customHeight="true" outlineLevel="0" collapsed="false">
      <c r="A30" s="53" t="s">
        <v>58</v>
      </c>
      <c r="B30" s="73" t="s">
        <v>59</v>
      </c>
      <c r="C30" s="52" t="s">
        <v>1107</v>
      </c>
      <c r="D30" s="52" t="s">
        <v>1108</v>
      </c>
      <c r="E30" s="52" t="s">
        <v>1109</v>
      </c>
      <c r="F30" s="97" t="s">
        <v>1038</v>
      </c>
      <c r="G30" s="13" t="s">
        <v>68</v>
      </c>
      <c r="H30" s="39" t="s">
        <v>495</v>
      </c>
    </row>
    <row r="31" customFormat="false" ht="31.5" hidden="false" customHeight="true" outlineLevel="0" collapsed="false">
      <c r="A31" s="53" t="s">
        <v>58</v>
      </c>
      <c r="B31" s="73" t="s">
        <v>59</v>
      </c>
      <c r="C31" s="53" t="s">
        <v>1110</v>
      </c>
      <c r="D31" s="52" t="s">
        <v>1111</v>
      </c>
      <c r="E31" s="52" t="s">
        <v>1112</v>
      </c>
      <c r="F31" s="97" t="s">
        <v>1038</v>
      </c>
      <c r="G31" s="13" t="s">
        <v>68</v>
      </c>
      <c r="H31" s="39" t="s">
        <v>495</v>
      </c>
    </row>
    <row r="32" customFormat="false" ht="31.5" hidden="false" customHeight="true" outlineLevel="0" collapsed="false">
      <c r="A32" s="53" t="s">
        <v>292</v>
      </c>
      <c r="B32" s="52" t="s">
        <v>1113</v>
      </c>
      <c r="C32" s="52" t="s">
        <v>1114</v>
      </c>
      <c r="D32" s="52" t="s">
        <v>1115</v>
      </c>
      <c r="E32" s="52" t="s">
        <v>1116</v>
      </c>
      <c r="F32" s="52" t="s">
        <v>1043</v>
      </c>
      <c r="G32" s="25" t="s">
        <v>292</v>
      </c>
      <c r="H32" s="39" t="s">
        <v>292</v>
      </c>
    </row>
    <row r="33" customFormat="false" ht="31.5" hidden="false" customHeight="true" outlineLevel="0" collapsed="false">
      <c r="A33" s="53" t="s">
        <v>157</v>
      </c>
      <c r="B33" s="73" t="s">
        <v>1117</v>
      </c>
      <c r="C33" s="53" t="s">
        <v>1118</v>
      </c>
      <c r="D33" s="52" t="s">
        <v>647</v>
      </c>
      <c r="E33" s="52" t="s">
        <v>1119</v>
      </c>
      <c r="F33" s="52" t="s">
        <v>1043</v>
      </c>
      <c r="G33" s="14" t="s">
        <v>167</v>
      </c>
      <c r="H33" s="39" t="s">
        <v>272</v>
      </c>
    </row>
    <row r="34" customFormat="false" ht="31.5" hidden="false" customHeight="true" outlineLevel="0" collapsed="false">
      <c r="A34" s="53" t="s">
        <v>168</v>
      </c>
      <c r="B34" s="73" t="s">
        <v>1120</v>
      </c>
      <c r="C34" s="52" t="s">
        <v>1121</v>
      </c>
      <c r="D34" s="52" t="s">
        <v>1122</v>
      </c>
      <c r="E34" s="52" t="s">
        <v>1123</v>
      </c>
      <c r="F34" s="97" t="s">
        <v>1038</v>
      </c>
      <c r="G34" s="14" t="s">
        <v>175</v>
      </c>
      <c r="H34" s="39" t="s">
        <v>269</v>
      </c>
    </row>
    <row r="35" customFormat="false" ht="31.5" hidden="false" customHeight="true" outlineLevel="0" collapsed="false">
      <c r="A35" s="53" t="s">
        <v>147</v>
      </c>
      <c r="B35" s="73" t="s">
        <v>1124</v>
      </c>
      <c r="C35" s="52" t="s">
        <v>1125</v>
      </c>
      <c r="D35" s="52" t="s">
        <v>1126</v>
      </c>
      <c r="E35" s="52" t="s">
        <v>1127</v>
      </c>
      <c r="F35" s="52" t="s">
        <v>1043</v>
      </c>
      <c r="G35" s="14" t="s">
        <v>156</v>
      </c>
      <c r="H35" s="39" t="s">
        <v>334</v>
      </c>
    </row>
    <row r="36" customFormat="false" ht="31.5" hidden="false" customHeight="true" outlineLevel="0" collapsed="false">
      <c r="A36" s="53" t="s">
        <v>115</v>
      </c>
      <c r="B36" s="73" t="s">
        <v>116</v>
      </c>
      <c r="C36" s="53" t="s">
        <v>1128</v>
      </c>
      <c r="D36" s="52" t="s">
        <v>1129</v>
      </c>
      <c r="E36" s="52" t="s">
        <v>1130</v>
      </c>
      <c r="F36" s="97" t="s">
        <v>1038</v>
      </c>
      <c r="G36" s="14" t="s">
        <v>124</v>
      </c>
      <c r="H36" s="39" t="s">
        <v>319</v>
      </c>
    </row>
    <row r="37" customFormat="false" ht="31.5" hidden="false" customHeight="true" outlineLevel="0" collapsed="false">
      <c r="A37" s="53" t="s">
        <v>125</v>
      </c>
      <c r="B37" s="73" t="s">
        <v>1010</v>
      </c>
      <c r="C37" s="53" t="s">
        <v>1131</v>
      </c>
      <c r="D37" s="52" t="s">
        <v>1132</v>
      </c>
      <c r="E37" s="52" t="s">
        <v>1130</v>
      </c>
      <c r="F37" s="97" t="s">
        <v>1038</v>
      </c>
      <c r="G37" s="14" t="s">
        <v>136</v>
      </c>
      <c r="H37" s="39" t="s">
        <v>363</v>
      </c>
    </row>
    <row r="38" customFormat="false" ht="31.5" hidden="false" customHeight="true" outlineLevel="0" collapsed="false">
      <c r="A38" s="53" t="s">
        <v>438</v>
      </c>
      <c r="B38" s="73" t="s">
        <v>1133</v>
      </c>
      <c r="C38" s="52" t="s">
        <v>1134</v>
      </c>
      <c r="D38" s="52" t="s">
        <v>1135</v>
      </c>
      <c r="E38" s="52" t="s">
        <v>1136</v>
      </c>
      <c r="F38" s="97" t="s">
        <v>1038</v>
      </c>
      <c r="G38" s="14" t="s">
        <v>446</v>
      </c>
      <c r="H38" s="39" t="s">
        <v>444</v>
      </c>
    </row>
    <row r="39" customFormat="false" ht="31.5" hidden="false" customHeight="true" outlineLevel="0" collapsed="false">
      <c r="A39" s="53" t="s">
        <v>438</v>
      </c>
      <c r="B39" s="73" t="s">
        <v>1133</v>
      </c>
      <c r="C39" s="52" t="s">
        <v>1137</v>
      </c>
      <c r="D39" s="52" t="s">
        <v>1138</v>
      </c>
      <c r="E39" s="52" t="s">
        <v>1139</v>
      </c>
      <c r="F39" s="97" t="s">
        <v>1038</v>
      </c>
      <c r="G39" s="14" t="s">
        <v>446</v>
      </c>
      <c r="H39" s="39" t="s">
        <v>444</v>
      </c>
    </row>
    <row r="40" customFormat="false" ht="31.5" hidden="false" customHeight="true" outlineLevel="0" collapsed="false">
      <c r="A40" s="53" t="s">
        <v>438</v>
      </c>
      <c r="B40" s="73" t="s">
        <v>1133</v>
      </c>
      <c r="C40" s="52" t="s">
        <v>1140</v>
      </c>
      <c r="D40" s="52" t="s">
        <v>1141</v>
      </c>
      <c r="E40" s="52" t="s">
        <v>1139</v>
      </c>
      <c r="F40" s="52" t="s">
        <v>1043</v>
      </c>
      <c r="G40" s="14" t="s">
        <v>446</v>
      </c>
      <c r="H40" s="39" t="s">
        <v>444</v>
      </c>
    </row>
    <row r="41" customFormat="false" ht="31.5" hidden="false" customHeight="true" outlineLevel="0" collapsed="false">
      <c r="A41" s="53" t="s">
        <v>498</v>
      </c>
      <c r="B41" s="73" t="s">
        <v>1142</v>
      </c>
      <c r="C41" s="52" t="s">
        <v>1143</v>
      </c>
      <c r="D41" s="52" t="s">
        <v>1144</v>
      </c>
      <c r="E41" s="52" t="s">
        <v>1145</v>
      </c>
      <c r="F41" s="52" t="s">
        <v>1043</v>
      </c>
      <c r="G41" s="14" t="s">
        <v>504</v>
      </c>
      <c r="H41" s="39" t="s">
        <v>331</v>
      </c>
    </row>
    <row r="42" customFormat="false" ht="31.5" hidden="false" customHeight="true" outlineLevel="0" collapsed="false">
      <c r="A42" s="53" t="s">
        <v>479</v>
      </c>
      <c r="B42" s="73" t="s">
        <v>1146</v>
      </c>
      <c r="C42" s="52" t="s">
        <v>1147</v>
      </c>
      <c r="D42" s="53" t="s">
        <v>1148</v>
      </c>
      <c r="E42" s="52" t="s">
        <v>1145</v>
      </c>
      <c r="F42" s="52" t="s">
        <v>1043</v>
      </c>
      <c r="G42" s="14" t="s">
        <v>485</v>
      </c>
      <c r="H42" s="39" t="s">
        <v>272</v>
      </c>
    </row>
  </sheetData>
  <hyperlinks>
    <hyperlink ref="B8" r:id="rId1" display="安敦國際大樓 7F ↗"/>
    <hyperlink ref="G8" r:id="rId2" display="591 本戶7F·14張照片"/>
    <hyperlink ref="B9" r:id="rId3" display="中鼎大樓 15F之1 ↗"/>
    <hyperlink ref="G9" r:id="rId4" display="信義 本戶15F·15張照片（CZ05572）"/>
    <hyperlink ref="B10" r:id="rId5" display="中鼎大樓 15F之1 ↗"/>
    <hyperlink ref="G10" r:id="rId6" display="信義 本戶15F·15張照片（CZ05572）"/>
    <hyperlink ref="B11" r:id="rId7" display="敦化財經大樓 4F之1 ↗"/>
    <hyperlink ref="G11" r:id="rId8" display="591 疑同戶4F 220坪·星辰地產"/>
    <hyperlink ref="B12" r:id="rId9" display="敦化財經大樓 4F之1 ↗"/>
    <hyperlink ref="G12" r:id="rId10" display="591 疑同戶4F 220坪·星辰地產"/>
    <hyperlink ref="B13" r:id="rId11" display="國泰世華銀行大樓 6F ↗"/>
    <hyperlink ref="G13" r:id="rId12" display="信義社區頁·4張外觀照(本戶無公開頁)"/>
    <hyperlink ref="B14" r:id="rId13" display="國泰世華銀行大樓 6F ↗"/>
    <hyperlink ref="G14" r:id="rId14" display="信義社區頁·4張外觀照(本戶無公開頁)"/>
    <hyperlink ref="B15" r:id="rId15" display="國泰世華銀行大樓 6F ↗"/>
    <hyperlink ref="G15" r:id="rId16" display="信義社區頁·4張外觀照(本戶無公開頁)"/>
    <hyperlink ref="B16" r:id="rId17" location="page=3" display="八德路vs龍江路 2F 220坪 ／ 中影八德大樓 2F 200坪 ↗"/>
    <hyperlink ref="G16" r:id="rId18" location="page=3" display="傑森愛華原始PDF 第3頁（此列無照片）"/>
    <hyperlink ref="B17" r:id="rId19" display="友聯大樓 5F ↗"/>
    <hyperlink ref="G17" r:id="rId20" display="友聯5F 現況室內8張照片（591刊登圖·使用者提供）"/>
    <hyperlink ref="B18" r:id="rId21" display="友聯大樓 5F ↗"/>
    <hyperlink ref="G18" r:id="rId22" display="友聯5F 現況室內8張照片（591刊登圖·使用者提供）"/>
    <hyperlink ref="B19" r:id="rId23" display="友聯大樓 5F ↗"/>
    <hyperlink ref="G19" r:id="rId24" display="友聯5F 現況室內8張照片（591刊登圖·使用者提供）"/>
    <hyperlink ref="B20" r:id="rId25" display="白宮企業大樓 5F ↗"/>
    <hyperlink ref="G20" r:id="rId26" display="好房網大樓頁·10張照片（本戶207坪整層無公開頁）"/>
    <hyperlink ref="B21" r:id="rId27" display="白宮企業大樓 5F ↗"/>
    <hyperlink ref="G21" r:id="rId28" display="好房網大樓頁·10張照片（本戶207坪整層無公開頁）"/>
    <hyperlink ref="B22" r:id="rId29" display="591 光復南路 7F ↗"/>
    <hyperlink ref="G22" r:id="rId30" display="HouseWeb 本戶·40張照片"/>
    <hyperlink ref="B23" r:id="rId31" display="591 光復南路 7F ↗"/>
    <hyperlink ref="G23" r:id="rId32" display="HouseWeb 本戶·40張照片"/>
    <hyperlink ref="B24" r:id="rId33" display="信義 光復北路新大樓 5F ↗"/>
    <hyperlink ref="G24" r:id="rId34" display="信義國際站 本戶·14張照片（備用：www.sinyi.com.tw/rent/houseno/C355686）"/>
    <hyperlink ref="B25" r:id="rId35" display="信義 光復北路新大樓 5F ↗"/>
    <hyperlink ref="G25" r:id="rId36" display="信義國際站 本戶·14張照片（備用：www.sinyi.com.tw/rent/houseno/C355686）"/>
    <hyperlink ref="B26" r:id="rId37" display="信義 光復北路新大樓 5F ↗"/>
    <hyperlink ref="G26" r:id="rId38" display="信義國際站 本戶·14張照片（備用：www.sinyi.com.tw/rent/houseno/C355686）"/>
    <hyperlink ref="B27" r:id="rId39" display="HouseWeb 兩案 ↗"/>
    <hyperlink ref="G27" r:id="rId40" display="HouseWeb·38張"/>
    <hyperlink ref="B28" r:id="rId41" location="page=1" display="傑森愛華全部(&lt;200坪已刪) ↗"/>
    <hyperlink ref="G28" r:id="rId42" location="page=1" display="傑森愛華原始PDF 第1頁（含照片）"/>
    <hyperlink ref="B29" r:id="rId43" display="中鼎大樓 15F之1 ↗"/>
    <hyperlink ref="G29" r:id="rId44" display="信義 本戶15F·15張照片（CZ05572）"/>
    <hyperlink ref="B30" r:id="rId45" display="敦化財經大樓 4F之1 ↗"/>
    <hyperlink ref="G30" r:id="rId46" display="591 疑同戶4F 220坪·星辰地產"/>
    <hyperlink ref="B31" r:id="rId47" display="敦化財經大樓 4F之1 ↗"/>
    <hyperlink ref="G31" r:id="rId48" display="591 疑同戶4F 220坪·星辰地產"/>
    <hyperlink ref="B33" r:id="rId49" display="信義 建國北路二段10F ↗"/>
    <hyperlink ref="G33" r:id="rId50" display="信義 本戶·16張照片（C905199）"/>
    <hyperlink ref="B34" r:id="rId51" display="信義 八德路二段7F ↗"/>
    <hyperlink ref="G34" r:id="rId52" display="信義 本戶·9張照片（CZ05587）"/>
    <hyperlink ref="B35" r:id="rId53" display="信義 光復南路6F ↗"/>
    <hyperlink ref="G35" r:id="rId54" display="信義 本戶·19張照片（C328671）"/>
    <hyperlink ref="B36" r:id="rId55" display="永慶 安敦國際大樓 14F ↗"/>
    <hyperlink ref="G36" r:id="rId56" display="永慶 本戶14F·15張照片"/>
    <hyperlink ref="B37" r:id="rId57" display="永慶 家美金融大樓 15F ↗"/>
    <hyperlink ref="G37" r:id="rId58" display="永慶 本戶15F·14張照片"/>
    <hyperlink ref="B38" r:id="rId59" display="中影八德大樓 2F ↗"/>
    <hyperlink ref="G38" r:id="rId60" display="傑森愛華單筆報表PDF（中影八德2F·11頁，含照片/使照）"/>
    <hyperlink ref="B39" r:id="rId61" display="中影八德大樓 2F ↗"/>
    <hyperlink ref="G39" r:id="rId62" display="傑森愛華單筆報表PDF（中影八德2F·11頁，含照片/使照）"/>
    <hyperlink ref="B40" r:id="rId63" display="中影八德大樓 2F ↗"/>
    <hyperlink ref="G40" r:id="rId64" display="傑森愛華單筆報表PDF（中影八德2F·11頁，含照片/使照）"/>
    <hyperlink ref="B41" r:id="rId65" location="page=3" display="安和路一段 17F ↗"/>
    <hyperlink ref="G41" r:id="rId66" location="page=3" display="傑森愛華原始PDF 第3頁（含照片）；同戶另見信義CZ05290"/>
    <hyperlink ref="B42" r:id="rId67" display="敦化南路2段(中鼎) 22F ↗"/>
    <hyperlink ref="G42" r:id="rId68" display="傑森愛華單筆報表PDF（中鼎22F·3頁，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4"/>
    <col collapsed="false" customWidth="true" hidden="false" outlineLevel="0" max="3" min="3" style="0" width="52"/>
  </cols>
  <sheetData>
    <row r="1" customFormat="false" ht="20.1" hidden="false" customHeight="false" outlineLevel="0" collapsed="false">
      <c r="A1" s="1" t="s">
        <v>1149</v>
      </c>
    </row>
    <row r="2" customFormat="false" ht="15" hidden="false" customHeight="false" outlineLevel="0" collapsed="false">
      <c r="A2" s="2" t="s">
        <v>1150</v>
      </c>
    </row>
    <row r="4" customFormat="false" ht="15" hidden="false" customHeight="false" outlineLevel="0" collapsed="false">
      <c r="A4" s="98" t="s">
        <v>1151</v>
      </c>
      <c r="B4" s="99" t="s">
        <v>1152</v>
      </c>
      <c r="C4" s="98" t="s">
        <v>1153</v>
      </c>
    </row>
    <row r="5" customFormat="false" ht="15" hidden="false" customHeight="false" outlineLevel="0" collapsed="false">
      <c r="A5" s="40" t="s">
        <v>1154</v>
      </c>
      <c r="B5" s="12" t="s">
        <v>1155</v>
      </c>
      <c r="C5" s="40" t="s">
        <v>1156</v>
      </c>
    </row>
    <row r="6" customFormat="false" ht="15" hidden="false" customHeight="false" outlineLevel="0" collapsed="false">
      <c r="A6" s="40" t="s">
        <v>1157</v>
      </c>
      <c r="B6" s="12" t="s">
        <v>1158</v>
      </c>
      <c r="C6" s="40" t="s">
        <v>1159</v>
      </c>
    </row>
    <row r="7" customFormat="false" ht="15" hidden="false" customHeight="false" outlineLevel="0" collapsed="false">
      <c r="A7" s="40" t="s">
        <v>1160</v>
      </c>
      <c r="B7" s="12" t="s">
        <v>1161</v>
      </c>
      <c r="C7" s="40" t="s">
        <v>1162</v>
      </c>
    </row>
    <row r="8" customFormat="false" ht="15" hidden="false" customHeight="false" outlineLevel="0" collapsed="false">
      <c r="A8" s="40" t="s">
        <v>1163</v>
      </c>
      <c r="B8" s="12" t="s">
        <v>1164</v>
      </c>
      <c r="C8" s="40" t="s">
        <v>1165</v>
      </c>
    </row>
    <row r="9" customFormat="false" ht="15" hidden="false" customHeight="false" outlineLevel="0" collapsed="false">
      <c r="A9" s="40" t="s">
        <v>1166</v>
      </c>
      <c r="B9" s="12" t="s">
        <v>1167</v>
      </c>
      <c r="C9" s="40" t="s">
        <v>1168</v>
      </c>
    </row>
    <row r="10" customFormat="false" ht="15" hidden="false" customHeight="false" outlineLevel="0" collapsed="false">
      <c r="A10" s="40" t="s">
        <v>1169</v>
      </c>
      <c r="B10" s="12" t="s">
        <v>1170</v>
      </c>
      <c r="C10" s="40" t="s">
        <v>1171</v>
      </c>
    </row>
    <row r="11" customFormat="false" ht="15" hidden="false" customHeight="false" outlineLevel="0" collapsed="false">
      <c r="A11" s="42" t="s">
        <v>1172</v>
      </c>
      <c r="B11" s="12" t="s">
        <v>1173</v>
      </c>
      <c r="C11" s="40" t="s">
        <v>1174</v>
      </c>
    </row>
    <row r="12" customFormat="false" ht="15" hidden="false" customHeight="false" outlineLevel="0" collapsed="false">
      <c r="A12" s="40" t="s">
        <v>1175</v>
      </c>
      <c r="B12" s="7" t="s">
        <v>1176</v>
      </c>
      <c r="C12" s="40" t="s">
        <v>1177</v>
      </c>
    </row>
    <row r="13" customFormat="false" ht="15" hidden="false" customHeight="false" outlineLevel="0" collapsed="false">
      <c r="A13" s="40" t="s">
        <v>1178</v>
      </c>
      <c r="B13" s="12" t="s">
        <v>1179</v>
      </c>
      <c r="C13" s="40" t="s">
        <v>1180</v>
      </c>
    </row>
    <row r="16" customFormat="false" ht="16.15" hidden="false" customHeight="false" outlineLevel="0" collapsed="false">
      <c r="A16" s="1" t="s">
        <v>1181</v>
      </c>
    </row>
    <row r="17" customFormat="false" ht="15" hidden="false" customHeight="true" outlineLevel="0" collapsed="false">
      <c r="A17" s="100" t="s">
        <v>1182</v>
      </c>
      <c r="B17" s="100"/>
      <c r="C17" s="100"/>
    </row>
    <row r="18" customFormat="false" ht="15" hidden="false" customHeight="false" outlineLevel="0" collapsed="false">
      <c r="A18" s="100"/>
      <c r="B18" s="100"/>
      <c r="C18" s="100"/>
    </row>
    <row r="19" customFormat="false" ht="15" hidden="false" customHeight="false" outlineLevel="0" collapsed="false">
      <c r="A19" s="100"/>
      <c r="B19" s="100"/>
      <c r="C19" s="100"/>
    </row>
    <row r="20" customFormat="false" ht="15" hidden="false" customHeight="false" outlineLevel="0" collapsed="false">
      <c r="A20" s="100"/>
      <c r="B20" s="100"/>
      <c r="C20" s="100"/>
    </row>
    <row r="21" customFormat="false" ht="15" hidden="false" customHeight="false" outlineLevel="0" collapsed="false">
      <c r="A21" s="100"/>
      <c r="B21" s="100"/>
      <c r="C21" s="100"/>
    </row>
    <row r="22" customFormat="false" ht="15" hidden="false" customHeight="false" outlineLevel="0" collapsed="false">
      <c r="A22" s="100"/>
      <c r="B22" s="100"/>
      <c r="C22" s="100"/>
    </row>
    <row r="23" customFormat="false" ht="15" hidden="false" customHeight="false" outlineLevel="0" collapsed="false">
      <c r="A23" s="100"/>
      <c r="B23" s="100"/>
      <c r="C23" s="100"/>
    </row>
  </sheetData>
  <mergeCells count="1">
    <mergeCell ref="A17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1183</v>
      </c>
    </row>
    <row r="3" customFormat="false" ht="15" hidden="false" customHeight="false" outlineLevel="0" collapsed="false">
      <c r="A3" s="98" t="s">
        <v>1184</v>
      </c>
      <c r="B3" s="98" t="s">
        <v>563</v>
      </c>
      <c r="C3" s="98" t="s">
        <v>23</v>
      </c>
    </row>
    <row r="4" customFormat="false" ht="15" hidden="false" customHeight="false" outlineLevel="0" collapsed="false">
      <c r="A4" s="42" t="s">
        <v>1185</v>
      </c>
      <c r="B4" s="40" t="s">
        <v>1186</v>
      </c>
      <c r="C4" s="40" t="s">
        <v>1187</v>
      </c>
    </row>
    <row r="5" customFormat="false" ht="15" hidden="false" customHeight="false" outlineLevel="0" collapsed="false">
      <c r="A5" s="42" t="s">
        <v>1188</v>
      </c>
      <c r="B5" s="40" t="s">
        <v>1189</v>
      </c>
      <c r="C5" s="40" t="s">
        <v>1190</v>
      </c>
    </row>
    <row r="6" customFormat="false" ht="15" hidden="false" customHeight="false" outlineLevel="0" collapsed="false">
      <c r="A6" s="42" t="s">
        <v>1191</v>
      </c>
      <c r="B6" s="40" t="s">
        <v>1192</v>
      </c>
      <c r="C6" s="40" t="s">
        <v>1190</v>
      </c>
    </row>
    <row r="7" customFormat="false" ht="15" hidden="false" customHeight="false" outlineLevel="0" collapsed="false">
      <c r="A7" s="42" t="s">
        <v>1193</v>
      </c>
      <c r="B7" s="40" t="s">
        <v>1194</v>
      </c>
      <c r="C7" s="40" t="s">
        <v>1190</v>
      </c>
    </row>
    <row r="8" customFormat="false" ht="15" hidden="false" customHeight="false" outlineLevel="0" collapsed="false">
      <c r="A8" s="42" t="s">
        <v>1195</v>
      </c>
      <c r="B8" s="40" t="s">
        <v>1196</v>
      </c>
      <c r="C8" s="40" t="s">
        <v>1190</v>
      </c>
    </row>
    <row r="9" customFormat="false" ht="15" hidden="false" customHeight="false" outlineLevel="0" collapsed="false">
      <c r="A9" s="42" t="s">
        <v>1197</v>
      </c>
      <c r="B9" s="40" t="s">
        <v>1198</v>
      </c>
      <c r="C9" s="40" t="s">
        <v>1190</v>
      </c>
    </row>
    <row r="10" customFormat="false" ht="15" hidden="false" customHeight="false" outlineLevel="0" collapsed="false">
      <c r="A10" s="42" t="s">
        <v>1199</v>
      </c>
      <c r="B10" s="40" t="s">
        <v>1200</v>
      </c>
      <c r="C10" s="40" t="s">
        <v>1190</v>
      </c>
    </row>
    <row r="11" customFormat="false" ht="15" hidden="false" customHeight="false" outlineLevel="0" collapsed="false">
      <c r="A11" s="42" t="s">
        <v>1201</v>
      </c>
      <c r="B11" s="42" t="s">
        <v>983</v>
      </c>
      <c r="C11" s="40" t="s">
        <v>1202</v>
      </c>
    </row>
    <row r="12" customFormat="false" ht="15" hidden="false" customHeight="false" outlineLevel="0" collapsed="false">
      <c r="A12" s="42" t="s">
        <v>1203</v>
      </c>
      <c r="B12" s="42" t="s">
        <v>902</v>
      </c>
      <c r="C12" s="40" t="s">
        <v>1202</v>
      </c>
    </row>
    <row r="13" customFormat="false" ht="15" hidden="false" customHeight="false" outlineLevel="0" collapsed="false">
      <c r="A13" s="42" t="s">
        <v>1204</v>
      </c>
      <c r="B13" s="40" t="s">
        <v>1205</v>
      </c>
      <c r="C13" s="40" t="s">
        <v>1206</v>
      </c>
    </row>
    <row r="14" customFormat="false" ht="29.85" hidden="false" customHeight="false" outlineLevel="0" collapsed="false">
      <c r="A14" s="42" t="s">
        <v>1207</v>
      </c>
      <c r="B14" s="40" t="s">
        <v>1208</v>
      </c>
      <c r="C14" s="40" t="s">
        <v>1206</v>
      </c>
    </row>
    <row r="15" customFormat="false" ht="29.85" hidden="false" customHeight="false" outlineLevel="0" collapsed="false">
      <c r="A15" s="42" t="s">
        <v>1209</v>
      </c>
      <c r="B15" s="40" t="s">
        <v>1210</v>
      </c>
      <c r="C15" s="40" t="s">
        <v>1206</v>
      </c>
    </row>
    <row r="16" customFormat="false" ht="15" hidden="false" customHeight="false" outlineLevel="0" collapsed="false">
      <c r="A16" s="40" t="s">
        <v>1211</v>
      </c>
      <c r="B16" s="40" t="s">
        <v>1212</v>
      </c>
      <c r="C16" s="40" t="s">
        <v>1213</v>
      </c>
    </row>
    <row r="17" customFormat="false" ht="44" hidden="false" customHeight="false" outlineLevel="0" collapsed="false">
      <c r="A17" s="42" t="s">
        <v>1214</v>
      </c>
      <c r="B17" s="42" t="s">
        <v>1215</v>
      </c>
      <c r="C17" s="42" t="s">
        <v>1216</v>
      </c>
    </row>
    <row r="18" customFormat="false" ht="15" hidden="false" customHeight="false" outlineLevel="0" collapsed="false">
      <c r="A18" s="42" t="s">
        <v>1217</v>
      </c>
      <c r="B18" s="42" t="s">
        <v>1016</v>
      </c>
      <c r="C18" s="40" t="s">
        <v>1218</v>
      </c>
    </row>
    <row r="19" customFormat="false" ht="15" hidden="false" customHeight="false" outlineLevel="0" collapsed="false">
      <c r="A19" s="42" t="s">
        <v>1219</v>
      </c>
      <c r="B19" s="42" t="s">
        <v>1220</v>
      </c>
      <c r="C19" s="40" t="s">
        <v>1221</v>
      </c>
    </row>
    <row r="20" customFormat="false" ht="41" hidden="false" customHeight="false" outlineLevel="0" collapsed="false">
      <c r="A20" s="42" t="s">
        <v>1222</v>
      </c>
      <c r="B20" s="42" t="s">
        <v>1223</v>
      </c>
      <c r="C20" s="42" t="s">
        <v>1224</v>
      </c>
    </row>
    <row r="21" customFormat="false" ht="29.85" hidden="false" customHeight="false" outlineLevel="0" collapsed="false">
      <c r="A21" s="42" t="s">
        <v>1225</v>
      </c>
      <c r="B21" s="40" t="s">
        <v>1226</v>
      </c>
      <c r="C21" s="40" t="s">
        <v>1227</v>
      </c>
    </row>
    <row r="22" customFormat="false" ht="29.85" hidden="false" customHeight="false" outlineLevel="0" collapsed="false">
      <c r="A22" s="40" t="s">
        <v>264</v>
      </c>
      <c r="B22" s="40" t="s">
        <v>1228</v>
      </c>
      <c r="C22" s="40" t="s">
        <v>1229</v>
      </c>
    </row>
    <row r="23" customFormat="false" ht="15" hidden="false" customHeight="false" outlineLevel="0" collapsed="false">
      <c r="A23" s="40" t="s">
        <v>1230</v>
      </c>
      <c r="B23" s="40" t="s">
        <v>1231</v>
      </c>
      <c r="C23" s="42" t="s">
        <v>1232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2026-09-23T08:46:54Z</dcterms:created>
  <dc:creator>openpyxl</dc:creator>
  <dc:description/>
  <dc:language>en-US</dc:language>
  <cp:lastModifiedBy/>
  <dcterms:modified xsi:type="dcterms:W3CDTF">2026-09-23T08:46:54Z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